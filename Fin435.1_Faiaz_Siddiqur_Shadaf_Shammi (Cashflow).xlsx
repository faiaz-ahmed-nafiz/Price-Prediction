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iaz\Desktop\"/>
    </mc:Choice>
  </mc:AlternateContent>
  <xr:revisionPtr revIDLastSave="0" documentId="13_ncr:1_{075455FA-5941-4CB8-96F1-32C22266FC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ver Page" sheetId="6" r:id="rId1"/>
    <sheet name="Robi" sheetId="1" r:id="rId2"/>
    <sheet name="City" sheetId="2" r:id="rId3"/>
    <sheet name="BAT" sheetId="3" r:id="rId4"/>
    <sheet name="SPCL" sheetId="4" r:id="rId5"/>
    <sheet name="Rahima Food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D5" i="4" s="1"/>
  <c r="B6" i="4"/>
  <c r="C6" i="4"/>
  <c r="C7" i="4"/>
  <c r="D7" i="4"/>
  <c r="E7" i="4" s="1"/>
  <c r="F7" i="4" s="1"/>
  <c r="G7" i="4" s="1"/>
  <c r="H7" i="4" s="1"/>
  <c r="I7" i="4" s="1"/>
  <c r="J7" i="4" s="1"/>
  <c r="K7" i="4" s="1"/>
  <c r="L7" i="4" s="1"/>
  <c r="M7" i="4" s="1"/>
  <c r="N7" i="4" s="1"/>
  <c r="B8" i="4"/>
  <c r="C8" i="4"/>
  <c r="C9" i="4" s="1"/>
  <c r="E5" i="4" l="1"/>
  <c r="D6" i="4"/>
  <c r="D8" i="4" s="1"/>
  <c r="D9" i="4" s="1"/>
  <c r="F5" i="4" l="1"/>
  <c r="E6" i="4"/>
  <c r="E8" i="4" s="1"/>
  <c r="E9" i="4" s="1"/>
  <c r="G5" i="4" l="1"/>
  <c r="F6" i="4"/>
  <c r="F8" i="4" s="1"/>
  <c r="F9" i="4" s="1"/>
  <c r="H5" i="4" l="1"/>
  <c r="G6" i="4"/>
  <c r="G8" i="4" s="1"/>
  <c r="G9" i="4" s="1"/>
  <c r="G10" i="4" l="1"/>
  <c r="G12" i="4" s="1"/>
  <c r="G13" i="4" s="1"/>
  <c r="H8" i="4"/>
  <c r="H9" i="4" s="1"/>
  <c r="I5" i="4"/>
  <c r="I8" i="4" l="1"/>
  <c r="I9" i="4" s="1"/>
  <c r="J5" i="4"/>
  <c r="H10" i="4"/>
  <c r="H12" i="4" s="1"/>
  <c r="H13" i="4" s="1"/>
  <c r="I10" i="4"/>
  <c r="K5" i="4" l="1"/>
  <c r="J8" i="4"/>
  <c r="J9" i="4" s="1"/>
  <c r="I12" i="4"/>
  <c r="I13" i="4" s="1"/>
  <c r="J10" i="4" l="1"/>
  <c r="J12" i="4" s="1"/>
  <c r="J13" i="4" s="1"/>
  <c r="K8" i="4"/>
  <c r="K9" i="4" s="1"/>
  <c r="L5" i="4"/>
  <c r="H14" i="5"/>
  <c r="I14" i="5"/>
  <c r="J14" i="5"/>
  <c r="K14" i="5"/>
  <c r="L14" i="5"/>
  <c r="M14" i="5"/>
  <c r="N14" i="5"/>
  <c r="G14" i="5"/>
  <c r="H9" i="2"/>
  <c r="H10" i="2" s="1"/>
  <c r="I9" i="2"/>
  <c r="I10" i="2" s="1"/>
  <c r="J9" i="2"/>
  <c r="J10" i="2" s="1"/>
  <c r="H7" i="2"/>
  <c r="I7" i="2"/>
  <c r="J7" i="2"/>
  <c r="K7" i="2"/>
  <c r="K9" i="2" s="1"/>
  <c r="K10" i="2" s="1"/>
  <c r="L7" i="2"/>
  <c r="L9" i="2" s="1"/>
  <c r="L10" i="2" s="1"/>
  <c r="M7" i="2"/>
  <c r="M9" i="2" s="1"/>
  <c r="M10" i="2" s="1"/>
  <c r="N7" i="2"/>
  <c r="N9" i="2" s="1"/>
  <c r="N10" i="2" s="1"/>
  <c r="H12" i="5"/>
  <c r="I12" i="5"/>
  <c r="J12" i="5"/>
  <c r="K12" i="5"/>
  <c r="L12" i="5"/>
  <c r="M12" i="5"/>
  <c r="N12" i="5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C8" i="1"/>
  <c r="D8" i="1" s="1"/>
  <c r="E8" i="1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C6" i="1"/>
  <c r="C7" i="1" s="1"/>
  <c r="G12" i="5"/>
  <c r="B6" i="3"/>
  <c r="B6" i="5"/>
  <c r="B8" i="5" s="1"/>
  <c r="B7" i="2"/>
  <c r="C5" i="5"/>
  <c r="D5" i="5" s="1"/>
  <c r="C7" i="2"/>
  <c r="C9" i="2" s="1"/>
  <c r="C10" i="2" s="1"/>
  <c r="D7" i="2"/>
  <c r="E7" i="2"/>
  <c r="F7" i="2"/>
  <c r="G7" i="2"/>
  <c r="C5" i="3"/>
  <c r="D5" i="3" s="1"/>
  <c r="D9" i="2"/>
  <c r="D10" i="2" s="1"/>
  <c r="B7" i="1"/>
  <c r="M5" i="4" l="1"/>
  <c r="L8" i="4"/>
  <c r="L9" i="4" s="1"/>
  <c r="K10" i="4"/>
  <c r="K12" i="4" s="1"/>
  <c r="K13" i="4" s="1"/>
  <c r="M11" i="2"/>
  <c r="M14" i="2" s="1"/>
  <c r="M15" i="2" s="1"/>
  <c r="L11" i="2"/>
  <c r="L14" i="2" s="1"/>
  <c r="L15" i="2" s="1"/>
  <c r="N11" i="2"/>
  <c r="N14" i="2" s="1"/>
  <c r="N15" i="2" s="1"/>
  <c r="E5" i="3"/>
  <c r="D6" i="3"/>
  <c r="D8" i="3"/>
  <c r="D9" i="3" s="1"/>
  <c r="E5" i="5"/>
  <c r="D6" i="5"/>
  <c r="D8" i="5" s="1"/>
  <c r="D9" i="5" s="1"/>
  <c r="D6" i="1"/>
  <c r="C9" i="1"/>
  <c r="C10" i="1" s="1"/>
  <c r="C6" i="5"/>
  <c r="C8" i="5" s="1"/>
  <c r="C9" i="5" s="1"/>
  <c r="F8" i="1"/>
  <c r="C6" i="3"/>
  <c r="E9" i="2"/>
  <c r="E10" i="2" s="1"/>
  <c r="N5" i="4" l="1"/>
  <c r="N8" i="4" s="1"/>
  <c r="N9" i="4" s="1"/>
  <c r="M8" i="4"/>
  <c r="M9" i="4" s="1"/>
  <c r="L10" i="4"/>
  <c r="L12" i="4" s="1"/>
  <c r="L13" i="4" s="1"/>
  <c r="F5" i="5"/>
  <c r="E6" i="5"/>
  <c r="E8" i="5" s="1"/>
  <c r="E9" i="5" s="1"/>
  <c r="E6" i="1"/>
  <c r="D7" i="1"/>
  <c r="D9" i="1" s="1"/>
  <c r="D10" i="1" s="1"/>
  <c r="F5" i="3"/>
  <c r="E6" i="3"/>
  <c r="E8" i="3" s="1"/>
  <c r="E9" i="3" s="1"/>
  <c r="C8" i="3"/>
  <c r="C9" i="3" s="1"/>
  <c r="G8" i="1"/>
  <c r="F9" i="2"/>
  <c r="F10" i="2" s="1"/>
  <c r="N10" i="4" l="1"/>
  <c r="M10" i="4"/>
  <c r="M12" i="4" s="1"/>
  <c r="M13" i="4" s="1"/>
  <c r="N12" i="4"/>
  <c r="N13" i="4" s="1"/>
  <c r="G5" i="5"/>
  <c r="F6" i="5"/>
  <c r="F8" i="5" s="1"/>
  <c r="F9" i="5" s="1"/>
  <c r="G5" i="3"/>
  <c r="F6" i="3"/>
  <c r="F8" i="3" s="1"/>
  <c r="F9" i="3" s="1"/>
  <c r="F6" i="1"/>
  <c r="E7" i="1"/>
  <c r="E9" i="1" s="1"/>
  <c r="E10" i="1" s="1"/>
  <c r="H8" i="1"/>
  <c r="G9" i="2"/>
  <c r="G10" i="2" s="1"/>
  <c r="H5" i="3" l="1"/>
  <c r="G6" i="3"/>
  <c r="G8" i="3" s="1"/>
  <c r="G9" i="3" s="1"/>
  <c r="G6" i="5"/>
  <c r="G8" i="5" s="1"/>
  <c r="G9" i="5" s="1"/>
  <c r="H5" i="5"/>
  <c r="K11" i="2"/>
  <c r="K14" i="2" s="1"/>
  <c r="K15" i="2" s="1"/>
  <c r="I11" i="2"/>
  <c r="I14" i="2" s="1"/>
  <c r="I15" i="2" s="1"/>
  <c r="H11" i="2"/>
  <c r="H14" i="2" s="1"/>
  <c r="H15" i="2" s="1"/>
  <c r="G11" i="2"/>
  <c r="G14" i="2" s="1"/>
  <c r="G15" i="2" s="1"/>
  <c r="J11" i="2"/>
  <c r="J14" i="2" s="1"/>
  <c r="J15" i="2" s="1"/>
  <c r="G6" i="1"/>
  <c r="F7" i="1"/>
  <c r="F9" i="1" s="1"/>
  <c r="F10" i="1" s="1"/>
  <c r="I8" i="1"/>
  <c r="G10" i="5" l="1"/>
  <c r="G10" i="3"/>
  <c r="G12" i="3" s="1"/>
  <c r="G13" i="3" s="1"/>
  <c r="H6" i="1"/>
  <c r="G7" i="1"/>
  <c r="G9" i="1"/>
  <c r="G10" i="1" s="1"/>
  <c r="G11" i="1" s="1"/>
  <c r="G14" i="1" s="1"/>
  <c r="G15" i="1" s="1"/>
  <c r="I5" i="3"/>
  <c r="H6" i="3"/>
  <c r="H8" i="3" s="1"/>
  <c r="H9" i="3" s="1"/>
  <c r="I5" i="5"/>
  <c r="H6" i="5"/>
  <c r="H8" i="5"/>
  <c r="H9" i="5" s="1"/>
  <c r="J8" i="1"/>
  <c r="H10" i="3" l="1"/>
  <c r="H12" i="3" s="1"/>
  <c r="H13" i="3" s="1"/>
  <c r="H10" i="5"/>
  <c r="J5" i="5"/>
  <c r="I6" i="5"/>
  <c r="I8" i="5" s="1"/>
  <c r="I9" i="5" s="1"/>
  <c r="J5" i="3"/>
  <c r="I6" i="3"/>
  <c r="I8" i="3"/>
  <c r="I9" i="3" s="1"/>
  <c r="I6" i="1"/>
  <c r="H7" i="1"/>
  <c r="H9" i="1"/>
  <c r="H10" i="1" s="1"/>
  <c r="H11" i="1" s="1"/>
  <c r="H14" i="1" s="1"/>
  <c r="H15" i="1" s="1"/>
  <c r="G14" i="4"/>
  <c r="K8" i="1"/>
  <c r="I10" i="5" l="1"/>
  <c r="K5" i="5"/>
  <c r="J6" i="5"/>
  <c r="J8" i="5"/>
  <c r="J9" i="5" s="1"/>
  <c r="I10" i="3"/>
  <c r="I12" i="3" s="1"/>
  <c r="I13" i="3" s="1"/>
  <c r="J6" i="1"/>
  <c r="I7" i="1"/>
  <c r="I9" i="1"/>
  <c r="I10" i="1" s="1"/>
  <c r="I11" i="1" s="1"/>
  <c r="I14" i="1" s="1"/>
  <c r="I15" i="1" s="1"/>
  <c r="K5" i="3"/>
  <c r="J6" i="3"/>
  <c r="J8" i="3"/>
  <c r="J9" i="3" s="1"/>
  <c r="H14" i="4"/>
  <c r="L8" i="1"/>
  <c r="L5" i="5" l="1"/>
  <c r="K6" i="5"/>
  <c r="K8" i="5" s="1"/>
  <c r="K9" i="5" s="1"/>
  <c r="I14" i="4"/>
  <c r="L5" i="3"/>
  <c r="K6" i="3"/>
  <c r="K8" i="3"/>
  <c r="K9" i="3" s="1"/>
  <c r="K6" i="1"/>
  <c r="J7" i="1"/>
  <c r="J9" i="1"/>
  <c r="J10" i="1" s="1"/>
  <c r="J11" i="1" s="1"/>
  <c r="J14" i="1" s="1"/>
  <c r="J15" i="1" s="1"/>
  <c r="J10" i="3"/>
  <c r="J12" i="3" s="1"/>
  <c r="J13" i="3" s="1"/>
  <c r="J10" i="5"/>
  <c r="M8" i="1"/>
  <c r="K10" i="5" l="1"/>
  <c r="L6" i="1"/>
  <c r="K7" i="1"/>
  <c r="K9" i="1" s="1"/>
  <c r="K10" i="1" s="1"/>
  <c r="J14" i="4"/>
  <c r="K10" i="3"/>
  <c r="K12" i="3" s="1"/>
  <c r="K13" i="3" s="1"/>
  <c r="M5" i="5"/>
  <c r="L6" i="5"/>
  <c r="L8" i="5" s="1"/>
  <c r="L9" i="5" s="1"/>
  <c r="M5" i="3"/>
  <c r="L6" i="3"/>
  <c r="L8" i="3"/>
  <c r="L9" i="3" s="1"/>
  <c r="N8" i="1"/>
  <c r="L10" i="5" l="1"/>
  <c r="K11" i="1"/>
  <c r="K14" i="1" s="1"/>
  <c r="K15" i="1" s="1"/>
  <c r="N5" i="3"/>
  <c r="M6" i="3"/>
  <c r="M8" i="3" s="1"/>
  <c r="M9" i="3" s="1"/>
  <c r="L10" i="3"/>
  <c r="L12" i="3" s="1"/>
  <c r="L13" i="3" s="1"/>
  <c r="M6" i="1"/>
  <c r="L7" i="1"/>
  <c r="L9" i="1"/>
  <c r="L10" i="1" s="1"/>
  <c r="N5" i="5"/>
  <c r="M6" i="5"/>
  <c r="M8" i="5" s="1"/>
  <c r="M9" i="5" s="1"/>
  <c r="K14" i="4"/>
  <c r="M10" i="5" l="1"/>
  <c r="N6" i="3"/>
  <c r="N8" i="3"/>
  <c r="N9" i="3" s="1"/>
  <c r="N10" i="3" s="1"/>
  <c r="N12" i="3" s="1"/>
  <c r="N13" i="3" s="1"/>
  <c r="L14" i="4"/>
  <c r="M12" i="3"/>
  <c r="M13" i="3" s="1"/>
  <c r="L11" i="1"/>
  <c r="L14" i="1" s="1"/>
  <c r="L15" i="1" s="1"/>
  <c r="N6" i="5"/>
  <c r="N8" i="5" s="1"/>
  <c r="N9" i="5" s="1"/>
  <c r="N10" i="5" s="1"/>
  <c r="N6" i="1"/>
  <c r="M7" i="1"/>
  <c r="M9" i="1" s="1"/>
  <c r="M10" i="1" s="1"/>
  <c r="M11" i="1" s="1"/>
  <c r="M14" i="1" s="1"/>
  <c r="M15" i="1" s="1"/>
  <c r="M10" i="3"/>
  <c r="M14" i="4" l="1"/>
  <c r="N7" i="1"/>
  <c r="N9" i="1" s="1"/>
  <c r="N10" i="1" s="1"/>
  <c r="N11" i="1" s="1"/>
  <c r="N14" i="1" s="1"/>
  <c r="N15" i="1" s="1"/>
  <c r="N14" i="4"/>
</calcChain>
</file>

<file path=xl/sharedStrings.xml><?xml version="1.0" encoding="utf-8"?>
<sst xmlns="http://schemas.openxmlformats.org/spreadsheetml/2006/main" count="92" uniqueCount="34">
  <si>
    <t>Company Valauation Method</t>
  </si>
  <si>
    <t>Oparating cash flow</t>
  </si>
  <si>
    <t>Investing cash flow</t>
  </si>
  <si>
    <t>Growth Rate of FCF of 6 years</t>
  </si>
  <si>
    <t>Long Term Growth Rate</t>
  </si>
  <si>
    <t>Weigthed Average Cost of Capital</t>
  </si>
  <si>
    <t xml:space="preserve"> Cash Flow</t>
  </si>
  <si>
    <t>Present Value</t>
  </si>
  <si>
    <t>Total enterprice Value</t>
  </si>
  <si>
    <t>Add back the cash value</t>
  </si>
  <si>
    <t>Subtract Dept</t>
  </si>
  <si>
    <t>Equity</t>
  </si>
  <si>
    <t>Share Price</t>
  </si>
  <si>
    <t>Column1</t>
  </si>
  <si>
    <t>Column2</t>
  </si>
  <si>
    <t xml:space="preserve">Financing activies </t>
  </si>
  <si>
    <t>Financing cash flow</t>
  </si>
  <si>
    <t>Investment Theory (Fin435)</t>
  </si>
  <si>
    <t>Fall 2025</t>
  </si>
  <si>
    <t>Group Project Report on "Portfolio Optimization for Both DSE and Foreign Stocks"</t>
  </si>
  <si>
    <t>Submitted to:</t>
  </si>
  <si>
    <t>Hasan Mohammad Sami (HAS)</t>
  </si>
  <si>
    <t xml:space="preserve">Lecturer, </t>
  </si>
  <si>
    <t>Department of Accounting and Finance</t>
  </si>
  <si>
    <t>North South University</t>
  </si>
  <si>
    <t>Section: 1</t>
  </si>
  <si>
    <t>Submitted by:</t>
  </si>
  <si>
    <t>No.</t>
  </si>
  <si>
    <t>Name</t>
  </si>
  <si>
    <t>ID</t>
  </si>
  <si>
    <t>AKM. Shadaf Hossain</t>
  </si>
  <si>
    <t>Tahmina Akter Shammi</t>
  </si>
  <si>
    <t>Faiaz Ahmed Nafiz</t>
  </si>
  <si>
    <t>MD. Siddiqur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</si>
</sst>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3" fontId="0" fillId="0" borderId="1" xfId="0" applyNumberFormat="1" applyBorder="1"/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714376</xdr:colOff>
      <xdr:row>2</xdr:row>
      <xdr:rowOff>9526</xdr:rowOff>
    </xdr:from>
    <xdr:to>
      <xdr:col>2</xdr:col>
      <xdr:colOff>1619250</xdr:colOff>
      <xdr:row>7</xdr:row>
      <xdr:rowOff>85726</xdr:rowOff>
    </xdr:to>
    <xdr:pic>
      <xdr:nvPicPr>
        <xdr:cNvPr id="2" name="Picture 20" descr="FIN 254 | bushraatnsu">
          <a:extLst>
            <a:ext uri="{FF2B5EF4-FFF2-40B4-BE49-F238E27FC236}">
              <a16:creationId xmlns:a16="http://schemas.microsoft.com/office/drawing/2014/main" id="{980C9643-84EF-4634-A818-FE3A56E86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466726"/>
          <a:ext cx="6076949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26</xdr:row>
      <xdr:rowOff>38100</xdr:rowOff>
    </xdr:from>
    <xdr:to>
      <xdr:col>2</xdr:col>
      <xdr:colOff>2562225</xdr:colOff>
      <xdr:row>27</xdr:row>
      <xdr:rowOff>206916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4AD6E0D-90DA-4FD5-B042-BF0AA26F7F22}"/>
            </a:ext>
          </a:extLst>
        </xdr:cNvPr>
        <xdr:cNvSpPr txBox="1">
          <a:spLocks noChangeArrowheads="1"/>
        </xdr:cNvSpPr>
      </xdr:nvSpPr>
      <xdr:spPr bwMode="auto">
        <a:xfrm>
          <a:off x="104775" y="5981700"/>
          <a:ext cx="6315075" cy="397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800"/>
            </a:spcAft>
          </a:pPr>
          <a:r>
            <a:rPr lang="en-US" sz="1800" b="1" kern="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Date of Submission: 29</a:t>
          </a:r>
          <a:r>
            <a:rPr lang="en-US" sz="1800" b="1" kern="100" baseline="30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th</a:t>
          </a:r>
          <a:r>
            <a:rPr lang="en-US" sz="1800" b="1" kern="1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December, 2025</a:t>
          </a:r>
          <a:endParaRPr lang="en-US" sz="1200" kern="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6:B19" totalsRowShown="0">
  <autoFilter ref="A16:B19" xr:uid="{00000000-0009-0000-0100-000001000000}"/>
  <tableColumns count="2">
    <tableColumn id="1" xr3:uid="{00000000-0010-0000-0000-000001000000}" name="Column1"/>
    <tableColumn id="2" xr3:uid="{00000000-0010-0000-0000-000002000000}" name="Column2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25:B28" totalsRowShown="0">
  <autoFilter ref="A25:B28" xr:uid="{00000000-0009-0000-0100-000002000000}"/>
  <tableColumns count="2">
    <tableColumn id="1" xr3:uid="{00000000-0010-0000-0100-000001000000}" name="Column1"/>
    <tableColumn id="2" xr3:uid="{00000000-0010-0000-0100-000002000000}" name="Column2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A22:B25" totalsRowShown="0">
  <autoFilter ref="A22:B25" xr:uid="{00000000-0009-0000-0100-000003000000}"/>
  <tableColumns count="2">
    <tableColumn id="1" xr3:uid="{00000000-0010-0000-0200-000001000000}" name="Column1"/>
    <tableColumn id="2" xr3:uid="{00000000-0010-0000-0200-000002000000}" name="Column2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5" displayName="Table135" ref="A22:B25" totalsRowShown="0">
  <autoFilter ref="A22:B25" xr:uid="{00000000-0009-0000-0100-000004000000}"/>
  <tableColumns count="2">
    <tableColumn id="1" xr3:uid="{00000000-0010-0000-0300-000001000000}" name="Column1"/>
    <tableColumn id="2" xr3:uid="{00000000-0010-0000-0300-000002000000}" name="Column2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36" displayName="Table136" ref="A21:B24" totalsRowShown="0">
  <autoFilter ref="A21:B24" xr:uid="{00000000-0009-0000-0100-000005000000}"/>
  <tableColumns count="2">
    <tableColumn id="1" xr3:uid="{00000000-0010-0000-0400-000001000000}" name="Column1"/>
    <tableColumn id="2" xr3:uid="{00000000-0010-0000-0400-00000200000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9833-AB9F-4CB8-B943-ED866F62AC37}">
  <dimension ref="A1:C29"/>
  <sheetViews>
    <sheetView tabSelected="1" workbookViewId="0">
      <selection activeCell="I13" sqref="I13"/>
    </sheetView>
  </sheetViews>
  <sheetFormatPr defaultRowHeight="15" x14ac:dyDescent="0.25"/>
  <cols>
    <col min="1" max="1" width="22.85546875" customWidth="1"/>
    <col min="2" max="2" width="54.7109375" customWidth="1"/>
    <col min="3" max="3" width="36" customWidth="1"/>
  </cols>
  <sheetData>
    <row r="1" spans="1:3" ht="18" customHeight="1" x14ac:dyDescent="0.25">
      <c r="A1" s="9"/>
      <c r="B1" s="10"/>
      <c r="C1" s="10"/>
    </row>
    <row r="2" spans="1:3" ht="18" customHeight="1" x14ac:dyDescent="0.25">
      <c r="A2" s="9"/>
      <c r="B2" s="10"/>
      <c r="C2" s="10"/>
    </row>
    <row r="3" spans="1:3" ht="18" customHeight="1" x14ac:dyDescent="0.25">
      <c r="A3" s="9"/>
      <c r="B3" s="10"/>
      <c r="C3" s="10"/>
    </row>
    <row r="4" spans="1:3" ht="18" customHeight="1" x14ac:dyDescent="0.25">
      <c r="A4" s="9"/>
      <c r="B4" s="10"/>
      <c r="C4" s="10"/>
    </row>
    <row r="5" spans="1:3" ht="18" customHeight="1" x14ac:dyDescent="0.25">
      <c r="A5" s="9"/>
      <c r="B5" s="10"/>
      <c r="C5" s="10"/>
    </row>
    <row r="6" spans="1:3" ht="18" customHeight="1" x14ac:dyDescent="0.25">
      <c r="A6" s="9"/>
      <c r="B6" s="10"/>
      <c r="C6" s="10"/>
    </row>
    <row r="7" spans="1:3" ht="18" customHeight="1" x14ac:dyDescent="0.25">
      <c r="A7" s="9"/>
      <c r="B7" s="10"/>
      <c r="C7" s="10"/>
    </row>
    <row r="8" spans="1:3" ht="18" customHeight="1" x14ac:dyDescent="0.25">
      <c r="A8" s="11"/>
      <c r="B8" s="10"/>
      <c r="C8" s="10"/>
    </row>
    <row r="9" spans="1:3" ht="18" customHeight="1" x14ac:dyDescent="0.25">
      <c r="A9" s="12" t="s">
        <v>17</v>
      </c>
      <c r="B9" s="12"/>
      <c r="C9" s="12"/>
    </row>
    <row r="10" spans="1:3" ht="18" customHeight="1" x14ac:dyDescent="0.25">
      <c r="A10" s="12" t="s">
        <v>18</v>
      </c>
      <c r="B10" s="12"/>
      <c r="C10" s="12"/>
    </row>
    <row r="11" spans="1:3" ht="18" customHeight="1" x14ac:dyDescent="0.25">
      <c r="A11" s="13" t="s">
        <v>19</v>
      </c>
      <c r="B11" s="13"/>
      <c r="C11" s="13"/>
    </row>
    <row r="12" spans="1:3" ht="18" customHeight="1" x14ac:dyDescent="0.25">
      <c r="A12" s="13"/>
      <c r="B12" s="13"/>
      <c r="C12" s="13"/>
    </row>
    <row r="13" spans="1:3" ht="18" customHeight="1" x14ac:dyDescent="0.25">
      <c r="A13" s="14" t="s">
        <v>20</v>
      </c>
      <c r="B13" s="14"/>
      <c r="C13" s="14"/>
    </row>
    <row r="14" spans="1:3" ht="18" customHeight="1" x14ac:dyDescent="0.25">
      <c r="A14" s="14" t="s">
        <v>21</v>
      </c>
      <c r="B14" s="14"/>
      <c r="C14" s="14"/>
    </row>
    <row r="15" spans="1:3" ht="18" customHeight="1" x14ac:dyDescent="0.25">
      <c r="A15" s="14" t="s">
        <v>22</v>
      </c>
      <c r="B15" s="14"/>
      <c r="C15" s="14"/>
    </row>
    <row r="16" spans="1:3" ht="18" customHeight="1" x14ac:dyDescent="0.25">
      <c r="A16" s="14" t="s">
        <v>23</v>
      </c>
      <c r="B16" s="14"/>
      <c r="C16" s="14"/>
    </row>
    <row r="17" spans="1:3" ht="18" customHeight="1" x14ac:dyDescent="0.25">
      <c r="A17" s="14" t="s">
        <v>24</v>
      </c>
      <c r="B17" s="14"/>
      <c r="C17" s="14"/>
    </row>
    <row r="18" spans="1:3" ht="18" customHeight="1" x14ac:dyDescent="0.25">
      <c r="A18" s="14" t="s">
        <v>25</v>
      </c>
      <c r="B18" s="14"/>
      <c r="C18" s="14"/>
    </row>
    <row r="19" spans="1:3" ht="18" customHeight="1" x14ac:dyDescent="0.25">
      <c r="A19" s="15"/>
      <c r="B19" s="10"/>
      <c r="C19" s="10"/>
    </row>
    <row r="20" spans="1:3" ht="18" customHeight="1" thickBot="1" x14ac:dyDescent="0.3">
      <c r="A20" s="16" t="s">
        <v>26</v>
      </c>
      <c r="B20" s="16"/>
      <c r="C20" s="16"/>
    </row>
    <row r="21" spans="1:3" ht="18" customHeight="1" thickBot="1" x14ac:dyDescent="0.3">
      <c r="A21" s="17" t="s">
        <v>27</v>
      </c>
      <c r="B21" s="18" t="s">
        <v>28</v>
      </c>
      <c r="C21" s="18" t="s">
        <v>29</v>
      </c>
    </row>
    <row r="22" spans="1:3" ht="18" customHeight="1" thickBot="1" x14ac:dyDescent="0.3">
      <c r="A22" s="19">
        <v>1</v>
      </c>
      <c r="B22" s="20" t="s">
        <v>30</v>
      </c>
      <c r="C22" s="20">
        <v>2131564030</v>
      </c>
    </row>
    <row r="23" spans="1:3" ht="18" customHeight="1" thickBot="1" x14ac:dyDescent="0.3">
      <c r="A23" s="19">
        <v>2</v>
      </c>
      <c r="B23" s="20" t="s">
        <v>31</v>
      </c>
      <c r="C23" s="20">
        <v>2132445630</v>
      </c>
    </row>
    <row r="24" spans="1:3" ht="18" customHeight="1" thickBot="1" x14ac:dyDescent="0.3">
      <c r="A24" s="19">
        <v>3</v>
      </c>
      <c r="B24" s="20" t="s">
        <v>32</v>
      </c>
      <c r="C24" s="20">
        <v>2212391630</v>
      </c>
    </row>
    <row r="25" spans="1:3" ht="18" customHeight="1" thickBot="1" x14ac:dyDescent="0.3">
      <c r="A25" s="19">
        <v>4</v>
      </c>
      <c r="B25" s="20" t="s">
        <v>33</v>
      </c>
      <c r="C25" s="20">
        <v>2212821030</v>
      </c>
    </row>
    <row r="26" spans="1:3" x14ac:dyDescent="0.25">
      <c r="A26" s="10"/>
      <c r="B26" s="10"/>
      <c r="C26" s="10"/>
    </row>
    <row r="27" spans="1:3" x14ac:dyDescent="0.25">
      <c r="A27" s="10"/>
      <c r="B27" s="10"/>
      <c r="C27" s="10"/>
    </row>
    <row r="28" spans="1:3" x14ac:dyDescent="0.25">
      <c r="A28" s="10"/>
      <c r="B28" s="10"/>
      <c r="C28" s="10"/>
    </row>
    <row r="29" spans="1:3" x14ac:dyDescent="0.25">
      <c r="A29" s="10"/>
      <c r="B29" s="10"/>
      <c r="C29" s="10"/>
    </row>
  </sheetData>
  <mergeCells count="10">
    <mergeCell ref="A16:C16"/>
    <mergeCell ref="A17:C17"/>
    <mergeCell ref="A18:C18"/>
    <mergeCell ref="A20:C20"/>
    <mergeCell ref="A9:C9"/>
    <mergeCell ref="A10:C10"/>
    <mergeCell ref="A11:C12"/>
    <mergeCell ref="A13:C13"/>
    <mergeCell ref="A14:C14"/>
    <mergeCell ref="A15:C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workbookViewId="0">
      <selection activeCell="B7" sqref="B7"/>
    </sheetView>
  </sheetViews>
  <sheetFormatPr defaultRowHeight="15" x14ac:dyDescent="0.25"/>
  <cols>
    <col min="1" max="1" width="28" customWidth="1"/>
    <col min="2" max="2" width="17.7109375" customWidth="1"/>
    <col min="3" max="3" width="25.140625" customWidth="1"/>
    <col min="4" max="4" width="18.7109375" customWidth="1"/>
    <col min="5" max="5" width="19.7109375" customWidth="1"/>
    <col min="6" max="6" width="20.28515625" customWidth="1"/>
    <col min="7" max="7" width="27.42578125" customWidth="1"/>
    <col min="8" max="8" width="24.140625" customWidth="1"/>
    <col min="9" max="9" width="16.85546875" customWidth="1"/>
    <col min="10" max="10" width="19.28515625" customWidth="1"/>
    <col min="11" max="11" width="16.85546875" customWidth="1"/>
    <col min="12" max="12" width="16.42578125" bestFit="1" customWidth="1"/>
    <col min="13" max="13" width="20.5703125" customWidth="1"/>
    <col min="14" max="14" width="16.28515625" customWidth="1"/>
  </cols>
  <sheetData>
    <row r="1" spans="1:14" x14ac:dyDescent="0.25">
      <c r="B1" s="2" t="s">
        <v>0</v>
      </c>
    </row>
    <row r="3" spans="1:14" x14ac:dyDescent="0.25">
      <c r="B3" s="2"/>
      <c r="C3" s="2"/>
      <c r="D3" s="2"/>
      <c r="E3" s="2"/>
      <c r="F3" s="2"/>
      <c r="G3" s="2"/>
      <c r="I3" s="2"/>
      <c r="J3" s="2"/>
      <c r="K3" s="2"/>
      <c r="L3" s="2"/>
      <c r="M3" s="2"/>
      <c r="N3" s="2"/>
    </row>
    <row r="4" spans="1:14" x14ac:dyDescent="0.25">
      <c r="B4">
        <v>0</v>
      </c>
      <c r="C4">
        <v>1</v>
      </c>
      <c r="D4">
        <v>2</v>
      </c>
      <c r="E4">
        <v>3</v>
      </c>
      <c r="F4">
        <v>4</v>
      </c>
      <c r="I4">
        <v>7</v>
      </c>
    </row>
    <row r="5" spans="1:14" x14ac:dyDescent="0.25">
      <c r="A5" s="5"/>
      <c r="B5" s="6">
        <v>2018</v>
      </c>
      <c r="C5" s="6">
        <v>2019</v>
      </c>
      <c r="D5" s="6">
        <v>2020</v>
      </c>
      <c r="E5" s="6">
        <v>2021</v>
      </c>
      <c r="F5" s="6">
        <v>2022</v>
      </c>
      <c r="G5" s="6">
        <v>2023</v>
      </c>
      <c r="H5" s="6">
        <v>2024</v>
      </c>
      <c r="I5" s="6">
        <v>2024</v>
      </c>
      <c r="J5" s="6">
        <v>2024</v>
      </c>
      <c r="K5" s="6">
        <v>2024</v>
      </c>
      <c r="L5" s="6">
        <v>2024</v>
      </c>
      <c r="M5" s="6">
        <v>2024</v>
      </c>
      <c r="N5" s="6">
        <v>2024</v>
      </c>
    </row>
    <row r="6" spans="1:14" x14ac:dyDescent="0.25">
      <c r="A6" s="7" t="s">
        <v>1</v>
      </c>
      <c r="B6" s="8">
        <v>40800658000</v>
      </c>
      <c r="C6" s="8">
        <f>B6*(1+$B17)^C4</f>
        <v>43452700770</v>
      </c>
      <c r="D6" s="8">
        <f t="shared" ref="D6:N6" si="0">C6*(1+$B17)^D4</f>
        <v>49285139530.853241</v>
      </c>
      <c r="E6" s="8">
        <f t="shared" si="0"/>
        <v>59533965814.366837</v>
      </c>
      <c r="F6" s="8">
        <f t="shared" si="0"/>
        <v>76588443739.441986</v>
      </c>
      <c r="G6" s="8">
        <f t="shared" si="0"/>
        <v>76588443739.441986</v>
      </c>
      <c r="H6" s="8">
        <f t="shared" si="0"/>
        <v>76588443739.441986</v>
      </c>
      <c r="I6" s="8">
        <f t="shared" si="0"/>
        <v>119017411135.81705</v>
      </c>
      <c r="J6" s="8">
        <f t="shared" si="0"/>
        <v>119017411135.81705</v>
      </c>
      <c r="K6" s="8">
        <f t="shared" si="0"/>
        <v>119017411135.81705</v>
      </c>
      <c r="L6" s="8">
        <f t="shared" si="0"/>
        <v>119017411135.81705</v>
      </c>
      <c r="M6" s="8">
        <f t="shared" si="0"/>
        <v>119017411135.81705</v>
      </c>
      <c r="N6" s="8">
        <f t="shared" si="0"/>
        <v>119017411135.81705</v>
      </c>
    </row>
    <row r="7" spans="1:14" x14ac:dyDescent="0.25">
      <c r="A7" s="7" t="s">
        <v>2</v>
      </c>
      <c r="B7" s="8">
        <f>B6*(1+B18)/B19</f>
        <v>527858512875</v>
      </c>
      <c r="C7" s="8">
        <f>C6*(1+$B18)/$B19</f>
        <v>562169316211.875</v>
      </c>
      <c r="D7" s="8">
        <f t="shared" ref="D7:N7" si="1">D6*(1+$B18)/$B19</f>
        <v>637626492680.4137</v>
      </c>
      <c r="E7" s="8">
        <f t="shared" si="1"/>
        <v>770220682723.37097</v>
      </c>
      <c r="F7" s="8">
        <f t="shared" si="1"/>
        <v>990862990879.03064</v>
      </c>
      <c r="G7" s="8">
        <f t="shared" si="1"/>
        <v>990862990879.03064</v>
      </c>
      <c r="H7" s="8">
        <f t="shared" si="1"/>
        <v>990862990879.03064</v>
      </c>
      <c r="I7" s="8">
        <f t="shared" si="1"/>
        <v>1539787756569.6328</v>
      </c>
      <c r="J7" s="8">
        <f t="shared" si="1"/>
        <v>1539787756569.6328</v>
      </c>
      <c r="K7" s="8">
        <f t="shared" si="1"/>
        <v>1539787756569.6328</v>
      </c>
      <c r="L7" s="8">
        <f t="shared" si="1"/>
        <v>1539787756569.6328</v>
      </c>
      <c r="M7" s="8">
        <f t="shared" si="1"/>
        <v>1539787756569.6328</v>
      </c>
      <c r="N7" s="8">
        <f t="shared" si="1"/>
        <v>1539787756569.6328</v>
      </c>
    </row>
    <row r="8" spans="1:14" x14ac:dyDescent="0.25">
      <c r="A8" s="7" t="s">
        <v>15</v>
      </c>
      <c r="B8" s="8">
        <v>3605043000</v>
      </c>
      <c r="C8" s="8">
        <f>B8*(1+B17)</f>
        <v>3839370795</v>
      </c>
      <c r="D8" s="8">
        <f t="shared" ref="D8:N8" si="2">C8*(1+C17)</f>
        <v>3839370795</v>
      </c>
      <c r="E8" s="8">
        <f t="shared" si="2"/>
        <v>3839370795</v>
      </c>
      <c r="F8" s="8">
        <f t="shared" si="2"/>
        <v>3839370795</v>
      </c>
      <c r="G8" s="8">
        <f t="shared" si="2"/>
        <v>3839370795</v>
      </c>
      <c r="H8" s="8">
        <f t="shared" si="2"/>
        <v>3839370795</v>
      </c>
      <c r="I8" s="8">
        <f t="shared" si="2"/>
        <v>3839370795</v>
      </c>
      <c r="J8" s="8">
        <f t="shared" si="2"/>
        <v>3839370795</v>
      </c>
      <c r="K8" s="8">
        <f t="shared" si="2"/>
        <v>3839370795</v>
      </c>
      <c r="L8" s="8">
        <f t="shared" si="2"/>
        <v>3839370795</v>
      </c>
      <c r="M8" s="8">
        <f t="shared" si="2"/>
        <v>3839370795</v>
      </c>
      <c r="N8" s="8">
        <f t="shared" si="2"/>
        <v>3839370795</v>
      </c>
    </row>
    <row r="9" spans="1:14" x14ac:dyDescent="0.25">
      <c r="A9" s="6" t="s">
        <v>6</v>
      </c>
      <c r="B9" s="8"/>
      <c r="C9" s="8">
        <f>SUM(C6:C8)</f>
        <v>609461387776.875</v>
      </c>
      <c r="D9" s="8">
        <f t="shared" ref="D9:N9" si="3">SUM(D6:D8)</f>
        <v>690751003006.26697</v>
      </c>
      <c r="E9" s="8">
        <f t="shared" si="3"/>
        <v>833594019332.73779</v>
      </c>
      <c r="F9" s="8">
        <f t="shared" si="3"/>
        <v>1071290805413.4727</v>
      </c>
      <c r="G9" s="8">
        <f t="shared" si="3"/>
        <v>1071290805413.4727</v>
      </c>
      <c r="H9" s="8">
        <f t="shared" si="3"/>
        <v>1071290805413.4727</v>
      </c>
      <c r="I9" s="8">
        <f t="shared" si="3"/>
        <v>1662644538500.45</v>
      </c>
      <c r="J9" s="8">
        <f t="shared" si="3"/>
        <v>1662644538500.45</v>
      </c>
      <c r="K9" s="8">
        <f t="shared" si="3"/>
        <v>1662644538500.45</v>
      </c>
      <c r="L9" s="8">
        <f t="shared" si="3"/>
        <v>1662644538500.45</v>
      </c>
      <c r="M9" s="8">
        <f t="shared" si="3"/>
        <v>1662644538500.45</v>
      </c>
      <c r="N9" s="8">
        <f t="shared" si="3"/>
        <v>1662644538500.45</v>
      </c>
    </row>
    <row r="10" spans="1:14" x14ac:dyDescent="0.25">
      <c r="A10" s="7" t="s">
        <v>7</v>
      </c>
      <c r="B10" s="5"/>
      <c r="C10" s="5">
        <f>C9*(1+$B19)^-$C4</f>
        <v>564316099793.40271</v>
      </c>
      <c r="D10" s="5">
        <f t="shared" ref="D10:N10" si="4">D9*(1+$B19)^-$C4</f>
        <v>639584262042.83972</v>
      </c>
      <c r="E10" s="5">
        <f t="shared" si="4"/>
        <v>771846314196.97937</v>
      </c>
      <c r="F10" s="5">
        <f t="shared" si="4"/>
        <v>991935930938.40051</v>
      </c>
      <c r="G10" s="5">
        <f t="shared" si="4"/>
        <v>991935930938.40051</v>
      </c>
      <c r="H10" s="5">
        <f t="shared" si="4"/>
        <v>991935930938.40051</v>
      </c>
      <c r="I10" s="5">
        <f t="shared" si="4"/>
        <v>1539485683796.7126</v>
      </c>
      <c r="J10" s="5">
        <f t="shared" si="4"/>
        <v>1539485683796.7126</v>
      </c>
      <c r="K10" s="5">
        <f t="shared" si="4"/>
        <v>1539485683796.7126</v>
      </c>
      <c r="L10" s="5">
        <f t="shared" si="4"/>
        <v>1539485683796.7126</v>
      </c>
      <c r="M10" s="5">
        <f t="shared" si="4"/>
        <v>1539485683796.7126</v>
      </c>
      <c r="N10" s="5">
        <f t="shared" si="4"/>
        <v>1539485683796.7126</v>
      </c>
    </row>
    <row r="11" spans="1:14" x14ac:dyDescent="0.25">
      <c r="A11" s="7" t="s">
        <v>8</v>
      </c>
      <c r="B11" s="5"/>
      <c r="C11" s="5"/>
      <c r="D11" s="5"/>
      <c r="E11" s="5"/>
      <c r="F11" s="5"/>
      <c r="G11" s="5">
        <f>SUM(C10:G10)</f>
        <v>3959618537910.0225</v>
      </c>
      <c r="H11" s="5">
        <f t="shared" ref="H11:N11" si="5">SUM(D10:H10)</f>
        <v>4387238369055.0205</v>
      </c>
      <c r="I11" s="5">
        <f t="shared" si="5"/>
        <v>5287139790808.8936</v>
      </c>
      <c r="J11" s="5">
        <f t="shared" si="5"/>
        <v>6054779160408.627</v>
      </c>
      <c r="K11" s="5">
        <f t="shared" si="5"/>
        <v>6602328913266.9395</v>
      </c>
      <c r="L11" s="5">
        <f t="shared" si="5"/>
        <v>7149878666125.252</v>
      </c>
      <c r="M11" s="5">
        <f t="shared" si="5"/>
        <v>7697428418983.5635</v>
      </c>
      <c r="N11" s="5">
        <f t="shared" si="5"/>
        <v>7697428418983.5635</v>
      </c>
    </row>
    <row r="12" spans="1:14" x14ac:dyDescent="0.25">
      <c r="A12" s="7" t="s">
        <v>9</v>
      </c>
      <c r="B12" s="5"/>
      <c r="C12" s="5"/>
      <c r="D12" s="5"/>
      <c r="E12" s="5"/>
      <c r="F12" s="5"/>
      <c r="G12" s="8">
        <v>203039006000</v>
      </c>
      <c r="H12" s="8">
        <v>203039006000</v>
      </c>
      <c r="I12" s="8">
        <v>203039006000</v>
      </c>
      <c r="J12" s="8">
        <v>203039006000</v>
      </c>
      <c r="K12" s="8">
        <v>203039006000</v>
      </c>
      <c r="L12" s="8">
        <v>203039006000</v>
      </c>
      <c r="M12" s="8">
        <v>203039006000</v>
      </c>
      <c r="N12" s="8">
        <v>203039006000</v>
      </c>
    </row>
    <row r="13" spans="1:14" x14ac:dyDescent="0.25">
      <c r="A13" s="7" t="s">
        <v>10</v>
      </c>
      <c r="B13" s="8"/>
      <c r="C13" s="8"/>
      <c r="D13" s="8"/>
      <c r="E13" s="8"/>
      <c r="F13" s="8"/>
      <c r="G13" s="8">
        <v>219003657000</v>
      </c>
      <c r="H13" s="8">
        <v>219003657000</v>
      </c>
      <c r="I13" s="8">
        <v>219003657000</v>
      </c>
      <c r="J13" s="8">
        <v>219003657000</v>
      </c>
      <c r="K13" s="8">
        <v>219003657000</v>
      </c>
      <c r="L13" s="8">
        <v>219003657000</v>
      </c>
      <c r="M13" s="8">
        <v>219003657000</v>
      </c>
      <c r="N13" s="8">
        <v>219003657000</v>
      </c>
    </row>
    <row r="14" spans="1:14" x14ac:dyDescent="0.25">
      <c r="A14" s="7" t="s">
        <v>11</v>
      </c>
      <c r="B14" s="5"/>
      <c r="C14" s="5"/>
      <c r="D14" s="5"/>
      <c r="E14" s="5"/>
      <c r="F14" s="5"/>
      <c r="G14" s="8">
        <f>G11+G12-G13</f>
        <v>3943653886910.0225</v>
      </c>
      <c r="H14" s="8">
        <f t="shared" ref="H14:N14" si="6">H11+H12-H13</f>
        <v>4371273718055.0205</v>
      </c>
      <c r="I14" s="8">
        <f t="shared" si="6"/>
        <v>5271175139808.8936</v>
      </c>
      <c r="J14" s="8">
        <f t="shared" si="6"/>
        <v>6038814509408.627</v>
      </c>
      <c r="K14" s="8">
        <f t="shared" si="6"/>
        <v>6586364262266.9395</v>
      </c>
      <c r="L14" s="8">
        <f t="shared" si="6"/>
        <v>7133914015125.252</v>
      </c>
      <c r="M14" s="8">
        <f t="shared" si="6"/>
        <v>7681463767983.5635</v>
      </c>
      <c r="N14" s="8">
        <f t="shared" si="6"/>
        <v>7681463767983.5635</v>
      </c>
    </row>
    <row r="15" spans="1:14" x14ac:dyDescent="0.25">
      <c r="A15" s="6" t="s">
        <v>12</v>
      </c>
      <c r="B15" s="5"/>
      <c r="C15" s="5"/>
      <c r="D15" s="5"/>
      <c r="E15" s="5"/>
      <c r="F15" s="5"/>
      <c r="G15" s="5">
        <f>G14/5.24</f>
        <v>752605703608.78284</v>
      </c>
      <c r="H15" s="5">
        <f t="shared" ref="H15:N15" si="7">H14/5.24</f>
        <v>834212541613.55347</v>
      </c>
      <c r="I15" s="5">
        <f t="shared" si="7"/>
        <v>1005949454162.0026</v>
      </c>
      <c r="J15" s="5">
        <f t="shared" si="7"/>
        <v>1152445517062.7151</v>
      </c>
      <c r="K15" s="5">
        <f t="shared" si="7"/>
        <v>1256939744707.4312</v>
      </c>
      <c r="L15" s="5">
        <f t="shared" si="7"/>
        <v>1361433972352.1472</v>
      </c>
      <c r="M15" s="5">
        <f t="shared" si="7"/>
        <v>1465928199996.8633</v>
      </c>
      <c r="N15" s="5">
        <f t="shared" si="7"/>
        <v>1465928199996.8633</v>
      </c>
    </row>
    <row r="16" spans="1:14" x14ac:dyDescent="0.25">
      <c r="A16" t="s">
        <v>13</v>
      </c>
      <c r="B16" s="3" t="s">
        <v>14</v>
      </c>
    </row>
    <row r="17" spans="1:7" x14ac:dyDescent="0.25">
      <c r="A17" t="s">
        <v>3</v>
      </c>
      <c r="B17" s="3">
        <v>6.5000000000000002E-2</v>
      </c>
    </row>
    <row r="18" spans="1:7" x14ac:dyDescent="0.25">
      <c r="A18" t="s">
        <v>4</v>
      </c>
      <c r="B18" s="3">
        <v>3.5000000000000003E-2</v>
      </c>
    </row>
    <row r="19" spans="1:7" x14ac:dyDescent="0.25">
      <c r="A19" t="s">
        <v>5</v>
      </c>
      <c r="B19" s="3">
        <v>0.08</v>
      </c>
    </row>
    <row r="23" spans="1:7" x14ac:dyDescent="0.25">
      <c r="B23" s="2"/>
      <c r="C23" s="2"/>
      <c r="D23" s="2"/>
      <c r="E23" s="2"/>
      <c r="F23" s="2"/>
      <c r="G23" s="2"/>
    </row>
    <row r="26" spans="1:7" x14ac:dyDescent="0.25">
      <c r="A26" s="4"/>
      <c r="B26" s="1"/>
      <c r="C26" s="1"/>
      <c r="D26" s="1"/>
      <c r="E26" s="1"/>
      <c r="F26" s="1"/>
      <c r="G26" s="1"/>
    </row>
    <row r="27" spans="1:7" x14ac:dyDescent="0.25">
      <c r="A27" s="4"/>
      <c r="B27" s="1"/>
      <c r="C27" s="1"/>
      <c r="D27" s="1"/>
      <c r="E27" s="1"/>
      <c r="F27" s="1"/>
      <c r="G27" s="1"/>
    </row>
    <row r="28" spans="1:7" x14ac:dyDescent="0.25">
      <c r="A28" s="4"/>
      <c r="B28" s="1"/>
      <c r="C28" s="1"/>
      <c r="D28" s="1"/>
      <c r="E28" s="1"/>
      <c r="F28" s="1"/>
      <c r="G28" s="1"/>
    </row>
    <row r="29" spans="1:7" x14ac:dyDescent="0.25">
      <c r="A29" s="2"/>
      <c r="B29" s="1"/>
      <c r="C29" s="1"/>
      <c r="D29" s="1"/>
      <c r="E29" s="1"/>
      <c r="F29" s="1"/>
      <c r="G29" s="1"/>
    </row>
    <row r="30" spans="1:7" x14ac:dyDescent="0.25">
      <c r="A30" s="4"/>
    </row>
    <row r="31" spans="1:7" x14ac:dyDescent="0.25">
      <c r="A31" s="4"/>
    </row>
    <row r="32" spans="1:7" x14ac:dyDescent="0.25">
      <c r="A32" s="4"/>
      <c r="C32" s="1"/>
      <c r="G32" s="1"/>
    </row>
    <row r="33" spans="1:7" x14ac:dyDescent="0.25">
      <c r="A33" s="4"/>
      <c r="B33" s="1"/>
      <c r="D33" s="1"/>
      <c r="E33" s="1"/>
      <c r="F33" s="1"/>
      <c r="G33" s="1"/>
    </row>
    <row r="34" spans="1:7" x14ac:dyDescent="0.25">
      <c r="G3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28"/>
  <sheetViews>
    <sheetView workbookViewId="0">
      <selection activeCell="A5" sqref="A5:N15"/>
    </sheetView>
  </sheetViews>
  <sheetFormatPr defaultRowHeight="15" x14ac:dyDescent="0.25"/>
  <cols>
    <col min="1" max="1" width="32.7109375" customWidth="1"/>
    <col min="2" max="2" width="18.28515625" customWidth="1"/>
    <col min="3" max="3" width="24.42578125" customWidth="1"/>
    <col min="4" max="4" width="13.85546875" bestFit="1" customWidth="1"/>
    <col min="5" max="5" width="15.140625" customWidth="1"/>
    <col min="6" max="6" width="15.5703125" customWidth="1"/>
    <col min="7" max="7" width="18.5703125" customWidth="1"/>
    <col min="8" max="8" width="22.28515625" customWidth="1"/>
    <col min="9" max="9" width="19.28515625" customWidth="1"/>
    <col min="10" max="10" width="20.5703125" customWidth="1"/>
    <col min="11" max="11" width="16.7109375" customWidth="1"/>
    <col min="12" max="12" width="18.5703125" customWidth="1"/>
    <col min="13" max="13" width="18.140625" customWidth="1"/>
    <col min="14" max="14" width="20.7109375" customWidth="1"/>
  </cols>
  <sheetData>
    <row r="4" spans="1:14" x14ac:dyDescent="0.25"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14" x14ac:dyDescent="0.25">
      <c r="A5" s="5"/>
      <c r="B5" s="6">
        <v>2018</v>
      </c>
      <c r="C5" s="6">
        <v>2019</v>
      </c>
      <c r="D5" s="6">
        <v>2020</v>
      </c>
      <c r="E5" s="6">
        <v>2021</v>
      </c>
      <c r="F5" s="6">
        <v>2022</v>
      </c>
      <c r="G5" s="6">
        <v>2023</v>
      </c>
      <c r="H5" s="6">
        <v>2024</v>
      </c>
      <c r="I5" s="6">
        <v>2025</v>
      </c>
      <c r="J5" s="6">
        <v>2026</v>
      </c>
      <c r="K5" s="6">
        <v>2027</v>
      </c>
      <c r="L5" s="6">
        <v>2028</v>
      </c>
      <c r="M5" s="6">
        <v>2029</v>
      </c>
      <c r="N5" s="6">
        <v>2030</v>
      </c>
    </row>
    <row r="6" spans="1:14" x14ac:dyDescent="0.25">
      <c r="A6" s="7" t="s">
        <v>1</v>
      </c>
      <c r="B6" s="8">
        <v>89506229245</v>
      </c>
      <c r="C6" s="8">
        <v>89506229245</v>
      </c>
      <c r="D6" s="8">
        <v>89506229245</v>
      </c>
      <c r="E6" s="8">
        <v>89506229245</v>
      </c>
      <c r="F6" s="8">
        <v>89506229245</v>
      </c>
      <c r="G6" s="8">
        <v>89506229245</v>
      </c>
      <c r="H6" s="8">
        <v>89506229245</v>
      </c>
      <c r="I6" s="8">
        <v>89506229245</v>
      </c>
      <c r="J6" s="8">
        <v>89506229245</v>
      </c>
      <c r="K6" s="8">
        <v>89506229245</v>
      </c>
      <c r="L6" s="8">
        <v>89506229245</v>
      </c>
      <c r="M6" s="8">
        <v>89506229245</v>
      </c>
      <c r="N6" s="8">
        <v>89506229245</v>
      </c>
    </row>
    <row r="7" spans="1:14" x14ac:dyDescent="0.25">
      <c r="A7" s="7" t="s">
        <v>2</v>
      </c>
      <c r="B7" s="5">
        <f>B6*(1+B27)/B28</f>
        <v>722934928517.30762</v>
      </c>
      <c r="C7" s="5">
        <f>C6*(1+$B27)/$B28</f>
        <v>722934928517.30762</v>
      </c>
      <c r="D7" s="5">
        <f>D6*(1+$B27)/$B28</f>
        <v>722934928517.30762</v>
      </c>
      <c r="E7" s="5">
        <f t="shared" ref="E7:G7" si="0">E6*(1+$B27)/$B28</f>
        <v>722934928517.30762</v>
      </c>
      <c r="F7" s="5">
        <f t="shared" si="0"/>
        <v>722934928517.30762</v>
      </c>
      <c r="G7" s="5">
        <f t="shared" si="0"/>
        <v>722934928517.30762</v>
      </c>
      <c r="H7" s="5">
        <f t="shared" ref="H7" si="1">H6*(1+$B27)/$B28</f>
        <v>722934928517.30762</v>
      </c>
      <c r="I7" s="5">
        <f t="shared" ref="I7" si="2">I6*(1+$B27)/$B28</f>
        <v>722934928517.30762</v>
      </c>
      <c r="J7" s="5">
        <f t="shared" ref="J7" si="3">J6*(1+$B27)/$B28</f>
        <v>722934928517.30762</v>
      </c>
      <c r="K7" s="5">
        <f t="shared" ref="K7" si="4">K6*(1+$B27)/$B28</f>
        <v>722934928517.30762</v>
      </c>
      <c r="L7" s="5">
        <f t="shared" ref="L7" si="5">L6*(1+$B27)/$B28</f>
        <v>722934928517.30762</v>
      </c>
      <c r="M7" s="5">
        <f t="shared" ref="M7" si="6">M6*(1+$B27)/$B28</f>
        <v>722934928517.30762</v>
      </c>
      <c r="N7" s="5">
        <f t="shared" ref="N7" si="7">N6*(1+$B27)/$B28</f>
        <v>722934928517.30762</v>
      </c>
    </row>
    <row r="8" spans="1:1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25">
      <c r="A9" s="6" t="s">
        <v>6</v>
      </c>
      <c r="B9" s="5"/>
      <c r="C9" s="8">
        <f>SUM(C6:C7)</f>
        <v>812441157762.30762</v>
      </c>
      <c r="D9" s="5">
        <f t="shared" ref="D9:N9" si="8">SUM(D6:D7)</f>
        <v>812441157762.30762</v>
      </c>
      <c r="E9" s="5">
        <f t="shared" si="8"/>
        <v>812441157762.30762</v>
      </c>
      <c r="F9" s="5">
        <f t="shared" si="8"/>
        <v>812441157762.30762</v>
      </c>
      <c r="G9" s="5">
        <f t="shared" si="8"/>
        <v>812441157762.30762</v>
      </c>
      <c r="H9" s="5">
        <f t="shared" si="8"/>
        <v>812441157762.30762</v>
      </c>
      <c r="I9" s="5">
        <f t="shared" si="8"/>
        <v>812441157762.30762</v>
      </c>
      <c r="J9" s="5">
        <f t="shared" si="8"/>
        <v>812441157762.30762</v>
      </c>
      <c r="K9" s="5">
        <f t="shared" si="8"/>
        <v>812441157762.30762</v>
      </c>
      <c r="L9" s="5">
        <f t="shared" si="8"/>
        <v>812441157762.30762</v>
      </c>
      <c r="M9" s="5">
        <f t="shared" si="8"/>
        <v>812441157762.30762</v>
      </c>
      <c r="N9" s="5">
        <f t="shared" si="8"/>
        <v>812441157762.30762</v>
      </c>
    </row>
    <row r="10" spans="1:14" x14ac:dyDescent="0.25">
      <c r="A10" s="7" t="s">
        <v>7</v>
      </c>
      <c r="B10" s="5"/>
      <c r="C10" s="5">
        <f>C9*(1+$B28)^-1</f>
        <v>718974475895.84753</v>
      </c>
      <c r="D10" s="5">
        <f>D9*(1+$B28)^-2</f>
        <v>636260598137.91821</v>
      </c>
      <c r="E10" s="5">
        <f>E9*(1+$B28)^-3</f>
        <v>563062476228.24634</v>
      </c>
      <c r="F10" s="5">
        <f>F9*(1+$B28)^-4</f>
        <v>498285377193.13837</v>
      </c>
      <c r="G10" s="5">
        <f>G9*(1+$B28)^-5</f>
        <v>440960510790.388</v>
      </c>
      <c r="H10" s="5">
        <f t="shared" ref="H10:N10" si="9">H9*(1+$B28)^-5</f>
        <v>440960510790.388</v>
      </c>
      <c r="I10" s="5">
        <f t="shared" si="9"/>
        <v>440960510790.388</v>
      </c>
      <c r="J10" s="5">
        <f t="shared" si="9"/>
        <v>440960510790.388</v>
      </c>
      <c r="K10" s="5">
        <f t="shared" si="9"/>
        <v>440960510790.388</v>
      </c>
      <c r="L10" s="5">
        <f t="shared" si="9"/>
        <v>440960510790.388</v>
      </c>
      <c r="M10" s="5">
        <f t="shared" si="9"/>
        <v>440960510790.388</v>
      </c>
      <c r="N10" s="5">
        <f t="shared" si="9"/>
        <v>440960510790.388</v>
      </c>
    </row>
    <row r="11" spans="1:14" x14ac:dyDescent="0.25">
      <c r="A11" s="7" t="s">
        <v>8</v>
      </c>
      <c r="B11" s="5"/>
      <c r="C11" s="5"/>
      <c r="D11" s="5"/>
      <c r="E11" s="5"/>
      <c r="F11" s="5"/>
      <c r="G11" s="5">
        <f>SUM(C10:G10)</f>
        <v>2857543438245.5386</v>
      </c>
      <c r="H11" s="5">
        <f t="shared" ref="H11:N11" si="10">SUM(D10:H10)</f>
        <v>2579529473140.0791</v>
      </c>
      <c r="I11" s="5">
        <f t="shared" si="10"/>
        <v>2384229385792.5488</v>
      </c>
      <c r="J11" s="5">
        <f t="shared" si="10"/>
        <v>2262127420354.6904</v>
      </c>
      <c r="K11" s="5">
        <f t="shared" si="10"/>
        <v>2204802553951.9399</v>
      </c>
      <c r="L11" s="5">
        <f t="shared" si="10"/>
        <v>2204802553951.9399</v>
      </c>
      <c r="M11" s="5">
        <f t="shared" si="10"/>
        <v>2204802553951.9399</v>
      </c>
      <c r="N11" s="5">
        <f t="shared" si="10"/>
        <v>2204802553951.9399</v>
      </c>
    </row>
    <row r="12" spans="1:14" x14ac:dyDescent="0.25">
      <c r="A12" s="7" t="s">
        <v>9</v>
      </c>
      <c r="B12" s="5"/>
      <c r="C12" s="5"/>
      <c r="D12" s="5"/>
      <c r="E12" s="5"/>
      <c r="F12" s="5"/>
      <c r="G12" s="8">
        <v>576119668</v>
      </c>
      <c r="H12" s="8">
        <v>576119668</v>
      </c>
      <c r="I12" s="8">
        <v>576119668</v>
      </c>
      <c r="J12" s="8">
        <v>576119668</v>
      </c>
      <c r="K12" s="8">
        <v>576119668</v>
      </c>
      <c r="L12" s="8">
        <v>576119668</v>
      </c>
      <c r="M12" s="8">
        <v>576119668</v>
      </c>
      <c r="N12" s="8">
        <v>576119668</v>
      </c>
    </row>
    <row r="13" spans="1:14" x14ac:dyDescent="0.25">
      <c r="A13" s="7" t="s">
        <v>10</v>
      </c>
      <c r="B13" s="5"/>
      <c r="C13" s="5"/>
      <c r="D13" s="5"/>
      <c r="E13" s="5"/>
      <c r="F13" s="5"/>
      <c r="G13" s="8">
        <v>709558953422</v>
      </c>
      <c r="H13" s="8">
        <v>709558953422</v>
      </c>
      <c r="I13" s="8">
        <v>709558953422</v>
      </c>
      <c r="J13" s="8">
        <v>709558953422</v>
      </c>
      <c r="K13" s="8">
        <v>709558953422</v>
      </c>
      <c r="L13" s="8">
        <v>709558953422</v>
      </c>
      <c r="M13" s="8">
        <v>709558953422</v>
      </c>
      <c r="N13" s="8">
        <v>709558953422</v>
      </c>
    </row>
    <row r="14" spans="1:14" x14ac:dyDescent="0.25">
      <c r="A14" s="7" t="s">
        <v>11</v>
      </c>
      <c r="B14" s="5"/>
      <c r="C14" s="5"/>
      <c r="D14" s="5"/>
      <c r="E14" s="5"/>
      <c r="F14" s="5"/>
      <c r="G14" s="8">
        <f>G11+G12-G13</f>
        <v>2148560604491.5386</v>
      </c>
      <c r="H14" s="8">
        <f t="shared" ref="H14:N14" si="11">H11+H12-H13</f>
        <v>1870546639386.0791</v>
      </c>
      <c r="I14" s="8">
        <f t="shared" si="11"/>
        <v>1675246552038.5488</v>
      </c>
      <c r="J14" s="8">
        <f t="shared" si="11"/>
        <v>1553144586600.6904</v>
      </c>
      <c r="K14" s="8">
        <f t="shared" si="11"/>
        <v>1495819720197.9399</v>
      </c>
      <c r="L14" s="8">
        <f t="shared" si="11"/>
        <v>1495819720197.9399</v>
      </c>
      <c r="M14" s="8">
        <f t="shared" si="11"/>
        <v>1495819720197.9399</v>
      </c>
      <c r="N14" s="8">
        <f t="shared" si="11"/>
        <v>1495819720197.9399</v>
      </c>
    </row>
    <row r="15" spans="1:14" x14ac:dyDescent="0.25">
      <c r="A15" s="6" t="s">
        <v>12</v>
      </c>
      <c r="B15" s="5"/>
      <c r="C15" s="5"/>
      <c r="D15" s="5"/>
      <c r="E15" s="5"/>
      <c r="F15" s="5"/>
      <c r="G15" s="5">
        <f>G14/1.2</f>
        <v>1790467170409.6155</v>
      </c>
      <c r="H15" s="5">
        <f t="shared" ref="H15:N15" si="12">H14/1.2</f>
        <v>1558788866155.0659</v>
      </c>
      <c r="I15" s="5">
        <f t="shared" si="12"/>
        <v>1396038793365.4575</v>
      </c>
      <c r="J15" s="5">
        <f t="shared" si="12"/>
        <v>1294287155500.5754</v>
      </c>
      <c r="K15" s="5">
        <f t="shared" si="12"/>
        <v>1246516433498.2834</v>
      </c>
      <c r="L15" s="5">
        <f t="shared" si="12"/>
        <v>1246516433498.2834</v>
      </c>
      <c r="M15" s="5">
        <f t="shared" si="12"/>
        <v>1246516433498.2834</v>
      </c>
      <c r="N15" s="5">
        <f t="shared" si="12"/>
        <v>1246516433498.2834</v>
      </c>
    </row>
    <row r="25" spans="1:2" x14ac:dyDescent="0.25">
      <c r="A25" t="s">
        <v>13</v>
      </c>
      <c r="B25" s="3" t="s">
        <v>14</v>
      </c>
    </row>
    <row r="26" spans="1:2" x14ac:dyDescent="0.25">
      <c r="A26" t="s">
        <v>3</v>
      </c>
      <c r="B26" s="3">
        <v>0.1</v>
      </c>
    </row>
    <row r="27" spans="1:2" x14ac:dyDescent="0.25">
      <c r="A27" t="s">
        <v>4</v>
      </c>
      <c r="B27" s="3">
        <v>0.05</v>
      </c>
    </row>
    <row r="28" spans="1:2" x14ac:dyDescent="0.25">
      <c r="A28" t="s">
        <v>5</v>
      </c>
      <c r="B28" s="3">
        <v>0.13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25"/>
  <sheetViews>
    <sheetView workbookViewId="0">
      <selection activeCell="A4" sqref="A4:N14"/>
    </sheetView>
  </sheetViews>
  <sheetFormatPr defaultRowHeight="15" x14ac:dyDescent="0.25"/>
  <cols>
    <col min="1" max="1" width="30.7109375" customWidth="1"/>
    <col min="2" max="2" width="15.7109375" customWidth="1"/>
    <col min="3" max="3" width="16.28515625" customWidth="1"/>
    <col min="4" max="4" width="19.5703125" customWidth="1"/>
    <col min="5" max="5" width="23.28515625" customWidth="1"/>
    <col min="6" max="6" width="20.42578125" customWidth="1"/>
    <col min="7" max="7" width="20.28515625" customWidth="1"/>
    <col min="8" max="8" width="16.7109375" customWidth="1"/>
    <col min="9" max="9" width="19.28515625" customWidth="1"/>
    <col min="10" max="10" width="16.5703125" customWidth="1"/>
    <col min="11" max="11" width="15.85546875" customWidth="1"/>
    <col min="12" max="12" width="20" customWidth="1"/>
    <col min="13" max="13" width="17.5703125" customWidth="1"/>
    <col min="14" max="14" width="18.28515625" customWidth="1"/>
  </cols>
  <sheetData>
    <row r="3" spans="1:14" x14ac:dyDescent="0.25">
      <c r="B3">
        <v>0</v>
      </c>
      <c r="C3">
        <v>1</v>
      </c>
      <c r="D3">
        <v>2</v>
      </c>
      <c r="E3">
        <v>3</v>
      </c>
      <c r="F3">
        <v>4</v>
      </c>
      <c r="G3">
        <v>5</v>
      </c>
    </row>
    <row r="4" spans="1:14" x14ac:dyDescent="0.25">
      <c r="A4" s="5"/>
      <c r="B4" s="6">
        <v>2018</v>
      </c>
      <c r="C4" s="6">
        <v>2019</v>
      </c>
      <c r="D4" s="6">
        <v>2020</v>
      </c>
      <c r="E4" s="6">
        <v>2021</v>
      </c>
      <c r="F4" s="6">
        <v>2022</v>
      </c>
      <c r="G4" s="6">
        <v>2023</v>
      </c>
      <c r="H4" s="6">
        <v>2024</v>
      </c>
      <c r="I4" s="6">
        <v>2025</v>
      </c>
      <c r="J4" s="6">
        <v>2026</v>
      </c>
      <c r="K4" s="6">
        <v>2027</v>
      </c>
      <c r="L4" s="6">
        <v>2028</v>
      </c>
      <c r="M4" s="6">
        <v>2029</v>
      </c>
      <c r="N4" s="6">
        <v>2030</v>
      </c>
    </row>
    <row r="5" spans="1:14" x14ac:dyDescent="0.25">
      <c r="A5" s="7" t="s">
        <v>1</v>
      </c>
      <c r="B5" s="8">
        <v>17316395000</v>
      </c>
      <c r="C5" s="5">
        <f>B5*(1+$B23)^1</f>
        <v>18788288575</v>
      </c>
      <c r="D5" s="5">
        <f t="shared" ref="D5:N5" si="0">C5*(1+$B23)^1</f>
        <v>20385293103.875</v>
      </c>
      <c r="E5" s="5">
        <f t="shared" si="0"/>
        <v>22118043017.704372</v>
      </c>
      <c r="F5" s="5">
        <f t="shared" si="0"/>
        <v>23998076674.209244</v>
      </c>
      <c r="G5" s="5">
        <f t="shared" si="0"/>
        <v>26037913191.517029</v>
      </c>
      <c r="H5" s="5">
        <f t="shared" si="0"/>
        <v>28251135812.795975</v>
      </c>
      <c r="I5" s="5">
        <f t="shared" si="0"/>
        <v>30652482356.883633</v>
      </c>
      <c r="J5" s="5">
        <f t="shared" si="0"/>
        <v>33257943357.218739</v>
      </c>
      <c r="K5" s="5">
        <f t="shared" si="0"/>
        <v>36084868542.582329</v>
      </c>
      <c r="L5" s="5">
        <f t="shared" si="0"/>
        <v>39152082368.701828</v>
      </c>
      <c r="M5" s="5">
        <f t="shared" si="0"/>
        <v>42480009370.041481</v>
      </c>
      <c r="N5" s="5">
        <f t="shared" si="0"/>
        <v>46090810166.495003</v>
      </c>
    </row>
    <row r="6" spans="1:14" x14ac:dyDescent="0.25">
      <c r="A6" s="7" t="s">
        <v>2</v>
      </c>
      <c r="B6" s="5">
        <f>B5*(1+$B24)/$B25</f>
        <v>144072406400</v>
      </c>
      <c r="C6" s="5">
        <f>C5*(1+$B24)/$B25</f>
        <v>156318560944</v>
      </c>
      <c r="D6" s="5">
        <f t="shared" ref="D6:N6" si="1">D5*(1+$B24)/$B25</f>
        <v>169605638624.24002</v>
      </c>
      <c r="E6" s="5">
        <f t="shared" si="1"/>
        <v>184022117907.30038</v>
      </c>
      <c r="F6" s="5">
        <f t="shared" si="1"/>
        <v>199663997929.42093</v>
      </c>
      <c r="G6" s="5">
        <f t="shared" si="1"/>
        <v>216635437753.42169</v>
      </c>
      <c r="H6" s="5">
        <f t="shared" si="1"/>
        <v>235049449962.46252</v>
      </c>
      <c r="I6" s="5">
        <f t="shared" si="1"/>
        <v>255028653209.27182</v>
      </c>
      <c r="J6" s="5">
        <f t="shared" si="1"/>
        <v>276706088732.05994</v>
      </c>
      <c r="K6" s="5">
        <f t="shared" si="1"/>
        <v>300226106274.28497</v>
      </c>
      <c r="L6" s="5">
        <f t="shared" si="1"/>
        <v>325745325307.59924</v>
      </c>
      <c r="M6" s="5">
        <f t="shared" si="1"/>
        <v>353433677958.74512</v>
      </c>
      <c r="N6" s="5">
        <f t="shared" si="1"/>
        <v>383475540585.23846</v>
      </c>
    </row>
    <row r="7" spans="1:14" x14ac:dyDescent="0.25">
      <c r="A7" s="5" t="s">
        <v>16</v>
      </c>
      <c r="B7" s="8">
        <v>7856256000</v>
      </c>
      <c r="C7" s="5">
        <f>B7*(1+B23)</f>
        <v>8524037760</v>
      </c>
      <c r="D7" s="5">
        <f t="shared" ref="D7:N7" si="2">C7*(1+C23)</f>
        <v>8524037760</v>
      </c>
      <c r="E7" s="5">
        <f t="shared" si="2"/>
        <v>8524037760</v>
      </c>
      <c r="F7" s="5">
        <f t="shared" si="2"/>
        <v>8524037760</v>
      </c>
      <c r="G7" s="5">
        <f t="shared" si="2"/>
        <v>8524037760</v>
      </c>
      <c r="H7" s="5">
        <f t="shared" si="2"/>
        <v>8524037760</v>
      </c>
      <c r="I7" s="5">
        <f t="shared" si="2"/>
        <v>8524037760</v>
      </c>
      <c r="J7" s="5">
        <f t="shared" si="2"/>
        <v>8524037760</v>
      </c>
      <c r="K7" s="5">
        <f t="shared" si="2"/>
        <v>8524037760</v>
      </c>
      <c r="L7" s="5">
        <f t="shared" si="2"/>
        <v>8524037760</v>
      </c>
      <c r="M7" s="5">
        <f t="shared" si="2"/>
        <v>8524037760</v>
      </c>
      <c r="N7" s="5">
        <f t="shared" si="2"/>
        <v>8524037760</v>
      </c>
    </row>
    <row r="8" spans="1:14" x14ac:dyDescent="0.25">
      <c r="A8" s="6" t="s">
        <v>6</v>
      </c>
      <c r="B8" s="5"/>
      <c r="C8" s="5">
        <f>SUM(C5:C7)</f>
        <v>183630887279</v>
      </c>
      <c r="D8" s="5">
        <f t="shared" ref="D8:N8" si="3">SUM(D5:D7)</f>
        <v>198514969488.11502</v>
      </c>
      <c r="E8" s="5">
        <f t="shared" si="3"/>
        <v>214664198685.00476</v>
      </c>
      <c r="F8" s="5">
        <f t="shared" si="3"/>
        <v>232186112363.63019</v>
      </c>
      <c r="G8" s="5">
        <f t="shared" si="3"/>
        <v>251197388704.93872</v>
      </c>
      <c r="H8" s="5">
        <f t="shared" si="3"/>
        <v>271824623535.25848</v>
      </c>
      <c r="I8" s="5">
        <f t="shared" si="3"/>
        <v>294205173326.15546</v>
      </c>
      <c r="J8" s="5">
        <f t="shared" si="3"/>
        <v>318488069849.27869</v>
      </c>
      <c r="K8" s="5">
        <f t="shared" si="3"/>
        <v>344835012576.86731</v>
      </c>
      <c r="L8" s="5">
        <f t="shared" si="3"/>
        <v>373421445436.30109</v>
      </c>
      <c r="M8" s="5">
        <f t="shared" si="3"/>
        <v>404437725088.78662</v>
      </c>
      <c r="N8" s="5">
        <f t="shared" si="3"/>
        <v>438090388511.73346</v>
      </c>
    </row>
    <row r="9" spans="1:14" x14ac:dyDescent="0.25">
      <c r="A9" s="7" t="s">
        <v>7</v>
      </c>
      <c r="B9" s="5"/>
      <c r="C9" s="5">
        <f>C8*(1+B25)^-1</f>
        <v>163227455359.11111</v>
      </c>
      <c r="D9" s="5">
        <f t="shared" ref="D9:N9" si="4">D8*(1+C25)^-1</f>
        <v>198514969488.11502</v>
      </c>
      <c r="E9" s="5">
        <f t="shared" si="4"/>
        <v>214664198685.00476</v>
      </c>
      <c r="F9" s="5">
        <f t="shared" si="4"/>
        <v>232186112363.63019</v>
      </c>
      <c r="G9" s="5">
        <f t="shared" si="4"/>
        <v>251197388704.93872</v>
      </c>
      <c r="H9" s="5">
        <f t="shared" si="4"/>
        <v>271824623535.25848</v>
      </c>
      <c r="I9" s="5">
        <f t="shared" si="4"/>
        <v>294205173326.15546</v>
      </c>
      <c r="J9" s="5">
        <f t="shared" si="4"/>
        <v>318488069849.27869</v>
      </c>
      <c r="K9" s="5">
        <f t="shared" si="4"/>
        <v>344835012576.86731</v>
      </c>
      <c r="L9" s="5">
        <f t="shared" si="4"/>
        <v>373421445436.30109</v>
      </c>
      <c r="M9" s="5">
        <f t="shared" si="4"/>
        <v>404437725088.78662</v>
      </c>
      <c r="N9" s="5">
        <f t="shared" si="4"/>
        <v>438090388511.73346</v>
      </c>
    </row>
    <row r="10" spans="1:14" x14ac:dyDescent="0.25">
      <c r="A10" s="7" t="s">
        <v>8</v>
      </c>
      <c r="B10" s="5"/>
      <c r="C10" s="5"/>
      <c r="D10" s="5"/>
      <c r="E10" s="5"/>
      <c r="F10" s="5"/>
      <c r="G10" s="5">
        <f>SUM(C9:G9)</f>
        <v>1059790124600.7998</v>
      </c>
      <c r="H10" s="5">
        <f t="shared" ref="H10:N10" si="5">SUM(D9:H9)</f>
        <v>1168387292776.9473</v>
      </c>
      <c r="I10" s="5">
        <f t="shared" si="5"/>
        <v>1264077496614.9878</v>
      </c>
      <c r="J10" s="5">
        <f t="shared" si="5"/>
        <v>1367901367779.2617</v>
      </c>
      <c r="K10" s="5">
        <f t="shared" si="5"/>
        <v>1480550267992.4985</v>
      </c>
      <c r="L10" s="5">
        <f t="shared" si="5"/>
        <v>1602774324723.8611</v>
      </c>
      <c r="M10" s="5">
        <f t="shared" si="5"/>
        <v>1735387426277.3892</v>
      </c>
      <c r="N10" s="5">
        <f t="shared" si="5"/>
        <v>1879272641462.967</v>
      </c>
    </row>
    <row r="11" spans="1:14" x14ac:dyDescent="0.25">
      <c r="A11" s="7" t="s">
        <v>9</v>
      </c>
      <c r="B11" s="5"/>
      <c r="C11" s="5"/>
      <c r="D11" s="5"/>
      <c r="E11" s="5"/>
      <c r="F11" s="5"/>
      <c r="G11" s="8">
        <v>101586789000</v>
      </c>
      <c r="H11" s="8">
        <v>101586789000</v>
      </c>
      <c r="I11" s="8">
        <v>101586789000</v>
      </c>
      <c r="J11" s="8">
        <v>101586789000</v>
      </c>
      <c r="K11" s="8">
        <v>101586789000</v>
      </c>
      <c r="L11" s="8">
        <v>101586789000</v>
      </c>
      <c r="M11" s="8">
        <v>101586789000</v>
      </c>
      <c r="N11" s="8">
        <v>101586789000</v>
      </c>
    </row>
    <row r="12" spans="1:14" x14ac:dyDescent="0.25">
      <c r="A12" s="7" t="s">
        <v>10</v>
      </c>
      <c r="B12" s="5"/>
      <c r="C12" s="5"/>
      <c r="D12" s="5"/>
      <c r="E12" s="5"/>
      <c r="F12" s="5"/>
      <c r="G12" s="8">
        <f>G9+G10-G11</f>
        <v>1209400724305.7385</v>
      </c>
      <c r="H12" s="8">
        <f t="shared" ref="H12:N12" si="6">H9+H10-H11</f>
        <v>1338625127312.2058</v>
      </c>
      <c r="I12" s="8">
        <f t="shared" si="6"/>
        <v>1456695880941.1433</v>
      </c>
      <c r="J12" s="8">
        <f t="shared" si="6"/>
        <v>1584802648628.5405</v>
      </c>
      <c r="K12" s="8">
        <f t="shared" si="6"/>
        <v>1723798491569.3657</v>
      </c>
      <c r="L12" s="8">
        <f t="shared" si="6"/>
        <v>1874608981160.1621</v>
      </c>
      <c r="M12" s="8">
        <f t="shared" si="6"/>
        <v>2038238362366.1758</v>
      </c>
      <c r="N12" s="8">
        <f t="shared" si="6"/>
        <v>2215776240974.7007</v>
      </c>
    </row>
    <row r="13" spans="1:14" x14ac:dyDescent="0.25">
      <c r="A13" s="7" t="s">
        <v>11</v>
      </c>
      <c r="B13" s="5"/>
      <c r="C13" s="5"/>
      <c r="D13" s="5"/>
      <c r="E13" s="5"/>
      <c r="F13" s="5"/>
      <c r="G13" s="5">
        <f>G12/5.4</f>
        <v>223963097093.65527</v>
      </c>
      <c r="H13" s="5">
        <f t="shared" ref="H13:N13" si="7">H12/5.4</f>
        <v>247893542094.85291</v>
      </c>
      <c r="I13" s="5">
        <f t="shared" si="7"/>
        <v>269758496470.58206</v>
      </c>
      <c r="J13" s="5">
        <f t="shared" si="7"/>
        <v>293481971968.24823</v>
      </c>
      <c r="K13" s="5">
        <f t="shared" si="7"/>
        <v>319221942883.21588</v>
      </c>
      <c r="L13" s="5">
        <f t="shared" si="7"/>
        <v>347149811325.95593</v>
      </c>
      <c r="M13" s="5">
        <f t="shared" si="7"/>
        <v>377451548586.3288</v>
      </c>
      <c r="N13" s="5">
        <f t="shared" si="7"/>
        <v>410328933513.83344</v>
      </c>
    </row>
    <row r="14" spans="1:14" x14ac:dyDescent="0.25">
      <c r="A14" s="6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22" spans="1:2" x14ac:dyDescent="0.25">
      <c r="A22" t="s">
        <v>13</v>
      </c>
      <c r="B22" s="3" t="s">
        <v>14</v>
      </c>
    </row>
    <row r="23" spans="1:2" x14ac:dyDescent="0.25">
      <c r="A23" t="s">
        <v>3</v>
      </c>
      <c r="B23" s="3">
        <v>8.5000000000000006E-2</v>
      </c>
    </row>
    <row r="24" spans="1:2" x14ac:dyDescent="0.25">
      <c r="A24" t="s">
        <v>4</v>
      </c>
      <c r="B24" s="3">
        <v>0.04</v>
      </c>
    </row>
    <row r="25" spans="1:2" x14ac:dyDescent="0.25">
      <c r="A25" t="s">
        <v>5</v>
      </c>
      <c r="B25" s="3">
        <v>0.125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25"/>
  <sheetViews>
    <sheetView topLeftCell="A2" workbookViewId="0">
      <selection activeCell="A4" sqref="A4:N14"/>
    </sheetView>
  </sheetViews>
  <sheetFormatPr defaultRowHeight="15" x14ac:dyDescent="0.25"/>
  <cols>
    <col min="1" max="1" width="19.85546875" customWidth="1"/>
    <col min="2" max="2" width="13.42578125" bestFit="1" customWidth="1"/>
    <col min="3" max="3" width="22" customWidth="1"/>
    <col min="4" max="4" width="20.42578125" customWidth="1"/>
    <col min="5" max="5" width="22.7109375" customWidth="1"/>
    <col min="6" max="6" width="19.28515625" customWidth="1"/>
    <col min="7" max="7" width="18.7109375" customWidth="1"/>
    <col min="8" max="8" width="24.7109375" customWidth="1"/>
    <col min="9" max="9" width="24.85546875" customWidth="1"/>
    <col min="10" max="10" width="15.28515625" customWidth="1"/>
    <col min="11" max="11" width="15.5703125" customWidth="1"/>
    <col min="12" max="12" width="19.42578125" customWidth="1"/>
    <col min="13" max="13" width="18.85546875" customWidth="1"/>
    <col min="14" max="14" width="15.85546875" customWidth="1"/>
  </cols>
  <sheetData>
    <row r="3" spans="1:14" x14ac:dyDescent="0.25">
      <c r="B3">
        <v>0</v>
      </c>
      <c r="C3">
        <v>1</v>
      </c>
      <c r="D3">
        <v>2</v>
      </c>
      <c r="E3">
        <v>3</v>
      </c>
      <c r="F3">
        <v>4</v>
      </c>
      <c r="G3">
        <v>5</v>
      </c>
    </row>
    <row r="4" spans="1:14" x14ac:dyDescent="0.25">
      <c r="A4" s="5"/>
      <c r="B4" s="6">
        <v>2018</v>
      </c>
      <c r="C4" s="6">
        <v>2019</v>
      </c>
      <c r="D4" s="6">
        <v>2020</v>
      </c>
      <c r="E4" s="6">
        <v>2021</v>
      </c>
      <c r="F4" s="6">
        <v>2022</v>
      </c>
      <c r="G4" s="6">
        <v>2023</v>
      </c>
      <c r="H4" s="6">
        <v>2024</v>
      </c>
      <c r="I4" s="6">
        <v>2025</v>
      </c>
      <c r="J4" s="6">
        <v>2026</v>
      </c>
      <c r="K4" s="6">
        <v>2027</v>
      </c>
      <c r="L4" s="6">
        <v>2028</v>
      </c>
      <c r="M4" s="6">
        <v>2029</v>
      </c>
      <c r="N4" s="6">
        <v>2030</v>
      </c>
    </row>
    <row r="5" spans="1:14" x14ac:dyDescent="0.25">
      <c r="A5" s="7" t="s">
        <v>1</v>
      </c>
      <c r="B5" s="8">
        <v>1359023083</v>
      </c>
      <c r="C5" s="5">
        <f>B5*(1+B23)^2</f>
        <v>1475578338.6904123</v>
      </c>
      <c r="D5" s="5">
        <f t="shared" ref="D5:N5" si="0">C5*(1+C23)^2</f>
        <v>1475578338.6904123</v>
      </c>
      <c r="E5" s="5">
        <f t="shared" si="0"/>
        <v>1475578338.6904123</v>
      </c>
      <c r="F5" s="5">
        <f t="shared" si="0"/>
        <v>1475578338.6904123</v>
      </c>
      <c r="G5" s="5">
        <f t="shared" si="0"/>
        <v>1475578338.6904123</v>
      </c>
      <c r="H5" s="5">
        <f t="shared" si="0"/>
        <v>1475578338.6904123</v>
      </c>
      <c r="I5" s="5">
        <f t="shared" si="0"/>
        <v>1475578338.6904123</v>
      </c>
      <c r="J5" s="5">
        <f t="shared" si="0"/>
        <v>1475578338.6904123</v>
      </c>
      <c r="K5" s="5">
        <f t="shared" si="0"/>
        <v>1475578338.6904123</v>
      </c>
      <c r="L5" s="5">
        <f t="shared" si="0"/>
        <v>1475578338.6904123</v>
      </c>
      <c r="M5" s="5">
        <f t="shared" si="0"/>
        <v>1475578338.6904123</v>
      </c>
      <c r="N5" s="5">
        <f t="shared" si="0"/>
        <v>1475578338.6904123</v>
      </c>
    </row>
    <row r="6" spans="1:14" x14ac:dyDescent="0.25">
      <c r="A6" s="7" t="s">
        <v>2</v>
      </c>
      <c r="B6" s="5">
        <f>B5*(1+$B24)/$B25</f>
        <v>10649836850.726297</v>
      </c>
      <c r="C6" s="5">
        <f t="shared" ref="C6:G6" si="1">C5*(1+$B24)/$B25</f>
        <v>11563209458.391991</v>
      </c>
      <c r="D6" s="5">
        <f t="shared" si="1"/>
        <v>11563209458.391991</v>
      </c>
      <c r="E6" s="5">
        <f t="shared" si="1"/>
        <v>11563209458.391991</v>
      </c>
      <c r="F6" s="5">
        <f t="shared" si="1"/>
        <v>11563209458.391991</v>
      </c>
      <c r="G6" s="5">
        <f t="shared" si="1"/>
        <v>11563209458.391991</v>
      </c>
      <c r="H6" s="5"/>
      <c r="I6" s="5"/>
      <c r="J6" s="5"/>
      <c r="K6" s="5"/>
      <c r="L6" s="5"/>
      <c r="M6" s="5"/>
      <c r="N6" s="5"/>
    </row>
    <row r="7" spans="1:14" x14ac:dyDescent="0.25">
      <c r="A7" s="5" t="s">
        <v>16</v>
      </c>
      <c r="B7" s="5">
        <v>1017424969</v>
      </c>
      <c r="C7" s="5">
        <f>B7*(1+B24)</f>
        <v>1042860593.2249999</v>
      </c>
      <c r="D7" s="5">
        <f t="shared" ref="D7:N7" si="2">C7*(1+C24)</f>
        <v>1042860593.2249999</v>
      </c>
      <c r="E7" s="5">
        <f t="shared" si="2"/>
        <v>1042860593.2249999</v>
      </c>
      <c r="F7" s="5">
        <f t="shared" si="2"/>
        <v>1042860593.2249999</v>
      </c>
      <c r="G7" s="5">
        <f t="shared" si="2"/>
        <v>1042860593.2249999</v>
      </c>
      <c r="H7" s="5">
        <f t="shared" si="2"/>
        <v>1042860593.2249999</v>
      </c>
      <c r="I7" s="5">
        <f t="shared" si="2"/>
        <v>1042860593.2249999</v>
      </c>
      <c r="J7" s="5">
        <f t="shared" si="2"/>
        <v>1042860593.2249999</v>
      </c>
      <c r="K7" s="5">
        <f t="shared" si="2"/>
        <v>1042860593.2249999</v>
      </c>
      <c r="L7" s="5">
        <f t="shared" si="2"/>
        <v>1042860593.2249999</v>
      </c>
      <c r="M7" s="5">
        <f t="shared" si="2"/>
        <v>1042860593.2249999</v>
      </c>
      <c r="N7" s="5">
        <f t="shared" si="2"/>
        <v>1042860593.2249999</v>
      </c>
    </row>
    <row r="8" spans="1:14" x14ac:dyDescent="0.25">
      <c r="A8" s="6" t="s">
        <v>6</v>
      </c>
      <c r="B8" s="8">
        <f>SUM(B5:B6)</f>
        <v>12008859933.726297</v>
      </c>
      <c r="C8" s="8">
        <f t="shared" ref="C8:N8" si="3">SUM(C5:C6)</f>
        <v>13038787797.082403</v>
      </c>
      <c r="D8" s="8">
        <f t="shared" si="3"/>
        <v>13038787797.082403</v>
      </c>
      <c r="E8" s="8">
        <f t="shared" si="3"/>
        <v>13038787797.082403</v>
      </c>
      <c r="F8" s="8">
        <f t="shared" si="3"/>
        <v>13038787797.082403</v>
      </c>
      <c r="G8" s="8">
        <f t="shared" si="3"/>
        <v>13038787797.082403</v>
      </c>
      <c r="H8" s="8">
        <f t="shared" si="3"/>
        <v>1475578338.6904123</v>
      </c>
      <c r="I8" s="8">
        <f t="shared" si="3"/>
        <v>1475578338.6904123</v>
      </c>
      <c r="J8" s="8">
        <f t="shared" si="3"/>
        <v>1475578338.6904123</v>
      </c>
      <c r="K8" s="8">
        <f t="shared" si="3"/>
        <v>1475578338.6904123</v>
      </c>
      <c r="L8" s="8">
        <f t="shared" si="3"/>
        <v>1475578338.6904123</v>
      </c>
      <c r="M8" s="8">
        <f t="shared" si="3"/>
        <v>1475578338.6904123</v>
      </c>
      <c r="N8" s="8">
        <f t="shared" si="3"/>
        <v>1475578338.6904123</v>
      </c>
    </row>
    <row r="9" spans="1:14" x14ac:dyDescent="0.25">
      <c r="A9" s="7" t="s">
        <v>7</v>
      </c>
      <c r="B9" s="5"/>
      <c r="C9" s="5">
        <f>C8*(1+$B25)^-1</f>
        <v>11530587015.460207</v>
      </c>
      <c r="D9" s="5">
        <f t="shared" ref="D9:F9" si="4">D8*(1+$B25)^-1</f>
        <v>11530587015.460207</v>
      </c>
      <c r="E9" s="5">
        <f t="shared" si="4"/>
        <v>11530587015.460207</v>
      </c>
      <c r="F9" s="5">
        <f t="shared" si="4"/>
        <v>11530587015.460207</v>
      </c>
      <c r="G9" s="5">
        <f>G8*(1+$B25)^-1</f>
        <v>11530587015.460207</v>
      </c>
      <c r="H9" s="5">
        <f t="shared" ref="H9" si="5">H8*(1+$B25)^-1</f>
        <v>1304897717.2713232</v>
      </c>
      <c r="I9" s="5">
        <f t="shared" ref="I9" si="6">I8*(1+$B25)^-1</f>
        <v>1304897717.2713232</v>
      </c>
      <c r="J9" s="5">
        <f t="shared" ref="J9" si="7">J8*(1+$B25)^-1</f>
        <v>1304897717.2713232</v>
      </c>
      <c r="K9" s="5">
        <f t="shared" ref="K9" si="8">K8*(1+$B25)^-1</f>
        <v>1304897717.2713232</v>
      </c>
      <c r="L9" s="5">
        <f t="shared" ref="L9" si="9">L8*(1+$B25)^-1</f>
        <v>1304897717.2713232</v>
      </c>
      <c r="M9" s="5">
        <f t="shared" ref="M9" si="10">M8*(1+$B25)^-1</f>
        <v>1304897717.2713232</v>
      </c>
      <c r="N9" s="5">
        <f t="shared" ref="N9" si="11">N8*(1+$B25)^-1</f>
        <v>1304897717.2713232</v>
      </c>
    </row>
    <row r="10" spans="1:14" x14ac:dyDescent="0.25">
      <c r="A10" s="7" t="s">
        <v>8</v>
      </c>
      <c r="B10" s="5"/>
      <c r="C10" s="5"/>
      <c r="D10" s="5"/>
      <c r="E10" s="5"/>
      <c r="F10" s="5"/>
      <c r="G10" s="5">
        <f>SUM(C9:G9)</f>
        <v>57652935077.301033</v>
      </c>
      <c r="H10" s="5">
        <f t="shared" ref="H10:N10" si="12">SUM(D9:H9)</f>
        <v>47427245779.112152</v>
      </c>
      <c r="I10" s="5">
        <f t="shared" si="12"/>
        <v>37201556480.923271</v>
      </c>
      <c r="J10" s="5">
        <f t="shared" si="12"/>
        <v>26975867182.734386</v>
      </c>
      <c r="K10" s="5">
        <f t="shared" si="12"/>
        <v>16750177884.545502</v>
      </c>
      <c r="L10" s="5">
        <f t="shared" si="12"/>
        <v>6524488586.356616</v>
      </c>
      <c r="M10" s="5">
        <f t="shared" si="12"/>
        <v>6524488586.356616</v>
      </c>
      <c r="N10" s="5">
        <f t="shared" si="12"/>
        <v>6524488586.356616</v>
      </c>
    </row>
    <row r="11" spans="1:14" x14ac:dyDescent="0.25">
      <c r="A11" s="7" t="s">
        <v>9</v>
      </c>
      <c r="B11" s="5"/>
      <c r="C11" s="5"/>
      <c r="D11" s="5"/>
      <c r="E11" s="5"/>
      <c r="F11" s="5"/>
      <c r="G11" s="8">
        <v>11819980650</v>
      </c>
      <c r="H11" s="8">
        <v>11819980650</v>
      </c>
      <c r="I11" s="8">
        <v>11819980650</v>
      </c>
      <c r="J11" s="8">
        <v>11819980650</v>
      </c>
      <c r="K11" s="8">
        <v>11819980650</v>
      </c>
      <c r="L11" s="8">
        <v>11819980650</v>
      </c>
      <c r="M11" s="8">
        <v>11819980650</v>
      </c>
      <c r="N11" s="8">
        <v>11819980650</v>
      </c>
    </row>
    <row r="12" spans="1:14" x14ac:dyDescent="0.25">
      <c r="A12" s="7" t="s">
        <v>10</v>
      </c>
      <c r="B12" s="5"/>
      <c r="C12" s="5"/>
      <c r="D12" s="5"/>
      <c r="E12" s="5"/>
      <c r="F12" s="5"/>
      <c r="G12" s="8">
        <f>G9+G10-G11</f>
        <v>57363541442.761246</v>
      </c>
      <c r="H12" s="8">
        <f t="shared" ref="H12:N12" si="13">H9+H10-H11</f>
        <v>36912162846.383476</v>
      </c>
      <c r="I12" s="8">
        <f t="shared" si="13"/>
        <v>26686473548.194595</v>
      </c>
      <c r="J12" s="8">
        <f t="shared" si="13"/>
        <v>16460784250.005711</v>
      </c>
      <c r="K12" s="8">
        <f t="shared" si="13"/>
        <v>6235094951.8168259</v>
      </c>
      <c r="L12" s="8">
        <f t="shared" si="13"/>
        <v>-3990594346.3720608</v>
      </c>
      <c r="M12" s="8">
        <f t="shared" si="13"/>
        <v>-3990594346.3720608</v>
      </c>
      <c r="N12" s="8">
        <f t="shared" si="13"/>
        <v>-3990594346.3720608</v>
      </c>
    </row>
    <row r="13" spans="1:14" x14ac:dyDescent="0.25">
      <c r="A13" s="7" t="s">
        <v>11</v>
      </c>
      <c r="B13" s="5"/>
      <c r="C13" s="5"/>
      <c r="D13" s="5"/>
      <c r="E13" s="5"/>
      <c r="F13" s="5"/>
      <c r="G13" s="5">
        <f>G12/20</f>
        <v>2868177072.1380625</v>
      </c>
      <c r="H13" s="5">
        <f t="shared" ref="H13:N14" si="14">H12/20</f>
        <v>1845608142.3191738</v>
      </c>
      <c r="I13" s="5">
        <f t="shared" si="14"/>
        <v>1334323677.4097297</v>
      </c>
      <c r="J13" s="5">
        <f t="shared" si="14"/>
        <v>823039212.50028551</v>
      </c>
      <c r="K13" s="5">
        <f t="shared" si="14"/>
        <v>311754747.59084129</v>
      </c>
      <c r="L13" s="5">
        <f t="shared" si="14"/>
        <v>-199529717.31860304</v>
      </c>
      <c r="M13" s="5">
        <f t="shared" si="14"/>
        <v>-199529717.31860304</v>
      </c>
      <c r="N13" s="5">
        <f t="shared" si="14"/>
        <v>-199529717.31860304</v>
      </c>
    </row>
    <row r="14" spans="1:14" x14ac:dyDescent="0.25">
      <c r="A14" s="6" t="s">
        <v>12</v>
      </c>
      <c r="B14" s="5"/>
      <c r="C14" s="5"/>
      <c r="D14" s="5"/>
      <c r="E14" s="5"/>
      <c r="F14" s="5"/>
      <c r="G14" s="5">
        <f>G13/20</f>
        <v>143408853.60690314</v>
      </c>
      <c r="H14" s="5">
        <f t="shared" si="14"/>
        <v>92280407.115958691</v>
      </c>
      <c r="I14" s="5">
        <f t="shared" si="14"/>
        <v>66716183.870486483</v>
      </c>
      <c r="J14" s="5">
        <f t="shared" si="14"/>
        <v>41151960.625014275</v>
      </c>
      <c r="K14" s="5">
        <f t="shared" si="14"/>
        <v>15587737.379542064</v>
      </c>
      <c r="L14" s="5">
        <f t="shared" si="14"/>
        <v>-9976485.8659301512</v>
      </c>
      <c r="M14" s="5">
        <f t="shared" si="14"/>
        <v>-9976485.8659301512</v>
      </c>
      <c r="N14" s="5">
        <f t="shared" si="14"/>
        <v>-9976485.8659301512</v>
      </c>
    </row>
    <row r="22" spans="1:2" x14ac:dyDescent="0.25">
      <c r="A22" t="s">
        <v>13</v>
      </c>
      <c r="B22" s="3" t="s">
        <v>14</v>
      </c>
    </row>
    <row r="23" spans="1:2" x14ac:dyDescent="0.25">
      <c r="A23" t="s">
        <v>3</v>
      </c>
      <c r="B23" s="3">
        <v>4.2000000000000003E-2</v>
      </c>
    </row>
    <row r="24" spans="1:2" x14ac:dyDescent="0.25">
      <c r="A24" t="s">
        <v>4</v>
      </c>
      <c r="B24" s="3">
        <v>2.5000000000000001E-2</v>
      </c>
    </row>
    <row r="25" spans="1:2" x14ac:dyDescent="0.25">
      <c r="A25" t="s">
        <v>5</v>
      </c>
      <c r="B25" s="3">
        <v>0.1308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N24"/>
  <sheetViews>
    <sheetView workbookViewId="0">
      <selection activeCell="E26" sqref="E26"/>
    </sheetView>
  </sheetViews>
  <sheetFormatPr defaultRowHeight="15" x14ac:dyDescent="0.25"/>
  <cols>
    <col min="1" max="1" width="26.5703125" customWidth="1"/>
    <col min="2" max="14" width="12" bestFit="1" customWidth="1"/>
  </cols>
  <sheetData>
    <row r="3" spans="1:14" x14ac:dyDescent="0.25">
      <c r="A3" s="5"/>
      <c r="B3" s="5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/>
      <c r="I3" s="5"/>
      <c r="J3" s="5"/>
      <c r="K3" s="5"/>
      <c r="L3" s="5"/>
      <c r="M3" s="5"/>
      <c r="N3" s="5"/>
    </row>
    <row r="4" spans="1:14" x14ac:dyDescent="0.25">
      <c r="A4" s="5"/>
      <c r="B4" s="6">
        <v>2018</v>
      </c>
      <c r="C4" s="6">
        <v>2019</v>
      </c>
      <c r="D4" s="6">
        <v>2020</v>
      </c>
      <c r="E4" s="6">
        <v>2021</v>
      </c>
      <c r="F4" s="6">
        <v>2022</v>
      </c>
      <c r="G4" s="6">
        <v>2023</v>
      </c>
      <c r="H4" s="6">
        <v>2024</v>
      </c>
      <c r="I4" s="6">
        <v>2025</v>
      </c>
      <c r="J4" s="6">
        <v>2026</v>
      </c>
      <c r="K4" s="6">
        <v>2027</v>
      </c>
      <c r="L4" s="6">
        <v>2028</v>
      </c>
      <c r="M4" s="6">
        <v>2029</v>
      </c>
      <c r="N4" s="6">
        <v>2030</v>
      </c>
    </row>
    <row r="5" spans="1:14" x14ac:dyDescent="0.25">
      <c r="A5" s="7" t="s">
        <v>1</v>
      </c>
      <c r="B5" s="8">
        <v>43749909</v>
      </c>
      <c r="C5" s="5">
        <f t="shared" ref="C5:N5" si="0">B5*(1+$B22)^C3</f>
        <v>42647411.293200001</v>
      </c>
      <c r="D5" s="5">
        <f t="shared" si="0"/>
        <v>40525064.576090358</v>
      </c>
      <c r="E5" s="5">
        <f t="shared" si="0"/>
        <v>37537926.282230519</v>
      </c>
      <c r="F5" s="5">
        <f t="shared" si="0"/>
        <v>33894744.080418214</v>
      </c>
      <c r="G5" s="5">
        <f t="shared" si="0"/>
        <v>29833895.330680449</v>
      </c>
      <c r="H5" s="5">
        <f t="shared" si="0"/>
        <v>29833895.330680449</v>
      </c>
      <c r="I5" s="5">
        <f t="shared" si="0"/>
        <v>29833895.330680449</v>
      </c>
      <c r="J5" s="5">
        <f t="shared" si="0"/>
        <v>29833895.330680449</v>
      </c>
      <c r="K5" s="5">
        <f t="shared" si="0"/>
        <v>29833895.330680449</v>
      </c>
      <c r="L5" s="5">
        <f t="shared" si="0"/>
        <v>29833895.330680449</v>
      </c>
      <c r="M5" s="5">
        <f t="shared" si="0"/>
        <v>29833895.330680449</v>
      </c>
      <c r="N5" s="5">
        <f t="shared" si="0"/>
        <v>29833895.330680449</v>
      </c>
    </row>
    <row r="6" spans="1:14" x14ac:dyDescent="0.25">
      <c r="A6" s="7" t="s">
        <v>2</v>
      </c>
      <c r="B6" s="5">
        <f>B5*(1+$B23)/$B24</f>
        <v>289313914.35483867</v>
      </c>
      <c r="C6" s="5">
        <f t="shared" ref="C6:G6" si="1">C5*(1+$B23)/$B24</f>
        <v>282023203.7130968</v>
      </c>
      <c r="D6" s="5">
        <f t="shared" si="1"/>
        <v>267988330.26124269</v>
      </c>
      <c r="E6" s="5">
        <f t="shared" si="1"/>
        <v>248234673.80184695</v>
      </c>
      <c r="F6" s="5">
        <f t="shared" si="1"/>
        <v>224142662.46728173</v>
      </c>
      <c r="G6" s="5">
        <f t="shared" si="1"/>
        <v>197288662.67062876</v>
      </c>
      <c r="H6" s="5">
        <f t="shared" ref="H6" si="2">H5*(1+$B23)/$B24</f>
        <v>197288662.67062876</v>
      </c>
      <c r="I6" s="5">
        <f t="shared" ref="I6" si="3">I5*(1+$B23)/$B24</f>
        <v>197288662.67062876</v>
      </c>
      <c r="J6" s="5">
        <f t="shared" ref="J6" si="4">J5*(1+$B23)/$B24</f>
        <v>197288662.67062876</v>
      </c>
      <c r="K6" s="5">
        <f t="shared" ref="K6" si="5">K5*(1+$B23)/$B24</f>
        <v>197288662.67062876</v>
      </c>
      <c r="L6" s="5">
        <f t="shared" ref="L6" si="6">L5*(1+$B23)/$B24</f>
        <v>197288662.67062876</v>
      </c>
      <c r="M6" s="5">
        <f t="shared" ref="M6" si="7">M5*(1+$B23)/$B24</f>
        <v>197288662.67062876</v>
      </c>
      <c r="N6" s="5">
        <f t="shared" ref="N6" si="8">N5*(1+$B23)/$B24</f>
        <v>197288662.67062876</v>
      </c>
    </row>
    <row r="7" spans="1:14" x14ac:dyDescent="0.25">
      <c r="A7" s="5" t="s">
        <v>16</v>
      </c>
      <c r="B7" s="5">
        <v>492276</v>
      </c>
      <c r="C7" s="5">
        <f>B7*(1+B22)</f>
        <v>479870.64480000001</v>
      </c>
      <c r="D7" s="5">
        <f t="shared" ref="D7:N7" si="9">C7*(1+C22)</f>
        <v>479870.64480000001</v>
      </c>
      <c r="E7" s="5">
        <f t="shared" si="9"/>
        <v>479870.64480000001</v>
      </c>
      <c r="F7" s="5">
        <f t="shared" si="9"/>
        <v>479870.64480000001</v>
      </c>
      <c r="G7" s="5">
        <f t="shared" si="9"/>
        <v>479870.64480000001</v>
      </c>
      <c r="H7" s="5">
        <f t="shared" si="9"/>
        <v>479870.64480000001</v>
      </c>
      <c r="I7" s="5">
        <f t="shared" si="9"/>
        <v>479870.64480000001</v>
      </c>
      <c r="J7" s="5">
        <f t="shared" si="9"/>
        <v>479870.64480000001</v>
      </c>
      <c r="K7" s="5">
        <f t="shared" si="9"/>
        <v>479870.64480000001</v>
      </c>
      <c r="L7" s="5">
        <f t="shared" si="9"/>
        <v>479870.64480000001</v>
      </c>
      <c r="M7" s="5">
        <f t="shared" si="9"/>
        <v>479870.64480000001</v>
      </c>
      <c r="N7" s="5">
        <f t="shared" si="9"/>
        <v>479870.64480000001</v>
      </c>
    </row>
    <row r="8" spans="1:14" x14ac:dyDescent="0.25">
      <c r="A8" s="6" t="s">
        <v>6</v>
      </c>
      <c r="B8" s="8">
        <f>SUM(B5:B7)</f>
        <v>333556099.35483867</v>
      </c>
      <c r="C8" s="8">
        <f t="shared" ref="C8:N8" si="10">SUM(C5:C6)</f>
        <v>324670615.00629681</v>
      </c>
      <c r="D8" s="8">
        <f t="shared" si="10"/>
        <v>308513394.83733302</v>
      </c>
      <c r="E8" s="8">
        <f t="shared" si="10"/>
        <v>285772600.08407748</v>
      </c>
      <c r="F8" s="8">
        <f t="shared" si="10"/>
        <v>258037406.54769993</v>
      </c>
      <c r="G8" s="8">
        <f t="shared" si="10"/>
        <v>227122558.00130922</v>
      </c>
      <c r="H8" s="8">
        <f t="shared" si="10"/>
        <v>227122558.00130922</v>
      </c>
      <c r="I8" s="8">
        <f t="shared" si="10"/>
        <v>227122558.00130922</v>
      </c>
      <c r="J8" s="8">
        <f t="shared" si="10"/>
        <v>227122558.00130922</v>
      </c>
      <c r="K8" s="8">
        <f t="shared" si="10"/>
        <v>227122558.00130922</v>
      </c>
      <c r="L8" s="8">
        <f t="shared" si="10"/>
        <v>227122558.00130922</v>
      </c>
      <c r="M8" s="8">
        <f t="shared" si="10"/>
        <v>227122558.00130922</v>
      </c>
      <c r="N8" s="8">
        <f t="shared" si="10"/>
        <v>227122558.00130922</v>
      </c>
    </row>
    <row r="9" spans="1:14" x14ac:dyDescent="0.25">
      <c r="A9" s="7" t="s">
        <v>7</v>
      </c>
      <c r="B9" s="5"/>
      <c r="C9" s="5">
        <f>C8*(1+$B24)^-1</f>
        <v>281100099.57255137</v>
      </c>
      <c r="D9" s="5">
        <f>D8*(1+$B24)^-D3</f>
        <v>231265077.36911452</v>
      </c>
      <c r="E9" s="5">
        <f>E8*(1+$B24)^-E3</f>
        <v>185470410.65569147</v>
      </c>
      <c r="F9" s="5">
        <f>F8*(1+$B24)^-4</f>
        <v>144995569.26143822</v>
      </c>
      <c r="G9" s="5">
        <f t="shared" ref="G9:N9" si="11">G8*(1+$B24)^-G3</f>
        <v>110496965.05409841</v>
      </c>
      <c r="H9" s="5">
        <f t="shared" si="11"/>
        <v>227122558.00130922</v>
      </c>
      <c r="I9" s="5">
        <f t="shared" si="11"/>
        <v>227122558.00130922</v>
      </c>
      <c r="J9" s="5">
        <f t="shared" si="11"/>
        <v>227122558.00130922</v>
      </c>
      <c r="K9" s="5">
        <f t="shared" si="11"/>
        <v>227122558.00130922</v>
      </c>
      <c r="L9" s="5">
        <f t="shared" si="11"/>
        <v>227122558.00130922</v>
      </c>
      <c r="M9" s="5">
        <f t="shared" si="11"/>
        <v>227122558.00130922</v>
      </c>
      <c r="N9" s="5">
        <f t="shared" si="11"/>
        <v>227122558.00130922</v>
      </c>
    </row>
    <row r="10" spans="1:14" x14ac:dyDescent="0.25">
      <c r="A10" s="7" t="s">
        <v>8</v>
      </c>
      <c r="B10" s="5"/>
      <c r="C10" s="5"/>
      <c r="D10" s="5"/>
      <c r="E10" s="5"/>
      <c r="F10" s="5"/>
      <c r="G10" s="5">
        <f>SUM(C9:G9)</f>
        <v>953328121.91289401</v>
      </c>
      <c r="H10" s="5">
        <f t="shared" ref="H10:N10" si="12">SUM(D9:H9)</f>
        <v>899350580.34165192</v>
      </c>
      <c r="I10" s="5">
        <f t="shared" si="12"/>
        <v>895208060.97384644</v>
      </c>
      <c r="J10" s="5">
        <f t="shared" si="12"/>
        <v>936860208.31946421</v>
      </c>
      <c r="K10" s="5">
        <f t="shared" si="12"/>
        <v>1018987197.0593352</v>
      </c>
      <c r="L10" s="5">
        <f t="shared" si="12"/>
        <v>1135612790.006546</v>
      </c>
      <c r="M10" s="5">
        <f t="shared" si="12"/>
        <v>1135612790.006546</v>
      </c>
      <c r="N10" s="5">
        <f t="shared" si="12"/>
        <v>1135612790.006546</v>
      </c>
    </row>
    <row r="11" spans="1:14" x14ac:dyDescent="0.25">
      <c r="A11" s="7" t="s">
        <v>9</v>
      </c>
      <c r="B11" s="5"/>
      <c r="C11" s="5"/>
      <c r="D11" s="5"/>
      <c r="E11" s="5"/>
      <c r="F11" s="5"/>
      <c r="G11" s="8">
        <v>326928247</v>
      </c>
      <c r="H11" s="8">
        <v>326928247</v>
      </c>
      <c r="I11" s="8">
        <v>326928247</v>
      </c>
      <c r="J11" s="8">
        <v>326928247</v>
      </c>
      <c r="K11" s="8">
        <v>326928247</v>
      </c>
      <c r="L11" s="8">
        <v>326928247</v>
      </c>
      <c r="M11" s="8">
        <v>326928247</v>
      </c>
      <c r="N11" s="8">
        <v>326928247</v>
      </c>
    </row>
    <row r="12" spans="1:14" x14ac:dyDescent="0.25">
      <c r="A12" s="7" t="s">
        <v>10</v>
      </c>
      <c r="B12" s="5"/>
      <c r="C12" s="5"/>
      <c r="D12" s="5"/>
      <c r="E12" s="5"/>
      <c r="F12" s="5"/>
      <c r="G12" s="8">
        <f>G11/18.6</f>
        <v>17576787.473118279</v>
      </c>
      <c r="H12" s="8">
        <f t="shared" ref="H12:N12" si="13">H11/18.6</f>
        <v>17576787.473118279</v>
      </c>
      <c r="I12" s="8">
        <f t="shared" si="13"/>
        <v>17576787.473118279</v>
      </c>
      <c r="J12" s="8">
        <f t="shared" si="13"/>
        <v>17576787.473118279</v>
      </c>
      <c r="K12" s="8">
        <f t="shared" si="13"/>
        <v>17576787.473118279</v>
      </c>
      <c r="L12" s="8">
        <f t="shared" si="13"/>
        <v>17576787.473118279</v>
      </c>
      <c r="M12" s="8">
        <f t="shared" si="13"/>
        <v>17576787.473118279</v>
      </c>
      <c r="N12" s="8">
        <f t="shared" si="13"/>
        <v>17576787.473118279</v>
      </c>
    </row>
    <row r="13" spans="1:14" x14ac:dyDescent="0.25">
      <c r="A13" s="7" t="s">
        <v>11</v>
      </c>
      <c r="B13" s="5"/>
      <c r="C13" s="5"/>
      <c r="D13" s="5"/>
      <c r="E13" s="5"/>
      <c r="F13" s="5"/>
      <c r="G13" s="5">
        <v>283439649</v>
      </c>
      <c r="H13" s="5">
        <v>283439649</v>
      </c>
      <c r="I13" s="5">
        <v>283439649</v>
      </c>
      <c r="J13" s="5">
        <v>283439649</v>
      </c>
      <c r="K13" s="5">
        <v>283439649</v>
      </c>
      <c r="L13" s="5">
        <v>283439649</v>
      </c>
      <c r="M13" s="5">
        <v>283439649</v>
      </c>
      <c r="N13" s="5">
        <v>283439649</v>
      </c>
    </row>
    <row r="14" spans="1:14" x14ac:dyDescent="0.25">
      <c r="A14" s="6" t="s">
        <v>12</v>
      </c>
      <c r="B14" s="5"/>
      <c r="C14" s="5"/>
      <c r="D14" s="5"/>
      <c r="E14" s="5"/>
      <c r="F14" s="5"/>
      <c r="G14" s="5">
        <f>G13/5.2</f>
        <v>54507624.807692304</v>
      </c>
      <c r="H14" s="5">
        <f t="shared" ref="H14:N14" si="14">H13/5.2</f>
        <v>54507624.807692304</v>
      </c>
      <c r="I14" s="5">
        <f t="shared" si="14"/>
        <v>54507624.807692304</v>
      </c>
      <c r="J14" s="5">
        <f t="shared" si="14"/>
        <v>54507624.807692304</v>
      </c>
      <c r="K14" s="5">
        <f t="shared" si="14"/>
        <v>54507624.807692304</v>
      </c>
      <c r="L14" s="5">
        <f t="shared" si="14"/>
        <v>54507624.807692304</v>
      </c>
      <c r="M14" s="5">
        <f t="shared" si="14"/>
        <v>54507624.807692304</v>
      </c>
      <c r="N14" s="5">
        <f t="shared" si="14"/>
        <v>54507624.807692304</v>
      </c>
    </row>
    <row r="21" spans="1:2" x14ac:dyDescent="0.25">
      <c r="A21" t="s">
        <v>13</v>
      </c>
      <c r="B21" s="3" t="s">
        <v>14</v>
      </c>
    </row>
    <row r="22" spans="1:2" x14ac:dyDescent="0.25">
      <c r="A22" t="s">
        <v>3</v>
      </c>
      <c r="B22" s="3">
        <v>-2.52E-2</v>
      </c>
    </row>
    <row r="23" spans="1:2" x14ac:dyDescent="0.25">
      <c r="A23" t="s">
        <v>4</v>
      </c>
      <c r="B23" s="3">
        <v>2.5000000000000001E-2</v>
      </c>
    </row>
    <row r="24" spans="1:2" x14ac:dyDescent="0.25">
      <c r="A24" t="s">
        <v>5</v>
      </c>
      <c r="B24" s="3">
        <v>0.155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Robi</vt:lpstr>
      <vt:lpstr>City</vt:lpstr>
      <vt:lpstr>BAT</vt:lpstr>
      <vt:lpstr>SPCL</vt:lpstr>
      <vt:lpstr>Rahima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Akter Shammi</dc:creator>
  <cp:lastModifiedBy>Faiaz Ahmed</cp:lastModifiedBy>
  <cp:lastPrinted>2025-12-29T03:23:57Z</cp:lastPrinted>
  <dcterms:created xsi:type="dcterms:W3CDTF">2025-12-29T00:13:45Z</dcterms:created>
  <dcterms:modified xsi:type="dcterms:W3CDTF">2025-12-29T12:47:18Z</dcterms:modified>
</cp:coreProperties>
</file>