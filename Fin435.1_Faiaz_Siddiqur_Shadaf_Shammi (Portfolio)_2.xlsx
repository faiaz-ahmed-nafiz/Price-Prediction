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iaz\Desktop\"/>
    </mc:Choice>
  </mc:AlternateContent>
  <xr:revisionPtr revIDLastSave="0" documentId="13_ncr:1_{C6913F6B-7236-417B-9EEA-F2B692EA7913}" xr6:coauthVersionLast="47" xr6:coauthVersionMax="47" xr10:uidLastSave="{00000000-0000-0000-0000-000000000000}"/>
  <bookViews>
    <workbookView xWindow="-120" yWindow="-120" windowWidth="29040" windowHeight="16440" activeTab="1" xr2:uid="{F7EE672C-5A07-4612-80C2-999A25AC0807}"/>
  </bookViews>
  <sheets>
    <sheet name="Cover Page" sheetId="7" r:id="rId1"/>
    <sheet name="Sheet1" sheetId="1" r:id="rId2"/>
    <sheet name="city" sheetId="3" r:id="rId3"/>
    <sheet name="bat" sheetId="4" r:id="rId4"/>
    <sheet name="spcl" sheetId="5" r:id="rId5"/>
    <sheet name="rahima food" sheetId="6" r:id="rId6"/>
    <sheet name="robi" sheetId="2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8" i="1" l="1" a="1"/>
  <c r="AT18" i="1" s="1"/>
  <c r="AT24" i="1" s="1"/>
  <c r="AT25" i="1" s="1"/>
  <c r="AT22" i="1"/>
  <c r="AT23" i="1" s="1"/>
  <c r="AT19" i="1"/>
  <c r="AT10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6" i="1"/>
  <c r="X7" i="1"/>
  <c r="X8" i="1"/>
  <c r="X9" i="1"/>
  <c r="X3" i="1"/>
  <c r="X4" i="1"/>
  <c r="X5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1" i="1"/>
  <c r="W22" i="1"/>
  <c r="W23" i="1"/>
  <c r="W24" i="1"/>
  <c r="W25" i="1"/>
  <c r="W26" i="1"/>
  <c r="W27" i="1"/>
  <c r="W28" i="1"/>
  <c r="W29" i="1"/>
  <c r="W3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X2" i="1"/>
  <c r="Y2" i="1"/>
  <c r="Z2" i="1"/>
  <c r="AA2" i="1"/>
  <c r="W2" i="1"/>
  <c r="L3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H4" i="1"/>
  <c r="H5" i="1"/>
  <c r="H6" i="1"/>
  <c r="H7" i="1"/>
  <c r="H8" i="1"/>
  <c r="H9" i="1"/>
  <c r="H10" i="1"/>
  <c r="H11" i="1"/>
  <c r="H12" i="1"/>
  <c r="M12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M44" i="1" s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M76" i="1" s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M164" i="1" s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M228" i="1" s="1"/>
  <c r="H229" i="1"/>
  <c r="H230" i="1"/>
  <c r="H231" i="1"/>
  <c r="H232" i="1"/>
  <c r="H233" i="1"/>
  <c r="H234" i="1"/>
  <c r="H23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L97" i="1" s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L193" i="1" s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K37" i="1" s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K69" i="1" s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K101" i="1" s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K165" i="1" s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K197" i="1" s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K229" i="1" s="1"/>
  <c r="F230" i="1"/>
  <c r="F231" i="1"/>
  <c r="F232" i="1"/>
  <c r="F233" i="1"/>
  <c r="F234" i="1"/>
  <c r="F235" i="1"/>
  <c r="L2" i="1"/>
  <c r="L235" i="1" s="1"/>
  <c r="M2" i="1"/>
  <c r="M100" i="1" s="1"/>
  <c r="N2" i="1"/>
  <c r="N212" i="1" s="1"/>
  <c r="O2" i="1"/>
  <c r="K2" i="1"/>
  <c r="K133" i="1" s="1"/>
  <c r="J3" i="1"/>
  <c r="I3" i="1"/>
  <c r="H3" i="1"/>
  <c r="G3" i="1"/>
  <c r="F3" i="1"/>
  <c r="K232" i="1" l="1"/>
  <c r="K220" i="1"/>
  <c r="K208" i="1"/>
  <c r="K188" i="1"/>
  <c r="K176" i="1"/>
  <c r="K164" i="1"/>
  <c r="K148" i="1"/>
  <c r="K132" i="1"/>
  <c r="K116" i="1"/>
  <c r="K104" i="1"/>
  <c r="K92" i="1"/>
  <c r="K80" i="1"/>
  <c r="K68" i="1"/>
  <c r="K48" i="1"/>
  <c r="K36" i="1"/>
  <c r="K24" i="1"/>
  <c r="K12" i="1"/>
  <c r="L232" i="1"/>
  <c r="L220" i="1"/>
  <c r="L216" i="1"/>
  <c r="L212" i="1"/>
  <c r="L208" i="1"/>
  <c r="L204" i="1"/>
  <c r="L192" i="1"/>
  <c r="L188" i="1"/>
  <c r="L184" i="1"/>
  <c r="L180" i="1"/>
  <c r="L176" i="1"/>
  <c r="L172" i="1"/>
  <c r="L168" i="1"/>
  <c r="L164" i="1"/>
  <c r="L160" i="1"/>
  <c r="L156" i="1"/>
  <c r="L152" i="1"/>
  <c r="L148" i="1"/>
  <c r="L144" i="1"/>
  <c r="L140" i="1"/>
  <c r="L136" i="1"/>
  <c r="L132" i="1"/>
  <c r="L128" i="1"/>
  <c r="L124" i="1"/>
  <c r="L120" i="1"/>
  <c r="L116" i="1"/>
  <c r="L112" i="1"/>
  <c r="L108" i="1"/>
  <c r="L104" i="1"/>
  <c r="L100" i="1"/>
  <c r="L96" i="1"/>
  <c r="L92" i="1"/>
  <c r="L88" i="1"/>
  <c r="L84" i="1"/>
  <c r="L80" i="1"/>
  <c r="L76" i="1"/>
  <c r="L72" i="1"/>
  <c r="L68" i="1"/>
  <c r="L64" i="1"/>
  <c r="L60" i="1"/>
  <c r="L56" i="1"/>
  <c r="L52" i="1"/>
  <c r="L48" i="1"/>
  <c r="L44" i="1"/>
  <c r="L40" i="1"/>
  <c r="L36" i="1"/>
  <c r="N180" i="1"/>
  <c r="N140" i="1"/>
  <c r="N45" i="1"/>
  <c r="K228" i="1"/>
  <c r="K216" i="1"/>
  <c r="K204" i="1"/>
  <c r="K196" i="1"/>
  <c r="K184" i="1"/>
  <c r="K168" i="1"/>
  <c r="K156" i="1"/>
  <c r="K144" i="1"/>
  <c r="K136" i="1"/>
  <c r="K124" i="1"/>
  <c r="K112" i="1"/>
  <c r="K100" i="1"/>
  <c r="K88" i="1"/>
  <c r="K76" i="1"/>
  <c r="K64" i="1"/>
  <c r="K56" i="1"/>
  <c r="K44" i="1"/>
  <c r="K32" i="1"/>
  <c r="K20" i="1"/>
  <c r="K8" i="1"/>
  <c r="L228" i="1"/>
  <c r="L196" i="1"/>
  <c r="K235" i="1"/>
  <c r="K227" i="1"/>
  <c r="K215" i="1"/>
  <c r="K207" i="1"/>
  <c r="K195" i="1"/>
  <c r="K187" i="1"/>
  <c r="K179" i="1"/>
  <c r="K171" i="1"/>
  <c r="K163" i="1"/>
  <c r="K155" i="1"/>
  <c r="K147" i="1"/>
  <c r="K143" i="1"/>
  <c r="K139" i="1"/>
  <c r="K135" i="1"/>
  <c r="K131" i="1"/>
  <c r="K127" i="1"/>
  <c r="K123" i="1"/>
  <c r="K119" i="1"/>
  <c r="K115" i="1"/>
  <c r="K111" i="1"/>
  <c r="L3" i="1"/>
  <c r="G236" i="1"/>
  <c r="K224" i="1"/>
  <c r="K212" i="1"/>
  <c r="K200" i="1"/>
  <c r="K192" i="1"/>
  <c r="K180" i="1"/>
  <c r="K172" i="1"/>
  <c r="K160" i="1"/>
  <c r="K152" i="1"/>
  <c r="K140" i="1"/>
  <c r="K128" i="1"/>
  <c r="K120" i="1"/>
  <c r="K108" i="1"/>
  <c r="K96" i="1"/>
  <c r="K84" i="1"/>
  <c r="K72" i="1"/>
  <c r="K60" i="1"/>
  <c r="K52" i="1"/>
  <c r="K40" i="1"/>
  <c r="K28" i="1"/>
  <c r="K16" i="1"/>
  <c r="K4" i="1"/>
  <c r="L224" i="1"/>
  <c r="L200" i="1"/>
  <c r="M3" i="1"/>
  <c r="H236" i="1"/>
  <c r="O15" i="1"/>
  <c r="O135" i="1"/>
  <c r="O191" i="1"/>
  <c r="O106" i="1"/>
  <c r="O163" i="1"/>
  <c r="O50" i="1"/>
  <c r="K231" i="1"/>
  <c r="K223" i="1"/>
  <c r="K219" i="1"/>
  <c r="K211" i="1"/>
  <c r="K203" i="1"/>
  <c r="K199" i="1"/>
  <c r="K191" i="1"/>
  <c r="K183" i="1"/>
  <c r="K175" i="1"/>
  <c r="K167" i="1"/>
  <c r="K159" i="1"/>
  <c r="K151" i="1"/>
  <c r="N3" i="1"/>
  <c r="I236" i="1"/>
  <c r="K234" i="1"/>
  <c r="K230" i="1"/>
  <c r="K226" i="1"/>
  <c r="K222" i="1"/>
  <c r="L150" i="1"/>
  <c r="K107" i="1"/>
  <c r="K103" i="1"/>
  <c r="K99" i="1"/>
  <c r="K95" i="1"/>
  <c r="K91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L231" i="1"/>
  <c r="L227" i="1"/>
  <c r="L223" i="1"/>
  <c r="L219" i="1"/>
  <c r="L215" i="1"/>
  <c r="L211" i="1"/>
  <c r="L207" i="1"/>
  <c r="L203" i="1"/>
  <c r="L199" i="1"/>
  <c r="L195" i="1"/>
  <c r="L191" i="1"/>
  <c r="L187" i="1"/>
  <c r="L183" i="1"/>
  <c r="L179" i="1"/>
  <c r="L175" i="1"/>
  <c r="L171" i="1"/>
  <c r="L167" i="1"/>
  <c r="L163" i="1"/>
  <c r="L159" i="1"/>
  <c r="L155" i="1"/>
  <c r="L151" i="1"/>
  <c r="L147" i="1"/>
  <c r="L143" i="1"/>
  <c r="L139" i="1"/>
  <c r="L135" i="1"/>
  <c r="L131" i="1"/>
  <c r="L127" i="1"/>
  <c r="L123" i="1"/>
  <c r="L119" i="1"/>
  <c r="L115" i="1"/>
  <c r="L111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5" i="1"/>
  <c r="L31" i="1"/>
  <c r="L27" i="1"/>
  <c r="L23" i="1"/>
  <c r="L19" i="1"/>
  <c r="L15" i="1"/>
  <c r="L11" i="1"/>
  <c r="L7" i="1"/>
  <c r="M235" i="1"/>
  <c r="M231" i="1"/>
  <c r="M227" i="1"/>
  <c r="M223" i="1"/>
  <c r="M219" i="1"/>
  <c r="M215" i="1"/>
  <c r="M211" i="1"/>
  <c r="M207" i="1"/>
  <c r="M203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N235" i="1"/>
  <c r="N231" i="1"/>
  <c r="N227" i="1"/>
  <c r="N223" i="1"/>
  <c r="N219" i="1"/>
  <c r="N215" i="1"/>
  <c r="N211" i="1"/>
  <c r="N207" i="1"/>
  <c r="N203" i="1"/>
  <c r="N199" i="1"/>
  <c r="N195" i="1"/>
  <c r="N191" i="1"/>
  <c r="N187" i="1"/>
  <c r="N183" i="1"/>
  <c r="N179" i="1"/>
  <c r="N175" i="1"/>
  <c r="N171" i="1"/>
  <c r="N167" i="1"/>
  <c r="N163" i="1"/>
  <c r="N159" i="1"/>
  <c r="N155" i="1"/>
  <c r="N151" i="1"/>
  <c r="N39" i="1"/>
  <c r="N11" i="1"/>
  <c r="O215" i="1"/>
  <c r="M185" i="1"/>
  <c r="K218" i="1"/>
  <c r="K210" i="1"/>
  <c r="K206" i="1"/>
  <c r="K202" i="1"/>
  <c r="K198" i="1"/>
  <c r="K194" i="1"/>
  <c r="K190" i="1"/>
  <c r="K186" i="1"/>
  <c r="K182" i="1"/>
  <c r="K178" i="1"/>
  <c r="K174" i="1"/>
  <c r="K170" i="1"/>
  <c r="K166" i="1"/>
  <c r="K162" i="1"/>
  <c r="K158" i="1"/>
  <c r="K154" i="1"/>
  <c r="K150" i="1"/>
  <c r="K146" i="1"/>
  <c r="K142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L234" i="1"/>
  <c r="L230" i="1"/>
  <c r="L226" i="1"/>
  <c r="L222" i="1"/>
  <c r="L218" i="1"/>
  <c r="L214" i="1"/>
  <c r="L210" i="1"/>
  <c r="L206" i="1"/>
  <c r="L202" i="1"/>
  <c r="L198" i="1"/>
  <c r="L194" i="1"/>
  <c r="L190" i="1"/>
  <c r="L186" i="1"/>
  <c r="L182" i="1"/>
  <c r="L178" i="1"/>
  <c r="L174" i="1"/>
  <c r="L170" i="1"/>
  <c r="L166" i="1"/>
  <c r="L162" i="1"/>
  <c r="L158" i="1"/>
  <c r="L154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M234" i="1"/>
  <c r="M230" i="1"/>
  <c r="M226" i="1"/>
  <c r="M222" i="1"/>
  <c r="M218" i="1"/>
  <c r="M214" i="1"/>
  <c r="M210" i="1"/>
  <c r="M206" i="1"/>
  <c r="M202" i="1"/>
  <c r="M198" i="1"/>
  <c r="K214" i="1"/>
  <c r="K3" i="1"/>
  <c r="F236" i="1"/>
  <c r="K236" i="1" s="1"/>
  <c r="O3" i="1"/>
  <c r="J236" i="1"/>
  <c r="K233" i="1"/>
  <c r="K225" i="1"/>
  <c r="K221" i="1"/>
  <c r="K217" i="1"/>
  <c r="K213" i="1"/>
  <c r="K209" i="1"/>
  <c r="K205" i="1"/>
  <c r="K201" i="1"/>
  <c r="K193" i="1"/>
  <c r="K189" i="1"/>
  <c r="K185" i="1"/>
  <c r="K181" i="1"/>
  <c r="K177" i="1"/>
  <c r="K173" i="1"/>
  <c r="K169" i="1"/>
  <c r="K161" i="1"/>
  <c r="K157" i="1"/>
  <c r="K153" i="1"/>
  <c r="K149" i="1"/>
  <c r="K145" i="1"/>
  <c r="K141" i="1"/>
  <c r="K137" i="1"/>
  <c r="K129" i="1"/>
  <c r="K125" i="1"/>
  <c r="K121" i="1"/>
  <c r="K117" i="1"/>
  <c r="K113" i="1"/>
  <c r="K109" i="1"/>
  <c r="K105" i="1"/>
  <c r="K97" i="1"/>
  <c r="K93" i="1"/>
  <c r="K89" i="1"/>
  <c r="K85" i="1"/>
  <c r="K81" i="1"/>
  <c r="K77" i="1"/>
  <c r="K73" i="1"/>
  <c r="K65" i="1"/>
  <c r="K61" i="1"/>
  <c r="K57" i="1"/>
  <c r="K53" i="1"/>
  <c r="K49" i="1"/>
  <c r="K45" i="1"/>
  <c r="K41" i="1"/>
  <c r="K33" i="1"/>
  <c r="K29" i="1"/>
  <c r="K25" i="1"/>
  <c r="K21" i="1"/>
  <c r="K17" i="1"/>
  <c r="K13" i="1"/>
  <c r="K9" i="1"/>
  <c r="K5" i="1"/>
  <c r="L233" i="1"/>
  <c r="L229" i="1"/>
  <c r="L225" i="1"/>
  <c r="L221" i="1"/>
  <c r="L217" i="1"/>
  <c r="L213" i="1"/>
  <c r="L209" i="1"/>
  <c r="L205" i="1"/>
  <c r="L201" i="1"/>
  <c r="L197" i="1"/>
  <c r="L189" i="1"/>
  <c r="L185" i="1"/>
  <c r="L181" i="1"/>
  <c r="L177" i="1"/>
  <c r="L173" i="1"/>
  <c r="L169" i="1"/>
  <c r="L165" i="1"/>
  <c r="L161" i="1"/>
  <c r="L157" i="1"/>
  <c r="L153" i="1"/>
  <c r="L149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3" i="1"/>
  <c r="L89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L17" i="1"/>
  <c r="L13" i="1"/>
  <c r="L9" i="1"/>
  <c r="L5" i="1"/>
  <c r="M233" i="1"/>
  <c r="M229" i="1"/>
  <c r="M225" i="1"/>
  <c r="M121" i="1"/>
  <c r="N97" i="1"/>
  <c r="O221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234" i="1"/>
  <c r="N230" i="1"/>
  <c r="N226" i="1"/>
  <c r="N222" i="1"/>
  <c r="N218" i="1"/>
  <c r="N214" i="1"/>
  <c r="N210" i="1"/>
  <c r="N206" i="1"/>
  <c r="N202" i="1"/>
  <c r="N198" i="1"/>
  <c r="N194" i="1"/>
  <c r="N190" i="1"/>
  <c r="N186" i="1"/>
  <c r="N182" i="1"/>
  <c r="N178" i="1"/>
  <c r="N174" i="1"/>
  <c r="N170" i="1"/>
  <c r="N166" i="1"/>
  <c r="N162" i="1"/>
  <c r="N158" i="1"/>
  <c r="N154" i="1"/>
  <c r="N150" i="1"/>
  <c r="N146" i="1"/>
  <c r="N142" i="1"/>
  <c r="N138" i="1"/>
  <c r="N134" i="1"/>
  <c r="N130" i="1"/>
  <c r="N126" i="1"/>
  <c r="N122" i="1"/>
  <c r="N118" i="1"/>
  <c r="N114" i="1"/>
  <c r="N110" i="1"/>
  <c r="N106" i="1"/>
  <c r="N102" i="1"/>
  <c r="N98" i="1"/>
  <c r="N94" i="1"/>
  <c r="N90" i="1"/>
  <c r="N86" i="1"/>
  <c r="N82" i="1"/>
  <c r="N78" i="1"/>
  <c r="N74" i="1"/>
  <c r="N70" i="1"/>
  <c r="N66" i="1"/>
  <c r="N62" i="1"/>
  <c r="N58" i="1"/>
  <c r="N54" i="1"/>
  <c r="N50" i="1"/>
  <c r="N46" i="1"/>
  <c r="N42" i="1"/>
  <c r="N38" i="1"/>
  <c r="N34" i="1"/>
  <c r="N30" i="1"/>
  <c r="N26" i="1"/>
  <c r="N22" i="1"/>
  <c r="N18" i="1"/>
  <c r="N14" i="1"/>
  <c r="N10" i="1"/>
  <c r="N6" i="1"/>
  <c r="O234" i="1"/>
  <c r="O230" i="1"/>
  <c r="O226" i="1"/>
  <c r="O222" i="1"/>
  <c r="O218" i="1"/>
  <c r="O214" i="1"/>
  <c r="O186" i="1"/>
  <c r="O158" i="1"/>
  <c r="O130" i="1"/>
  <c r="O78" i="1"/>
  <c r="M221" i="1"/>
  <c r="M217" i="1"/>
  <c r="M213" i="1"/>
  <c r="M209" i="1"/>
  <c r="M205" i="1"/>
  <c r="M201" i="1"/>
  <c r="M197" i="1"/>
  <c r="M193" i="1"/>
  <c r="M189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M5" i="1"/>
  <c r="N233" i="1"/>
  <c r="N229" i="1"/>
  <c r="N225" i="1"/>
  <c r="N221" i="1"/>
  <c r="N217" i="1"/>
  <c r="N213" i="1"/>
  <c r="N209" i="1"/>
  <c r="N205" i="1"/>
  <c r="N201" i="1"/>
  <c r="N197" i="1"/>
  <c r="N193" i="1"/>
  <c r="N189" i="1"/>
  <c r="N185" i="1"/>
  <c r="N181" i="1"/>
  <c r="N177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N93" i="1"/>
  <c r="N89" i="1"/>
  <c r="N85" i="1"/>
  <c r="N81" i="1"/>
  <c r="N77" i="1"/>
  <c r="N73" i="1"/>
  <c r="N69" i="1"/>
  <c r="N65" i="1"/>
  <c r="N61" i="1"/>
  <c r="N57" i="1"/>
  <c r="N53" i="1"/>
  <c r="N49" i="1"/>
  <c r="N41" i="1"/>
  <c r="N37" i="1"/>
  <c r="N33" i="1"/>
  <c r="N29" i="1"/>
  <c r="N25" i="1"/>
  <c r="N21" i="1"/>
  <c r="N17" i="1"/>
  <c r="N13" i="1"/>
  <c r="N9" i="1"/>
  <c r="N5" i="1"/>
  <c r="O233" i="1"/>
  <c r="O229" i="1"/>
  <c r="O225" i="1"/>
  <c r="O217" i="1"/>
  <c r="O213" i="1"/>
  <c r="O209" i="1"/>
  <c r="O205" i="1"/>
  <c r="O201" i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145" i="1"/>
  <c r="O141" i="1"/>
  <c r="O137" i="1"/>
  <c r="O133" i="1"/>
  <c r="O129" i="1"/>
  <c r="O125" i="1"/>
  <c r="O121" i="1"/>
  <c r="O117" i="1"/>
  <c r="O113" i="1"/>
  <c r="O109" i="1"/>
  <c r="O105" i="1"/>
  <c r="O101" i="1"/>
  <c r="O97" i="1"/>
  <c r="O93" i="1"/>
  <c r="O89" i="1"/>
  <c r="O85" i="1"/>
  <c r="O81" i="1"/>
  <c r="O77" i="1"/>
  <c r="O73" i="1"/>
  <c r="O69" i="1"/>
  <c r="O65" i="1"/>
  <c r="O61" i="1"/>
  <c r="O57" i="1"/>
  <c r="O53" i="1"/>
  <c r="O49" i="1"/>
  <c r="O45" i="1"/>
  <c r="O41" i="1"/>
  <c r="O37" i="1"/>
  <c r="O33" i="1"/>
  <c r="O29" i="1"/>
  <c r="O25" i="1"/>
  <c r="O21" i="1"/>
  <c r="O17" i="1"/>
  <c r="O13" i="1"/>
  <c r="O9" i="1"/>
  <c r="O5" i="1"/>
  <c r="L32" i="1"/>
  <c r="L28" i="1"/>
  <c r="L24" i="1"/>
  <c r="L20" i="1"/>
  <c r="L16" i="1"/>
  <c r="L12" i="1"/>
  <c r="L8" i="1"/>
  <c r="L4" i="1"/>
  <c r="M232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8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96" i="1"/>
  <c r="M92" i="1"/>
  <c r="M88" i="1"/>
  <c r="M84" i="1"/>
  <c r="M80" i="1"/>
  <c r="M72" i="1"/>
  <c r="M68" i="1"/>
  <c r="M64" i="1"/>
  <c r="M60" i="1"/>
  <c r="M56" i="1"/>
  <c r="M52" i="1"/>
  <c r="M48" i="1"/>
  <c r="M40" i="1"/>
  <c r="M36" i="1"/>
  <c r="M32" i="1"/>
  <c r="M28" i="1"/>
  <c r="M24" i="1"/>
  <c r="M20" i="1"/>
  <c r="M16" i="1"/>
  <c r="M8" i="1"/>
  <c r="M4" i="1"/>
  <c r="N232" i="1"/>
  <c r="N228" i="1"/>
  <c r="N224" i="1"/>
  <c r="N220" i="1"/>
  <c r="N216" i="1"/>
  <c r="N208" i="1"/>
  <c r="N204" i="1"/>
  <c r="N200" i="1"/>
  <c r="N196" i="1"/>
  <c r="N192" i="1"/>
  <c r="N188" i="1"/>
  <c r="N184" i="1"/>
  <c r="N176" i="1"/>
  <c r="N172" i="1"/>
  <c r="N168" i="1"/>
  <c r="N164" i="1"/>
  <c r="N160" i="1"/>
  <c r="N156" i="1"/>
  <c r="N152" i="1"/>
  <c r="N148" i="1"/>
  <c r="N144" i="1"/>
  <c r="N136" i="1"/>
  <c r="N132" i="1"/>
  <c r="N128" i="1"/>
  <c r="N124" i="1"/>
  <c r="N120" i="1"/>
  <c r="N116" i="1"/>
  <c r="N112" i="1"/>
  <c r="N108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16" i="1"/>
  <c r="N12" i="1"/>
  <c r="N8" i="1"/>
  <c r="N4" i="1"/>
  <c r="O232" i="1"/>
  <c r="O228" i="1"/>
  <c r="O224" i="1"/>
  <c r="O220" i="1"/>
  <c r="O216" i="1"/>
  <c r="O212" i="1"/>
  <c r="O208" i="1"/>
  <c r="O204" i="1"/>
  <c r="O200" i="1"/>
  <c r="O196" i="1"/>
  <c r="O192" i="1"/>
  <c r="O188" i="1"/>
  <c r="O184" i="1"/>
  <c r="O180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12" i="1"/>
  <c r="O108" i="1"/>
  <c r="O104" i="1"/>
  <c r="O100" i="1"/>
  <c r="O96" i="1"/>
  <c r="O92" i="1"/>
  <c r="O88" i="1"/>
  <c r="O84" i="1"/>
  <c r="O80" i="1"/>
  <c r="O76" i="1"/>
  <c r="O72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8" i="1"/>
  <c r="O4" i="1"/>
  <c r="N147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5" i="1"/>
  <c r="N31" i="1"/>
  <c r="N27" i="1"/>
  <c r="N23" i="1"/>
  <c r="N19" i="1"/>
  <c r="N15" i="1"/>
  <c r="N7" i="1"/>
  <c r="O235" i="1"/>
  <c r="O231" i="1"/>
  <c r="O227" i="1"/>
  <c r="O223" i="1"/>
  <c r="O219" i="1"/>
  <c r="O211" i="1"/>
  <c r="O207" i="1"/>
  <c r="O203" i="1"/>
  <c r="O199" i="1"/>
  <c r="O143" i="1"/>
  <c r="O115" i="1"/>
  <c r="O87" i="1"/>
  <c r="O63" i="1"/>
  <c r="O35" i="1"/>
  <c r="O7" i="1"/>
  <c r="O210" i="1"/>
  <c r="O206" i="1"/>
  <c r="O202" i="1"/>
  <c r="O198" i="1"/>
  <c r="O194" i="1"/>
  <c r="O190" i="1"/>
  <c r="O182" i="1"/>
  <c r="O178" i="1"/>
  <c r="O174" i="1"/>
  <c r="O170" i="1"/>
  <c r="O166" i="1"/>
  <c r="O162" i="1"/>
  <c r="O154" i="1"/>
  <c r="O150" i="1"/>
  <c r="O146" i="1"/>
  <c r="O142" i="1"/>
  <c r="O138" i="1"/>
  <c r="O134" i="1"/>
  <c r="O126" i="1"/>
  <c r="O122" i="1"/>
  <c r="O118" i="1"/>
  <c r="O114" i="1"/>
  <c r="O110" i="1"/>
  <c r="O102" i="1"/>
  <c r="O98" i="1"/>
  <c r="O94" i="1"/>
  <c r="O90" i="1"/>
  <c r="O86" i="1"/>
  <c r="O82" i="1"/>
  <c r="O74" i="1"/>
  <c r="O70" i="1"/>
  <c r="O66" i="1"/>
  <c r="O62" i="1"/>
  <c r="O58" i="1"/>
  <c r="O54" i="1"/>
  <c r="O46" i="1"/>
  <c r="O42" i="1"/>
  <c r="O38" i="1"/>
  <c r="O34" i="1"/>
  <c r="O30" i="1"/>
  <c r="O26" i="1"/>
  <c r="O22" i="1"/>
  <c r="O18" i="1"/>
  <c r="O14" i="1"/>
  <c r="O10" i="1"/>
  <c r="O6" i="1"/>
  <c r="O195" i="1"/>
  <c r="O187" i="1"/>
  <c r="O183" i="1"/>
  <c r="O179" i="1"/>
  <c r="O175" i="1"/>
  <c r="O171" i="1"/>
  <c r="O167" i="1"/>
  <c r="O159" i="1"/>
  <c r="O155" i="1"/>
  <c r="O151" i="1"/>
  <c r="O147" i="1"/>
  <c r="O139" i="1"/>
  <c r="O131" i="1"/>
  <c r="O127" i="1"/>
  <c r="O123" i="1"/>
  <c r="O119" i="1"/>
  <c r="O111" i="1"/>
  <c r="O107" i="1"/>
  <c r="O103" i="1"/>
  <c r="O99" i="1"/>
  <c r="O95" i="1"/>
  <c r="O91" i="1"/>
  <c r="O83" i="1"/>
  <c r="O79" i="1"/>
  <c r="O75" i="1"/>
  <c r="O71" i="1"/>
  <c r="O67" i="1"/>
  <c r="O59" i="1"/>
  <c r="O55" i="1"/>
  <c r="O51" i="1"/>
  <c r="O47" i="1"/>
  <c r="O43" i="1"/>
  <c r="O39" i="1"/>
  <c r="O31" i="1"/>
  <c r="O27" i="1"/>
  <c r="O23" i="1"/>
  <c r="O19" i="1"/>
  <c r="O11" i="1"/>
  <c r="AB233" i="1"/>
  <c r="AF233" i="1" s="1"/>
  <c r="AQ233" i="1" s="1"/>
  <c r="AB225" i="1"/>
  <c r="AF225" i="1" s="1"/>
  <c r="AQ225" i="1" s="1"/>
  <c r="AB217" i="1"/>
  <c r="AF217" i="1" s="1"/>
  <c r="AQ217" i="1" s="1"/>
  <c r="AB209" i="1"/>
  <c r="AF209" i="1" s="1"/>
  <c r="AQ209" i="1" s="1"/>
  <c r="AB201" i="1"/>
  <c r="AF201" i="1" s="1"/>
  <c r="AQ201" i="1" s="1"/>
  <c r="AB193" i="1"/>
  <c r="AF193" i="1" s="1"/>
  <c r="AQ193" i="1" s="1"/>
  <c r="AB185" i="1"/>
  <c r="AF185" i="1" s="1"/>
  <c r="AQ185" i="1" s="1"/>
  <c r="AB177" i="1"/>
  <c r="AG177" i="1" s="1"/>
  <c r="AR177" i="1" s="1"/>
  <c r="AB169" i="1"/>
  <c r="AF169" i="1" s="1"/>
  <c r="AQ169" i="1" s="1"/>
  <c r="AB161" i="1"/>
  <c r="AG161" i="1" s="1"/>
  <c r="AR161" i="1" s="1"/>
  <c r="AB153" i="1"/>
  <c r="AF153" i="1" s="1"/>
  <c r="AQ153" i="1" s="1"/>
  <c r="AB145" i="1"/>
  <c r="AF145" i="1" s="1"/>
  <c r="AQ145" i="1" s="1"/>
  <c r="AB137" i="1"/>
  <c r="AF137" i="1" s="1"/>
  <c r="AQ137" i="1" s="1"/>
  <c r="AB129" i="1"/>
  <c r="AF129" i="1" s="1"/>
  <c r="AQ129" i="1" s="1"/>
  <c r="AB121" i="1"/>
  <c r="AF121" i="1" s="1"/>
  <c r="AQ121" i="1" s="1"/>
  <c r="AB113" i="1"/>
  <c r="AF113" i="1" s="1"/>
  <c r="AQ113" i="1" s="1"/>
  <c r="AB105" i="1"/>
  <c r="AF105" i="1" s="1"/>
  <c r="AQ105" i="1" s="1"/>
  <c r="AB97" i="1"/>
  <c r="AF97" i="1" s="1"/>
  <c r="AQ97" i="1" s="1"/>
  <c r="AB89" i="1"/>
  <c r="AF89" i="1" s="1"/>
  <c r="AQ89" i="1" s="1"/>
  <c r="AB81" i="1"/>
  <c r="AG81" i="1" s="1"/>
  <c r="AR81" i="1" s="1"/>
  <c r="AB73" i="1"/>
  <c r="AF73" i="1" s="1"/>
  <c r="AQ73" i="1" s="1"/>
  <c r="AB65" i="1"/>
  <c r="AF65" i="1" s="1"/>
  <c r="AQ65" i="1" s="1"/>
  <c r="AB57" i="1"/>
  <c r="AG57" i="1" s="1"/>
  <c r="AR57" i="1" s="1"/>
  <c r="AB49" i="1"/>
  <c r="AG49" i="1" s="1"/>
  <c r="AR49" i="1" s="1"/>
  <c r="AB41" i="1"/>
  <c r="AF41" i="1" s="1"/>
  <c r="AQ41" i="1" s="1"/>
  <c r="AB33" i="1"/>
  <c r="AF33" i="1" s="1"/>
  <c r="AQ33" i="1" s="1"/>
  <c r="AB5" i="1"/>
  <c r="AC5" i="1" s="1"/>
  <c r="AN5" i="1" s="1"/>
  <c r="AB8" i="1"/>
  <c r="AC8" i="1" s="1"/>
  <c r="AN8" i="1" s="1"/>
  <c r="AB25" i="1"/>
  <c r="AF25" i="1" s="1"/>
  <c r="AQ25" i="1" s="1"/>
  <c r="AB13" i="1"/>
  <c r="AC13" i="1" s="1"/>
  <c r="AN13" i="1" s="1"/>
  <c r="AB231" i="1"/>
  <c r="AC231" i="1" s="1"/>
  <c r="AN231" i="1" s="1"/>
  <c r="AB223" i="1"/>
  <c r="AC223" i="1" s="1"/>
  <c r="AN223" i="1" s="1"/>
  <c r="AB215" i="1"/>
  <c r="AC215" i="1" s="1"/>
  <c r="AN215" i="1" s="1"/>
  <c r="AB207" i="1"/>
  <c r="AD207" i="1" s="1"/>
  <c r="AO207" i="1" s="1"/>
  <c r="AB199" i="1"/>
  <c r="AC199" i="1" s="1"/>
  <c r="AN199" i="1" s="1"/>
  <c r="AB191" i="1"/>
  <c r="AC191" i="1" s="1"/>
  <c r="AN191" i="1" s="1"/>
  <c r="AB183" i="1"/>
  <c r="AC183" i="1" s="1"/>
  <c r="AN183" i="1" s="1"/>
  <c r="AB175" i="1"/>
  <c r="AC175" i="1" s="1"/>
  <c r="AN175" i="1" s="1"/>
  <c r="AB167" i="1"/>
  <c r="AC167" i="1" s="1"/>
  <c r="AN167" i="1" s="1"/>
  <c r="AB159" i="1"/>
  <c r="AC159" i="1" s="1"/>
  <c r="AN159" i="1" s="1"/>
  <c r="AB151" i="1"/>
  <c r="AC151" i="1" s="1"/>
  <c r="AN151" i="1" s="1"/>
  <c r="AB143" i="1"/>
  <c r="AC143" i="1" s="1"/>
  <c r="AN143" i="1" s="1"/>
  <c r="AB135" i="1"/>
  <c r="AC135" i="1" s="1"/>
  <c r="AN135" i="1" s="1"/>
  <c r="AB127" i="1"/>
  <c r="AC127" i="1" s="1"/>
  <c r="AN127" i="1" s="1"/>
  <c r="AB119" i="1"/>
  <c r="AC119" i="1" s="1"/>
  <c r="AN119" i="1" s="1"/>
  <c r="AB111" i="1"/>
  <c r="AC111" i="1" s="1"/>
  <c r="AN111" i="1" s="1"/>
  <c r="AB103" i="1"/>
  <c r="AC103" i="1" s="1"/>
  <c r="AN103" i="1" s="1"/>
  <c r="AB95" i="1"/>
  <c r="AC95" i="1" s="1"/>
  <c r="AN95" i="1" s="1"/>
  <c r="AB87" i="1"/>
  <c r="AC87" i="1" s="1"/>
  <c r="AN87" i="1" s="1"/>
  <c r="AB79" i="1"/>
  <c r="AC79" i="1" s="1"/>
  <c r="AN79" i="1" s="1"/>
  <c r="AB71" i="1"/>
  <c r="AC71" i="1" s="1"/>
  <c r="AN71" i="1" s="1"/>
  <c r="AB63" i="1"/>
  <c r="AD63" i="1" s="1"/>
  <c r="AO63" i="1" s="1"/>
  <c r="AB47" i="1"/>
  <c r="AC47" i="1" s="1"/>
  <c r="AN47" i="1" s="1"/>
  <c r="AB39" i="1"/>
  <c r="AC39" i="1" s="1"/>
  <c r="AN39" i="1" s="1"/>
  <c r="AB31" i="1"/>
  <c r="AC31" i="1" s="1"/>
  <c r="AN31" i="1" s="1"/>
  <c r="AB17" i="1"/>
  <c r="AF17" i="1" s="1"/>
  <c r="AQ17" i="1" s="1"/>
  <c r="AB9" i="1"/>
  <c r="AG9" i="1" s="1"/>
  <c r="AR9" i="1" s="1"/>
  <c r="AB55" i="1"/>
  <c r="AC55" i="1" s="1"/>
  <c r="AN55" i="1" s="1"/>
  <c r="AB14" i="1"/>
  <c r="AB6" i="1"/>
  <c r="AG6" i="1" s="1"/>
  <c r="AR6" i="1" s="1"/>
  <c r="AB23" i="1"/>
  <c r="AC23" i="1" s="1"/>
  <c r="AN23" i="1" s="1"/>
  <c r="AB230" i="1"/>
  <c r="AG230" i="1" s="1"/>
  <c r="AR230" i="1" s="1"/>
  <c r="AB222" i="1"/>
  <c r="AG222" i="1" s="1"/>
  <c r="AR222" i="1" s="1"/>
  <c r="AB214" i="1"/>
  <c r="AG214" i="1" s="1"/>
  <c r="AR214" i="1" s="1"/>
  <c r="AB206" i="1"/>
  <c r="AG206" i="1" s="1"/>
  <c r="AR206" i="1" s="1"/>
  <c r="AB198" i="1"/>
  <c r="AG198" i="1" s="1"/>
  <c r="AR198" i="1" s="1"/>
  <c r="AB190" i="1"/>
  <c r="AG190" i="1" s="1"/>
  <c r="AR190" i="1" s="1"/>
  <c r="AB182" i="1"/>
  <c r="AG182" i="1" s="1"/>
  <c r="AR182" i="1" s="1"/>
  <c r="AB174" i="1"/>
  <c r="AG174" i="1" s="1"/>
  <c r="AR174" i="1" s="1"/>
  <c r="AB166" i="1"/>
  <c r="AG166" i="1" s="1"/>
  <c r="AR166" i="1" s="1"/>
  <c r="AB158" i="1"/>
  <c r="AB150" i="1"/>
  <c r="AG150" i="1" s="1"/>
  <c r="AR150" i="1" s="1"/>
  <c r="AB142" i="1"/>
  <c r="AG142" i="1" s="1"/>
  <c r="AR142" i="1" s="1"/>
  <c r="AB134" i="1"/>
  <c r="AG134" i="1" s="1"/>
  <c r="AR134" i="1" s="1"/>
  <c r="AB126" i="1"/>
  <c r="AG126" i="1" s="1"/>
  <c r="AR126" i="1" s="1"/>
  <c r="AB118" i="1"/>
  <c r="AG118" i="1" s="1"/>
  <c r="AR118" i="1" s="1"/>
  <c r="AB110" i="1"/>
  <c r="AG110" i="1" s="1"/>
  <c r="AR110" i="1" s="1"/>
  <c r="AB102" i="1"/>
  <c r="AG102" i="1" s="1"/>
  <c r="AR102" i="1" s="1"/>
  <c r="AB94" i="1"/>
  <c r="AG94" i="1" s="1"/>
  <c r="AR94" i="1" s="1"/>
  <c r="AB86" i="1"/>
  <c r="AG86" i="1" s="1"/>
  <c r="AR86" i="1" s="1"/>
  <c r="AB78" i="1"/>
  <c r="AG78" i="1" s="1"/>
  <c r="AR78" i="1" s="1"/>
  <c r="AB70" i="1"/>
  <c r="AG70" i="1" s="1"/>
  <c r="AR70" i="1" s="1"/>
  <c r="AB62" i="1"/>
  <c r="AG62" i="1" s="1"/>
  <c r="AR62" i="1" s="1"/>
  <c r="AB54" i="1"/>
  <c r="AG54" i="1" s="1"/>
  <c r="AR54" i="1" s="1"/>
  <c r="AB46" i="1"/>
  <c r="AG46" i="1" s="1"/>
  <c r="AR46" i="1" s="1"/>
  <c r="AB38" i="1"/>
  <c r="AG38" i="1" s="1"/>
  <c r="AR38" i="1" s="1"/>
  <c r="AB30" i="1"/>
  <c r="AG30" i="1" s="1"/>
  <c r="AR30" i="1" s="1"/>
  <c r="AB22" i="1"/>
  <c r="AG22" i="1" s="1"/>
  <c r="AR22" i="1" s="1"/>
  <c r="AB229" i="1"/>
  <c r="AC229" i="1" s="1"/>
  <c r="AN229" i="1" s="1"/>
  <c r="AB221" i="1"/>
  <c r="AC221" i="1" s="1"/>
  <c r="AN221" i="1" s="1"/>
  <c r="AB213" i="1"/>
  <c r="AC213" i="1" s="1"/>
  <c r="AN213" i="1" s="1"/>
  <c r="AB205" i="1"/>
  <c r="AC205" i="1" s="1"/>
  <c r="AN205" i="1" s="1"/>
  <c r="AB197" i="1"/>
  <c r="AC197" i="1" s="1"/>
  <c r="AN197" i="1" s="1"/>
  <c r="AB189" i="1"/>
  <c r="AC189" i="1" s="1"/>
  <c r="AN189" i="1" s="1"/>
  <c r="AB181" i="1"/>
  <c r="AC181" i="1" s="1"/>
  <c r="AN181" i="1" s="1"/>
  <c r="AB173" i="1"/>
  <c r="AC173" i="1" s="1"/>
  <c r="AN173" i="1" s="1"/>
  <c r="AB165" i="1"/>
  <c r="AC165" i="1" s="1"/>
  <c r="AN165" i="1" s="1"/>
  <c r="AB157" i="1"/>
  <c r="AC157" i="1" s="1"/>
  <c r="AN157" i="1" s="1"/>
  <c r="AB149" i="1"/>
  <c r="AC149" i="1" s="1"/>
  <c r="AN149" i="1" s="1"/>
  <c r="AB141" i="1"/>
  <c r="AD141" i="1" s="1"/>
  <c r="AO141" i="1" s="1"/>
  <c r="AB133" i="1"/>
  <c r="AC133" i="1" s="1"/>
  <c r="AN133" i="1" s="1"/>
  <c r="AB125" i="1"/>
  <c r="AC125" i="1" s="1"/>
  <c r="AN125" i="1" s="1"/>
  <c r="AB117" i="1"/>
  <c r="AC117" i="1" s="1"/>
  <c r="AN117" i="1" s="1"/>
  <c r="AB109" i="1"/>
  <c r="AD109" i="1" s="1"/>
  <c r="AO109" i="1" s="1"/>
  <c r="AB101" i="1"/>
  <c r="AC101" i="1" s="1"/>
  <c r="AN101" i="1" s="1"/>
  <c r="AB93" i="1"/>
  <c r="AC93" i="1" s="1"/>
  <c r="AN93" i="1" s="1"/>
  <c r="AB85" i="1"/>
  <c r="AC85" i="1" s="1"/>
  <c r="AN85" i="1" s="1"/>
  <c r="AB77" i="1"/>
  <c r="AD77" i="1" s="1"/>
  <c r="AO77" i="1" s="1"/>
  <c r="AB69" i="1"/>
  <c r="AC69" i="1" s="1"/>
  <c r="AN69" i="1" s="1"/>
  <c r="AB61" i="1"/>
  <c r="AC61" i="1" s="1"/>
  <c r="AN61" i="1" s="1"/>
  <c r="AB53" i="1"/>
  <c r="AC53" i="1" s="1"/>
  <c r="AN53" i="1" s="1"/>
  <c r="AB45" i="1"/>
  <c r="AC45" i="1" s="1"/>
  <c r="AN45" i="1" s="1"/>
  <c r="AB37" i="1"/>
  <c r="AC37" i="1" s="1"/>
  <c r="AN37" i="1" s="1"/>
  <c r="AB18" i="1"/>
  <c r="AB10" i="1"/>
  <c r="AB29" i="1"/>
  <c r="AC29" i="1" s="1"/>
  <c r="AN29" i="1" s="1"/>
  <c r="AB21" i="1"/>
  <c r="AC21" i="1" s="1"/>
  <c r="AN21" i="1" s="1"/>
  <c r="AB228" i="1"/>
  <c r="AB220" i="1"/>
  <c r="AB212" i="1"/>
  <c r="AB204" i="1"/>
  <c r="AB196" i="1"/>
  <c r="AB188" i="1"/>
  <c r="AB180" i="1"/>
  <c r="AB172" i="1"/>
  <c r="AB164" i="1"/>
  <c r="AE164" i="1" s="1"/>
  <c r="AP164" i="1" s="1"/>
  <c r="AB156" i="1"/>
  <c r="AB148" i="1"/>
  <c r="AB140" i="1"/>
  <c r="AB132" i="1"/>
  <c r="AB124" i="1"/>
  <c r="AB116" i="1"/>
  <c r="AB108" i="1"/>
  <c r="AB100" i="1"/>
  <c r="AB92" i="1"/>
  <c r="AB84" i="1"/>
  <c r="AB76" i="1"/>
  <c r="AB68" i="1"/>
  <c r="AB60" i="1"/>
  <c r="AB52" i="1"/>
  <c r="AB44" i="1"/>
  <c r="AB36" i="1"/>
  <c r="AB186" i="1"/>
  <c r="AB122" i="1"/>
  <c r="AB58" i="1"/>
  <c r="AB234" i="1"/>
  <c r="AB226" i="1"/>
  <c r="AB218" i="1"/>
  <c r="AB210" i="1"/>
  <c r="AB202" i="1"/>
  <c r="AB194" i="1"/>
  <c r="AB178" i="1"/>
  <c r="AB170" i="1"/>
  <c r="AB162" i="1"/>
  <c r="AB154" i="1"/>
  <c r="AB146" i="1"/>
  <c r="AB138" i="1"/>
  <c r="AB130" i="1"/>
  <c r="AB114" i="1"/>
  <c r="AB106" i="1"/>
  <c r="AB98" i="1"/>
  <c r="AB90" i="1"/>
  <c r="AB82" i="1"/>
  <c r="AB74" i="1"/>
  <c r="AB66" i="1"/>
  <c r="AB50" i="1"/>
  <c r="AB42" i="1"/>
  <c r="AB34" i="1"/>
  <c r="AG34" i="1" s="1"/>
  <c r="AR34" i="1" s="1"/>
  <c r="AB15" i="1"/>
  <c r="AC15" i="1" s="1"/>
  <c r="AN15" i="1" s="1"/>
  <c r="AB7" i="1"/>
  <c r="AC7" i="1" s="1"/>
  <c r="AN7" i="1" s="1"/>
  <c r="AB19" i="1"/>
  <c r="AC19" i="1" s="1"/>
  <c r="AN19" i="1" s="1"/>
  <c r="AB11" i="1"/>
  <c r="AC11" i="1" s="1"/>
  <c r="AN11" i="1" s="1"/>
  <c r="AB28" i="1"/>
  <c r="AB235" i="1"/>
  <c r="AC235" i="1" s="1"/>
  <c r="AN235" i="1" s="1"/>
  <c r="AB227" i="1"/>
  <c r="AC227" i="1" s="1"/>
  <c r="AN227" i="1" s="1"/>
  <c r="AB219" i="1"/>
  <c r="AC219" i="1" s="1"/>
  <c r="AN219" i="1" s="1"/>
  <c r="AB211" i="1"/>
  <c r="AC211" i="1" s="1"/>
  <c r="AN211" i="1" s="1"/>
  <c r="AB203" i="1"/>
  <c r="AC203" i="1" s="1"/>
  <c r="AN203" i="1" s="1"/>
  <c r="AB195" i="1"/>
  <c r="AC195" i="1" s="1"/>
  <c r="AN195" i="1" s="1"/>
  <c r="AB187" i="1"/>
  <c r="AC187" i="1" s="1"/>
  <c r="AN187" i="1" s="1"/>
  <c r="AB179" i="1"/>
  <c r="AC179" i="1" s="1"/>
  <c r="AN179" i="1" s="1"/>
  <c r="AB171" i="1"/>
  <c r="AC171" i="1" s="1"/>
  <c r="AN171" i="1" s="1"/>
  <c r="AB163" i="1"/>
  <c r="AC163" i="1" s="1"/>
  <c r="AN163" i="1" s="1"/>
  <c r="AB155" i="1"/>
  <c r="AC155" i="1" s="1"/>
  <c r="AN155" i="1" s="1"/>
  <c r="AB147" i="1"/>
  <c r="AC147" i="1" s="1"/>
  <c r="AN147" i="1" s="1"/>
  <c r="AB139" i="1"/>
  <c r="AC139" i="1" s="1"/>
  <c r="AN139" i="1" s="1"/>
  <c r="AB131" i="1"/>
  <c r="AC131" i="1" s="1"/>
  <c r="AN131" i="1" s="1"/>
  <c r="AB123" i="1"/>
  <c r="AC123" i="1" s="1"/>
  <c r="AN123" i="1" s="1"/>
  <c r="AB115" i="1"/>
  <c r="AC115" i="1" s="1"/>
  <c r="AN115" i="1" s="1"/>
  <c r="AB107" i="1"/>
  <c r="AC107" i="1" s="1"/>
  <c r="AN107" i="1" s="1"/>
  <c r="AB99" i="1"/>
  <c r="AC99" i="1" s="1"/>
  <c r="AN99" i="1" s="1"/>
  <c r="AB91" i="1"/>
  <c r="AC91" i="1" s="1"/>
  <c r="AN91" i="1" s="1"/>
  <c r="AB83" i="1"/>
  <c r="AC83" i="1" s="1"/>
  <c r="AN83" i="1" s="1"/>
  <c r="AB75" i="1"/>
  <c r="AC75" i="1" s="1"/>
  <c r="AN75" i="1" s="1"/>
  <c r="AB67" i="1"/>
  <c r="AC67" i="1" s="1"/>
  <c r="AN67" i="1" s="1"/>
  <c r="AB59" i="1"/>
  <c r="AC59" i="1" s="1"/>
  <c r="AN59" i="1" s="1"/>
  <c r="AB51" i="1"/>
  <c r="AC51" i="1" s="1"/>
  <c r="AN51" i="1" s="1"/>
  <c r="AB43" i="1"/>
  <c r="AC43" i="1" s="1"/>
  <c r="AN43" i="1" s="1"/>
  <c r="AB35" i="1"/>
  <c r="AC35" i="1" s="1"/>
  <c r="AN35" i="1" s="1"/>
  <c r="AB16" i="1"/>
  <c r="AC16" i="1" s="1"/>
  <c r="AN16" i="1" s="1"/>
  <c r="AB27" i="1"/>
  <c r="AC27" i="1" s="1"/>
  <c r="AN27" i="1" s="1"/>
  <c r="AB26" i="1"/>
  <c r="AB232" i="1"/>
  <c r="AC232" i="1" s="1"/>
  <c r="AN232" i="1" s="1"/>
  <c r="AB224" i="1"/>
  <c r="AC224" i="1" s="1"/>
  <c r="AN224" i="1" s="1"/>
  <c r="AB216" i="1"/>
  <c r="AC216" i="1" s="1"/>
  <c r="AN216" i="1" s="1"/>
  <c r="AB208" i="1"/>
  <c r="AC208" i="1" s="1"/>
  <c r="AN208" i="1" s="1"/>
  <c r="AB200" i="1"/>
  <c r="AC200" i="1" s="1"/>
  <c r="AN200" i="1" s="1"/>
  <c r="AB192" i="1"/>
  <c r="AC192" i="1" s="1"/>
  <c r="AN192" i="1" s="1"/>
  <c r="AB184" i="1"/>
  <c r="AC184" i="1" s="1"/>
  <c r="AN184" i="1" s="1"/>
  <c r="AB176" i="1"/>
  <c r="AC176" i="1" s="1"/>
  <c r="AN176" i="1" s="1"/>
  <c r="AB168" i="1"/>
  <c r="AC168" i="1" s="1"/>
  <c r="AN168" i="1" s="1"/>
  <c r="AB160" i="1"/>
  <c r="AC160" i="1" s="1"/>
  <c r="AN160" i="1" s="1"/>
  <c r="AB152" i="1"/>
  <c r="AC152" i="1" s="1"/>
  <c r="AN152" i="1" s="1"/>
  <c r="AB144" i="1"/>
  <c r="AC144" i="1" s="1"/>
  <c r="AN144" i="1" s="1"/>
  <c r="AB136" i="1"/>
  <c r="AC136" i="1" s="1"/>
  <c r="AN136" i="1" s="1"/>
  <c r="AB128" i="1"/>
  <c r="AC128" i="1" s="1"/>
  <c r="AN128" i="1" s="1"/>
  <c r="AB120" i="1"/>
  <c r="AC120" i="1" s="1"/>
  <c r="AN120" i="1" s="1"/>
  <c r="AB112" i="1"/>
  <c r="AC112" i="1" s="1"/>
  <c r="AN112" i="1" s="1"/>
  <c r="AB104" i="1"/>
  <c r="AC104" i="1" s="1"/>
  <c r="AN104" i="1" s="1"/>
  <c r="AB96" i="1"/>
  <c r="AC96" i="1" s="1"/>
  <c r="AN96" i="1" s="1"/>
  <c r="AB88" i="1"/>
  <c r="AC88" i="1" s="1"/>
  <c r="AN88" i="1" s="1"/>
  <c r="AB80" i="1"/>
  <c r="AC80" i="1" s="1"/>
  <c r="AN80" i="1" s="1"/>
  <c r="AB72" i="1"/>
  <c r="AC72" i="1" s="1"/>
  <c r="AN72" i="1" s="1"/>
  <c r="AB64" i="1"/>
  <c r="AC64" i="1" s="1"/>
  <c r="AN64" i="1" s="1"/>
  <c r="AB56" i="1"/>
  <c r="AC56" i="1" s="1"/>
  <c r="AN56" i="1" s="1"/>
  <c r="AB48" i="1"/>
  <c r="AC48" i="1" s="1"/>
  <c r="AN48" i="1" s="1"/>
  <c r="AB40" i="1"/>
  <c r="AC40" i="1" s="1"/>
  <c r="AN40" i="1" s="1"/>
  <c r="AB32" i="1"/>
  <c r="AC32" i="1" s="1"/>
  <c r="AN32" i="1" s="1"/>
  <c r="AB3" i="1"/>
  <c r="AC3" i="1" s="1"/>
  <c r="AN3" i="1" s="1"/>
  <c r="AB24" i="1"/>
  <c r="AC24" i="1" s="1"/>
  <c r="AN24" i="1" s="1"/>
  <c r="AB20" i="1"/>
  <c r="AB12" i="1"/>
  <c r="AB4" i="1"/>
  <c r="AB2" i="1"/>
  <c r="S2" i="1" l="1"/>
  <c r="T2" i="1"/>
  <c r="U2" i="1"/>
  <c r="Q2" i="1"/>
  <c r="R2" i="1"/>
  <c r="T6" i="1"/>
  <c r="U6" i="1"/>
  <c r="S6" i="1"/>
  <c r="Q6" i="1"/>
  <c r="R6" i="1"/>
  <c r="U5" i="1"/>
  <c r="S5" i="1"/>
  <c r="T5" i="1"/>
  <c r="R5" i="1"/>
  <c r="Q5" i="1"/>
  <c r="U4" i="1"/>
  <c r="T4" i="1"/>
  <c r="S4" i="1"/>
  <c r="Q4" i="1"/>
  <c r="R4" i="1"/>
  <c r="U3" i="1"/>
  <c r="T3" i="1"/>
  <c r="S3" i="1"/>
  <c r="Q3" i="1"/>
  <c r="R3" i="1"/>
  <c r="AC2" i="1"/>
  <c r="AF127" i="1"/>
  <c r="AQ127" i="1" s="1"/>
  <c r="AG171" i="1"/>
  <c r="AR171" i="1" s="1"/>
  <c r="AG93" i="1"/>
  <c r="AR93" i="1" s="1"/>
  <c r="AG24" i="1"/>
  <c r="AR24" i="1" s="1"/>
  <c r="AG11" i="1"/>
  <c r="AR11" i="1" s="1"/>
  <c r="AG187" i="1"/>
  <c r="AR187" i="1" s="1"/>
  <c r="AG125" i="1"/>
  <c r="AR125" i="1" s="1"/>
  <c r="AG143" i="1"/>
  <c r="AR143" i="1" s="1"/>
  <c r="AG80" i="1"/>
  <c r="AR80" i="1" s="1"/>
  <c r="AG127" i="1"/>
  <c r="AR127" i="1" s="1"/>
  <c r="AG43" i="1"/>
  <c r="AR43" i="1" s="1"/>
  <c r="AG203" i="1"/>
  <c r="AR203" i="1" s="1"/>
  <c r="AG141" i="1"/>
  <c r="AR141" i="1" s="1"/>
  <c r="AG47" i="1"/>
  <c r="AR47" i="1" s="1"/>
  <c r="AG159" i="1"/>
  <c r="AR159" i="1" s="1"/>
  <c r="AG88" i="1"/>
  <c r="AR88" i="1" s="1"/>
  <c r="AG59" i="1"/>
  <c r="AR59" i="1" s="1"/>
  <c r="AG235" i="1"/>
  <c r="AR235" i="1" s="1"/>
  <c r="AG157" i="1"/>
  <c r="AR157" i="1" s="1"/>
  <c r="AG55" i="1"/>
  <c r="AR55" i="1" s="1"/>
  <c r="AG175" i="1"/>
  <c r="AR175" i="1" s="1"/>
  <c r="AG144" i="1"/>
  <c r="AR144" i="1" s="1"/>
  <c r="AG75" i="1"/>
  <c r="AR75" i="1" s="1"/>
  <c r="AG13" i="1"/>
  <c r="AR13" i="1" s="1"/>
  <c r="AG173" i="1"/>
  <c r="AR173" i="1" s="1"/>
  <c r="AG63" i="1"/>
  <c r="AR63" i="1" s="1"/>
  <c r="AG191" i="1"/>
  <c r="AR191" i="1" s="1"/>
  <c r="AG152" i="1"/>
  <c r="AR152" i="1" s="1"/>
  <c r="AF61" i="1"/>
  <c r="AQ61" i="1" s="1"/>
  <c r="AG107" i="1"/>
  <c r="AR107" i="1" s="1"/>
  <c r="AG29" i="1"/>
  <c r="AR29" i="1" s="1"/>
  <c r="AG189" i="1"/>
  <c r="AR189" i="1" s="1"/>
  <c r="AG79" i="1"/>
  <c r="AR79" i="1" s="1"/>
  <c r="AG207" i="1"/>
  <c r="AR207" i="1" s="1"/>
  <c r="AG208" i="1"/>
  <c r="AR208" i="1" s="1"/>
  <c r="AF125" i="1"/>
  <c r="AQ125" i="1" s="1"/>
  <c r="AG123" i="1"/>
  <c r="AR123" i="1" s="1"/>
  <c r="AG61" i="1"/>
  <c r="AR61" i="1" s="1"/>
  <c r="AG205" i="1"/>
  <c r="AR205" i="1" s="1"/>
  <c r="AG95" i="1"/>
  <c r="AR95" i="1" s="1"/>
  <c r="AG223" i="1"/>
  <c r="AR223" i="1" s="1"/>
  <c r="AG216" i="1"/>
  <c r="AR216" i="1" s="1"/>
  <c r="AF189" i="1"/>
  <c r="AQ189" i="1" s="1"/>
  <c r="AG139" i="1"/>
  <c r="AR139" i="1" s="1"/>
  <c r="AG77" i="1"/>
  <c r="AR77" i="1" s="1"/>
  <c r="AG221" i="1"/>
  <c r="AR221" i="1" s="1"/>
  <c r="AG111" i="1"/>
  <c r="AR111" i="1" s="1"/>
  <c r="AG8" i="1"/>
  <c r="AR8" i="1" s="1"/>
  <c r="AC156" i="1"/>
  <c r="AN156" i="1" s="1"/>
  <c r="AG156" i="1"/>
  <c r="AR156" i="1" s="1"/>
  <c r="AF50" i="1"/>
  <c r="AQ50" i="1" s="1"/>
  <c r="AG50" i="1"/>
  <c r="AR50" i="1" s="1"/>
  <c r="AF130" i="1"/>
  <c r="AQ130" i="1" s="1"/>
  <c r="AG130" i="1"/>
  <c r="AR130" i="1" s="1"/>
  <c r="AF202" i="1"/>
  <c r="AQ202" i="1" s="1"/>
  <c r="AG202" i="1"/>
  <c r="AR202" i="1" s="1"/>
  <c r="AC36" i="1"/>
  <c r="AN36" i="1" s="1"/>
  <c r="AG36" i="1"/>
  <c r="AR36" i="1" s="1"/>
  <c r="AC100" i="1"/>
  <c r="AN100" i="1" s="1"/>
  <c r="AG100" i="1"/>
  <c r="AR100" i="1" s="1"/>
  <c r="AD164" i="1"/>
  <c r="AO164" i="1" s="1"/>
  <c r="AG164" i="1"/>
  <c r="AR164" i="1" s="1"/>
  <c r="AC228" i="1"/>
  <c r="AN228" i="1" s="1"/>
  <c r="AG228" i="1"/>
  <c r="AR228" i="1" s="1"/>
  <c r="AE159" i="1"/>
  <c r="AP159" i="1" s="1"/>
  <c r="AF80" i="1"/>
  <c r="AQ80" i="1" s="1"/>
  <c r="AG51" i="1"/>
  <c r="AR51" i="1" s="1"/>
  <c r="AG115" i="1"/>
  <c r="AR115" i="1" s="1"/>
  <c r="AG179" i="1"/>
  <c r="AR179" i="1" s="1"/>
  <c r="AG5" i="1"/>
  <c r="AR5" i="1" s="1"/>
  <c r="AG69" i="1"/>
  <c r="AR69" i="1" s="1"/>
  <c r="AG133" i="1"/>
  <c r="AR133" i="1" s="1"/>
  <c r="AG197" i="1"/>
  <c r="AR197" i="1" s="1"/>
  <c r="AG7" i="1"/>
  <c r="AR7" i="1" s="1"/>
  <c r="AG71" i="1"/>
  <c r="AR71" i="1" s="1"/>
  <c r="AG135" i="1"/>
  <c r="AR135" i="1" s="1"/>
  <c r="AG199" i="1"/>
  <c r="AR199" i="1" s="1"/>
  <c r="AG32" i="1"/>
  <c r="AR32" i="1" s="1"/>
  <c r="AG96" i="1"/>
  <c r="AR96" i="1" s="1"/>
  <c r="AG160" i="1"/>
  <c r="AR160" i="1" s="1"/>
  <c r="AG224" i="1"/>
  <c r="AR224" i="1" s="1"/>
  <c r="AG121" i="1"/>
  <c r="AR121" i="1" s="1"/>
  <c r="AG185" i="1"/>
  <c r="AR185" i="1" s="1"/>
  <c r="AF186" i="1"/>
  <c r="AQ186" i="1" s="1"/>
  <c r="AG186" i="1"/>
  <c r="AR186" i="1" s="1"/>
  <c r="AG113" i="1"/>
  <c r="AR113" i="1" s="1"/>
  <c r="AC28" i="1"/>
  <c r="AN28" i="1" s="1"/>
  <c r="AG28" i="1"/>
  <c r="AR28" i="1" s="1"/>
  <c r="AF66" i="1"/>
  <c r="AQ66" i="1" s="1"/>
  <c r="AG66" i="1"/>
  <c r="AR66" i="1" s="1"/>
  <c r="AF138" i="1"/>
  <c r="AQ138" i="1" s="1"/>
  <c r="AG138" i="1"/>
  <c r="AR138" i="1" s="1"/>
  <c r="AF210" i="1"/>
  <c r="AQ210" i="1" s="1"/>
  <c r="AG210" i="1"/>
  <c r="AR210" i="1" s="1"/>
  <c r="AC44" i="1"/>
  <c r="AN44" i="1" s="1"/>
  <c r="AG44" i="1"/>
  <c r="AR44" i="1" s="1"/>
  <c r="AC108" i="1"/>
  <c r="AN108" i="1" s="1"/>
  <c r="AG108" i="1"/>
  <c r="AR108" i="1" s="1"/>
  <c r="AC172" i="1"/>
  <c r="AN172" i="1" s="1"/>
  <c r="AG172" i="1"/>
  <c r="AR172" i="1" s="1"/>
  <c r="AF34" i="1"/>
  <c r="AQ34" i="1" s="1"/>
  <c r="AG15" i="1"/>
  <c r="AR15" i="1" s="1"/>
  <c r="AG40" i="1"/>
  <c r="AR40" i="1" s="1"/>
  <c r="AG104" i="1"/>
  <c r="AR104" i="1" s="1"/>
  <c r="AG168" i="1"/>
  <c r="AR168" i="1" s="1"/>
  <c r="AG232" i="1"/>
  <c r="AR232" i="1" s="1"/>
  <c r="AG65" i="1"/>
  <c r="AR65" i="1" s="1"/>
  <c r="AG129" i="1"/>
  <c r="AR129" i="1" s="1"/>
  <c r="AG193" i="1"/>
  <c r="AR193" i="1" s="1"/>
  <c r="AF74" i="1"/>
  <c r="AQ74" i="1" s="1"/>
  <c r="AG74" i="1"/>
  <c r="AR74" i="1" s="1"/>
  <c r="AF146" i="1"/>
  <c r="AQ146" i="1" s="1"/>
  <c r="AG146" i="1"/>
  <c r="AR146" i="1" s="1"/>
  <c r="AF218" i="1"/>
  <c r="AQ218" i="1" s="1"/>
  <c r="AG218" i="1"/>
  <c r="AR218" i="1" s="1"/>
  <c r="AC52" i="1"/>
  <c r="AN52" i="1" s="1"/>
  <c r="AG52" i="1"/>
  <c r="AR52" i="1" s="1"/>
  <c r="AC116" i="1"/>
  <c r="AN116" i="1" s="1"/>
  <c r="AG116" i="1"/>
  <c r="AR116" i="1" s="1"/>
  <c r="AC180" i="1"/>
  <c r="AN180" i="1" s="1"/>
  <c r="AG180" i="1"/>
  <c r="AR180" i="1" s="1"/>
  <c r="AF27" i="1"/>
  <c r="AQ27" i="1" s="1"/>
  <c r="AG3" i="1"/>
  <c r="AR3" i="1" s="1"/>
  <c r="AG67" i="1"/>
  <c r="AR67" i="1" s="1"/>
  <c r="AG131" i="1"/>
  <c r="AR131" i="1" s="1"/>
  <c r="AG195" i="1"/>
  <c r="AR195" i="1" s="1"/>
  <c r="AG21" i="1"/>
  <c r="AR21" i="1" s="1"/>
  <c r="AG85" i="1"/>
  <c r="AR85" i="1" s="1"/>
  <c r="AG149" i="1"/>
  <c r="AR149" i="1" s="1"/>
  <c r="AG213" i="1"/>
  <c r="AR213" i="1" s="1"/>
  <c r="AG23" i="1"/>
  <c r="AR23" i="1" s="1"/>
  <c r="AG87" i="1"/>
  <c r="AR87" i="1" s="1"/>
  <c r="AG151" i="1"/>
  <c r="AR151" i="1" s="1"/>
  <c r="AG215" i="1"/>
  <c r="AR215" i="1" s="1"/>
  <c r="AG48" i="1"/>
  <c r="AR48" i="1" s="1"/>
  <c r="AG112" i="1"/>
  <c r="AR112" i="1" s="1"/>
  <c r="AG176" i="1"/>
  <c r="AR176" i="1" s="1"/>
  <c r="AG73" i="1"/>
  <c r="AR73" i="1" s="1"/>
  <c r="AG137" i="1"/>
  <c r="AR137" i="1" s="1"/>
  <c r="AG201" i="1"/>
  <c r="AR201" i="1" s="1"/>
  <c r="AF194" i="1"/>
  <c r="AQ194" i="1" s="1"/>
  <c r="AG194" i="1"/>
  <c r="AR194" i="1" s="1"/>
  <c r="AF82" i="1"/>
  <c r="AQ82" i="1" s="1"/>
  <c r="AG82" i="1"/>
  <c r="AR82" i="1" s="1"/>
  <c r="AF154" i="1"/>
  <c r="AQ154" i="1" s="1"/>
  <c r="AG154" i="1"/>
  <c r="AR154" i="1" s="1"/>
  <c r="AF226" i="1"/>
  <c r="AQ226" i="1" s="1"/>
  <c r="AG226" i="1"/>
  <c r="AR226" i="1" s="1"/>
  <c r="AC60" i="1"/>
  <c r="AN60" i="1" s="1"/>
  <c r="AG60" i="1"/>
  <c r="AR60" i="1" s="1"/>
  <c r="AC124" i="1"/>
  <c r="AN124" i="1" s="1"/>
  <c r="AG124" i="1"/>
  <c r="AR124" i="1" s="1"/>
  <c r="AC188" i="1"/>
  <c r="AN188" i="1" s="1"/>
  <c r="AG188" i="1"/>
  <c r="AR188" i="1" s="1"/>
  <c r="AF10" i="1"/>
  <c r="AQ10" i="1" s="1"/>
  <c r="AG10" i="1"/>
  <c r="AR10" i="1" s="1"/>
  <c r="AE14" i="1"/>
  <c r="AP14" i="1" s="1"/>
  <c r="AG14" i="1"/>
  <c r="AR14" i="1" s="1"/>
  <c r="AF195" i="1"/>
  <c r="AQ195" i="1" s="1"/>
  <c r="AG31" i="1"/>
  <c r="AR31" i="1" s="1"/>
  <c r="AG56" i="1"/>
  <c r="AR56" i="1" s="1"/>
  <c r="AG120" i="1"/>
  <c r="AR120" i="1" s="1"/>
  <c r="AG184" i="1"/>
  <c r="AR184" i="1" s="1"/>
  <c r="AG17" i="1"/>
  <c r="AR17" i="1" s="1"/>
  <c r="AG145" i="1"/>
  <c r="AR145" i="1" s="1"/>
  <c r="AG209" i="1"/>
  <c r="AR209" i="1" s="1"/>
  <c r="AF42" i="1"/>
  <c r="AQ42" i="1" s="1"/>
  <c r="AG42" i="1"/>
  <c r="AR42" i="1" s="1"/>
  <c r="AC220" i="1"/>
  <c r="AN220" i="1" s="1"/>
  <c r="AG220" i="1"/>
  <c r="AR220" i="1" s="1"/>
  <c r="AF26" i="1"/>
  <c r="AQ26" i="1" s="1"/>
  <c r="AG26" i="1"/>
  <c r="AR26" i="1" s="1"/>
  <c r="AF90" i="1"/>
  <c r="AQ90" i="1" s="1"/>
  <c r="AG90" i="1"/>
  <c r="AR90" i="1" s="1"/>
  <c r="AF162" i="1"/>
  <c r="AQ162" i="1" s="1"/>
  <c r="AG162" i="1"/>
  <c r="AR162" i="1" s="1"/>
  <c r="AF234" i="1"/>
  <c r="AQ234" i="1" s="1"/>
  <c r="AG234" i="1"/>
  <c r="AR234" i="1" s="1"/>
  <c r="AC68" i="1"/>
  <c r="AN68" i="1" s="1"/>
  <c r="AG68" i="1"/>
  <c r="AR68" i="1" s="1"/>
  <c r="AD132" i="1"/>
  <c r="AO132" i="1" s="1"/>
  <c r="AG132" i="1"/>
  <c r="AR132" i="1" s="1"/>
  <c r="AD196" i="1"/>
  <c r="AO196" i="1" s="1"/>
  <c r="AG196" i="1"/>
  <c r="AR196" i="1" s="1"/>
  <c r="AF18" i="1"/>
  <c r="AQ18" i="1" s="1"/>
  <c r="AG18" i="1"/>
  <c r="AR18" i="1" s="1"/>
  <c r="AC209" i="1"/>
  <c r="AN209" i="1" s="1"/>
  <c r="AF188" i="1"/>
  <c r="AQ188" i="1" s="1"/>
  <c r="AG19" i="1"/>
  <c r="AR19" i="1" s="1"/>
  <c r="AG83" i="1"/>
  <c r="AR83" i="1" s="1"/>
  <c r="AG147" i="1"/>
  <c r="AR147" i="1" s="1"/>
  <c r="AG211" i="1"/>
  <c r="AR211" i="1" s="1"/>
  <c r="AG37" i="1"/>
  <c r="AR37" i="1" s="1"/>
  <c r="AG101" i="1"/>
  <c r="AR101" i="1" s="1"/>
  <c r="AG165" i="1"/>
  <c r="AR165" i="1" s="1"/>
  <c r="AG229" i="1"/>
  <c r="AR229" i="1" s="1"/>
  <c r="AG39" i="1"/>
  <c r="AR39" i="1" s="1"/>
  <c r="AG103" i="1"/>
  <c r="AR103" i="1" s="1"/>
  <c r="AG167" i="1"/>
  <c r="AR167" i="1" s="1"/>
  <c r="AG231" i="1"/>
  <c r="AR231" i="1" s="1"/>
  <c r="AG64" i="1"/>
  <c r="AR64" i="1" s="1"/>
  <c r="AG128" i="1"/>
  <c r="AR128" i="1" s="1"/>
  <c r="AG192" i="1"/>
  <c r="AR192" i="1" s="1"/>
  <c r="AG25" i="1"/>
  <c r="AR25" i="1" s="1"/>
  <c r="AG89" i="1"/>
  <c r="AR89" i="1" s="1"/>
  <c r="AG153" i="1"/>
  <c r="AR153" i="1" s="1"/>
  <c r="AG217" i="1"/>
  <c r="AR217" i="1" s="1"/>
  <c r="AF114" i="1"/>
  <c r="AQ114" i="1" s="1"/>
  <c r="AG114" i="1"/>
  <c r="AR114" i="1" s="1"/>
  <c r="AC4" i="1"/>
  <c r="AN4" i="1" s="1"/>
  <c r="AG4" i="1"/>
  <c r="AR4" i="1" s="1"/>
  <c r="AF98" i="1"/>
  <c r="AQ98" i="1" s="1"/>
  <c r="AG98" i="1"/>
  <c r="AR98" i="1" s="1"/>
  <c r="AF170" i="1"/>
  <c r="AQ170" i="1" s="1"/>
  <c r="AG170" i="1"/>
  <c r="AR170" i="1" s="1"/>
  <c r="AF58" i="1"/>
  <c r="AQ58" i="1" s="1"/>
  <c r="AG58" i="1"/>
  <c r="AR58" i="1" s="1"/>
  <c r="AC76" i="1"/>
  <c r="AN76" i="1" s="1"/>
  <c r="AG76" i="1"/>
  <c r="AR76" i="1" s="1"/>
  <c r="AC140" i="1"/>
  <c r="AN140" i="1" s="1"/>
  <c r="AG140" i="1"/>
  <c r="AR140" i="1" s="1"/>
  <c r="AC204" i="1"/>
  <c r="AN204" i="1" s="1"/>
  <c r="AG204" i="1"/>
  <c r="AR204" i="1" s="1"/>
  <c r="AG27" i="1"/>
  <c r="AR27" i="1" s="1"/>
  <c r="AG91" i="1"/>
  <c r="AR91" i="1" s="1"/>
  <c r="AG155" i="1"/>
  <c r="AR155" i="1" s="1"/>
  <c r="AG219" i="1"/>
  <c r="AR219" i="1" s="1"/>
  <c r="AG45" i="1"/>
  <c r="AR45" i="1" s="1"/>
  <c r="AG109" i="1"/>
  <c r="AR109" i="1" s="1"/>
  <c r="AG72" i="1"/>
  <c r="AR72" i="1" s="1"/>
  <c r="AG136" i="1"/>
  <c r="AR136" i="1" s="1"/>
  <c r="AG200" i="1"/>
  <c r="AR200" i="1" s="1"/>
  <c r="AG33" i="1"/>
  <c r="AR33" i="1" s="1"/>
  <c r="AG97" i="1"/>
  <c r="AR97" i="1" s="1"/>
  <c r="AG225" i="1"/>
  <c r="AR225" i="1" s="1"/>
  <c r="AC20" i="1"/>
  <c r="AN20" i="1" s="1"/>
  <c r="AG20" i="1"/>
  <c r="AR20" i="1" s="1"/>
  <c r="AC92" i="1"/>
  <c r="AN92" i="1" s="1"/>
  <c r="AG92" i="1"/>
  <c r="AR92" i="1" s="1"/>
  <c r="AE158" i="1"/>
  <c r="AP158" i="1" s="1"/>
  <c r="AG158" i="1"/>
  <c r="AR158" i="1" s="1"/>
  <c r="AC12" i="1"/>
  <c r="AN12" i="1" s="1"/>
  <c r="AG12" i="1"/>
  <c r="AR12" i="1" s="1"/>
  <c r="AF106" i="1"/>
  <c r="AQ106" i="1" s="1"/>
  <c r="AG106" i="1"/>
  <c r="AR106" i="1" s="1"/>
  <c r="AF178" i="1"/>
  <c r="AQ178" i="1" s="1"/>
  <c r="AG178" i="1"/>
  <c r="AR178" i="1" s="1"/>
  <c r="AF122" i="1"/>
  <c r="AQ122" i="1" s="1"/>
  <c r="AG122" i="1"/>
  <c r="AR122" i="1" s="1"/>
  <c r="AC84" i="1"/>
  <c r="AN84" i="1" s="1"/>
  <c r="AG84" i="1"/>
  <c r="AR84" i="1" s="1"/>
  <c r="AC148" i="1"/>
  <c r="AN148" i="1" s="1"/>
  <c r="AG148" i="1"/>
  <c r="AR148" i="1" s="1"/>
  <c r="AC212" i="1"/>
  <c r="AN212" i="1" s="1"/>
  <c r="AG212" i="1"/>
  <c r="AR212" i="1" s="1"/>
  <c r="AG35" i="1"/>
  <c r="AR35" i="1" s="1"/>
  <c r="AG99" i="1"/>
  <c r="AR99" i="1" s="1"/>
  <c r="AG163" i="1"/>
  <c r="AR163" i="1" s="1"/>
  <c r="AG227" i="1"/>
  <c r="AR227" i="1" s="1"/>
  <c r="AG53" i="1"/>
  <c r="AR53" i="1" s="1"/>
  <c r="AG117" i="1"/>
  <c r="AR117" i="1" s="1"/>
  <c r="AG181" i="1"/>
  <c r="AR181" i="1" s="1"/>
  <c r="AG119" i="1"/>
  <c r="AR119" i="1" s="1"/>
  <c r="AG183" i="1"/>
  <c r="AR183" i="1" s="1"/>
  <c r="AG16" i="1"/>
  <c r="AR16" i="1" s="1"/>
  <c r="AG41" i="1"/>
  <c r="AR41" i="1" s="1"/>
  <c r="AG105" i="1"/>
  <c r="AR105" i="1" s="1"/>
  <c r="AG169" i="1"/>
  <c r="AR169" i="1" s="1"/>
  <c r="AG233" i="1"/>
  <c r="AR233" i="1" s="1"/>
  <c r="AC137" i="1"/>
  <c r="AN137" i="1" s="1"/>
  <c r="AF120" i="1"/>
  <c r="AQ120" i="1" s="1"/>
  <c r="AF171" i="1"/>
  <c r="AQ171" i="1" s="1"/>
  <c r="AF148" i="1"/>
  <c r="AQ148" i="1" s="1"/>
  <c r="AF109" i="1"/>
  <c r="AQ109" i="1" s="1"/>
  <c r="AF56" i="1"/>
  <c r="AQ56" i="1" s="1"/>
  <c r="AF111" i="1"/>
  <c r="AQ111" i="1" s="1"/>
  <c r="AF43" i="1"/>
  <c r="AQ43" i="1" s="1"/>
  <c r="AF219" i="1"/>
  <c r="AQ219" i="1" s="1"/>
  <c r="AF212" i="1"/>
  <c r="AQ212" i="1" s="1"/>
  <c r="AF149" i="1"/>
  <c r="AQ149" i="1" s="1"/>
  <c r="AF104" i="1"/>
  <c r="AQ104" i="1" s="1"/>
  <c r="AF151" i="1"/>
  <c r="AQ151" i="1" s="1"/>
  <c r="AE83" i="1"/>
  <c r="AP83" i="1" s="1"/>
  <c r="AF67" i="1"/>
  <c r="AQ67" i="1" s="1"/>
  <c r="AF235" i="1"/>
  <c r="AQ235" i="1" s="1"/>
  <c r="AF128" i="1"/>
  <c r="AQ128" i="1" s="1"/>
  <c r="AF173" i="1"/>
  <c r="AQ173" i="1" s="1"/>
  <c r="AF144" i="1"/>
  <c r="AQ144" i="1" s="1"/>
  <c r="AF175" i="1"/>
  <c r="AQ175" i="1" s="1"/>
  <c r="AF91" i="1"/>
  <c r="AQ91" i="1" s="1"/>
  <c r="AF20" i="1"/>
  <c r="AQ20" i="1" s="1"/>
  <c r="AF208" i="1"/>
  <c r="AQ208" i="1" s="1"/>
  <c r="AF232" i="1"/>
  <c r="AQ232" i="1" s="1"/>
  <c r="AF191" i="1"/>
  <c r="AQ191" i="1" s="1"/>
  <c r="AF107" i="1"/>
  <c r="AQ107" i="1" s="1"/>
  <c r="AF60" i="1"/>
  <c r="AQ60" i="1" s="1"/>
  <c r="AF45" i="1"/>
  <c r="AQ45" i="1" s="1"/>
  <c r="AF213" i="1"/>
  <c r="AQ213" i="1" s="1"/>
  <c r="AF23" i="1"/>
  <c r="AQ23" i="1" s="1"/>
  <c r="AF215" i="1"/>
  <c r="AQ215" i="1" s="1"/>
  <c r="AC141" i="1"/>
  <c r="AN141" i="1" s="1"/>
  <c r="AF131" i="1"/>
  <c r="AQ131" i="1" s="1"/>
  <c r="AF84" i="1"/>
  <c r="AQ84" i="1" s="1"/>
  <c r="AF8" i="1"/>
  <c r="AQ8" i="1" s="1"/>
  <c r="AF63" i="1"/>
  <c r="AQ63" i="1" s="1"/>
  <c r="AF184" i="1"/>
  <c r="AQ184" i="1" s="1"/>
  <c r="AE56" i="1"/>
  <c r="AP56" i="1" s="1"/>
  <c r="AF155" i="1"/>
  <c r="AQ155" i="1" s="1"/>
  <c r="AF124" i="1"/>
  <c r="AQ124" i="1" s="1"/>
  <c r="AF85" i="1"/>
  <c r="AQ85" i="1" s="1"/>
  <c r="AF24" i="1"/>
  <c r="AQ24" i="1" s="1"/>
  <c r="AF87" i="1"/>
  <c r="AQ87" i="1" s="1"/>
  <c r="AG2" i="1"/>
  <c r="AR2" i="1" s="1"/>
  <c r="AC38" i="1"/>
  <c r="AN38" i="1" s="1"/>
  <c r="AF38" i="1"/>
  <c r="AQ38" i="1" s="1"/>
  <c r="AC102" i="1"/>
  <c r="AN102" i="1" s="1"/>
  <c r="AF102" i="1"/>
  <c r="AQ102" i="1" s="1"/>
  <c r="AC166" i="1"/>
  <c r="AN166" i="1" s="1"/>
  <c r="AF166" i="1"/>
  <c r="AQ166" i="1" s="1"/>
  <c r="AC230" i="1"/>
  <c r="AN230" i="1" s="1"/>
  <c r="AF230" i="1"/>
  <c r="AQ230" i="1" s="1"/>
  <c r="AC161" i="1"/>
  <c r="AN161" i="1" s="1"/>
  <c r="AF161" i="1"/>
  <c r="AQ161" i="1" s="1"/>
  <c r="AE109" i="1"/>
  <c r="AP109" i="1" s="1"/>
  <c r="AE208" i="1"/>
  <c r="AP208" i="1" s="1"/>
  <c r="AF200" i="1"/>
  <c r="AQ200" i="1" s="1"/>
  <c r="AF59" i="1"/>
  <c r="AQ59" i="1" s="1"/>
  <c r="AF123" i="1"/>
  <c r="AQ123" i="1" s="1"/>
  <c r="AF187" i="1"/>
  <c r="AQ187" i="1" s="1"/>
  <c r="AF12" i="1"/>
  <c r="AQ12" i="1" s="1"/>
  <c r="AF76" i="1"/>
  <c r="AQ76" i="1" s="1"/>
  <c r="AF140" i="1"/>
  <c r="AQ140" i="1" s="1"/>
  <c r="AF204" i="1"/>
  <c r="AQ204" i="1" s="1"/>
  <c r="AF13" i="1"/>
  <c r="AQ13" i="1" s="1"/>
  <c r="AF77" i="1"/>
  <c r="AQ77" i="1" s="1"/>
  <c r="AF141" i="1"/>
  <c r="AQ141" i="1" s="1"/>
  <c r="AF205" i="1"/>
  <c r="AQ205" i="1" s="1"/>
  <c r="AF48" i="1"/>
  <c r="AQ48" i="1" s="1"/>
  <c r="AF136" i="1"/>
  <c r="AQ136" i="1" s="1"/>
  <c r="AF15" i="1"/>
  <c r="AQ15" i="1" s="1"/>
  <c r="AF79" i="1"/>
  <c r="AQ79" i="1" s="1"/>
  <c r="AF143" i="1"/>
  <c r="AQ143" i="1" s="1"/>
  <c r="AF207" i="1"/>
  <c r="AQ207" i="1" s="1"/>
  <c r="AC54" i="1"/>
  <c r="AN54" i="1" s="1"/>
  <c r="AF54" i="1"/>
  <c r="AQ54" i="1" s="1"/>
  <c r="AC118" i="1"/>
  <c r="AN118" i="1" s="1"/>
  <c r="AF118" i="1"/>
  <c r="AQ118" i="1" s="1"/>
  <c r="AC182" i="1"/>
  <c r="AN182" i="1" s="1"/>
  <c r="AF182" i="1"/>
  <c r="AQ182" i="1" s="1"/>
  <c r="AC6" i="1"/>
  <c r="AN6" i="1" s="1"/>
  <c r="AF6" i="1"/>
  <c r="AQ6" i="1" s="1"/>
  <c r="AC49" i="1"/>
  <c r="AN49" i="1" s="1"/>
  <c r="AF49" i="1"/>
  <c r="AQ49" i="1" s="1"/>
  <c r="AC177" i="1"/>
  <c r="AN177" i="1" s="1"/>
  <c r="AF177" i="1"/>
  <c r="AQ177" i="1" s="1"/>
  <c r="AD191" i="1"/>
  <c r="AO191" i="1" s="1"/>
  <c r="AF11" i="1"/>
  <c r="AQ11" i="1" s="1"/>
  <c r="AF75" i="1"/>
  <c r="AQ75" i="1" s="1"/>
  <c r="AF139" i="1"/>
  <c r="AQ139" i="1" s="1"/>
  <c r="AF203" i="1"/>
  <c r="AQ203" i="1" s="1"/>
  <c r="AF28" i="1"/>
  <c r="AQ28" i="1" s="1"/>
  <c r="AF92" i="1"/>
  <c r="AQ92" i="1" s="1"/>
  <c r="AF156" i="1"/>
  <c r="AQ156" i="1" s="1"/>
  <c r="AF220" i="1"/>
  <c r="AQ220" i="1" s="1"/>
  <c r="AF29" i="1"/>
  <c r="AQ29" i="1" s="1"/>
  <c r="AF93" i="1"/>
  <c r="AQ93" i="1" s="1"/>
  <c r="AF157" i="1"/>
  <c r="AQ157" i="1" s="1"/>
  <c r="AF221" i="1"/>
  <c r="AQ221" i="1" s="1"/>
  <c r="AF64" i="1"/>
  <c r="AQ64" i="1" s="1"/>
  <c r="AF160" i="1"/>
  <c r="AQ160" i="1" s="1"/>
  <c r="AF31" i="1"/>
  <c r="AQ31" i="1" s="1"/>
  <c r="AF95" i="1"/>
  <c r="AQ95" i="1" s="1"/>
  <c r="AF159" i="1"/>
  <c r="AQ159" i="1" s="1"/>
  <c r="AF223" i="1"/>
  <c r="AQ223" i="1" s="1"/>
  <c r="AC46" i="1"/>
  <c r="AN46" i="1" s="1"/>
  <c r="AF46" i="1"/>
  <c r="AQ46" i="1" s="1"/>
  <c r="AC110" i="1"/>
  <c r="AN110" i="1" s="1"/>
  <c r="AF110" i="1"/>
  <c r="AQ110" i="1" s="1"/>
  <c r="AC174" i="1"/>
  <c r="AN174" i="1" s="1"/>
  <c r="AF174" i="1"/>
  <c r="AQ174" i="1" s="1"/>
  <c r="AF3" i="1"/>
  <c r="AQ3" i="1" s="1"/>
  <c r="AF21" i="1"/>
  <c r="AQ21" i="1" s="1"/>
  <c r="AC62" i="1"/>
  <c r="AN62" i="1" s="1"/>
  <c r="AF62" i="1"/>
  <c r="AQ62" i="1" s="1"/>
  <c r="AC126" i="1"/>
  <c r="AN126" i="1" s="1"/>
  <c r="AF126" i="1"/>
  <c r="AQ126" i="1" s="1"/>
  <c r="AC190" i="1"/>
  <c r="AN190" i="1" s="1"/>
  <c r="AF190" i="1"/>
  <c r="AQ190" i="1" s="1"/>
  <c r="AC14" i="1"/>
  <c r="AN14" i="1" s="1"/>
  <c r="AF14" i="1"/>
  <c r="AQ14" i="1" s="1"/>
  <c r="AC57" i="1"/>
  <c r="AN57" i="1" s="1"/>
  <c r="AF57" i="1"/>
  <c r="AQ57" i="1" s="1"/>
  <c r="AE19" i="1"/>
  <c r="AP19" i="1" s="1"/>
  <c r="AE95" i="1"/>
  <c r="AP95" i="1" s="1"/>
  <c r="AF19" i="1"/>
  <c r="AQ19" i="1" s="1"/>
  <c r="AF83" i="1"/>
  <c r="AQ83" i="1" s="1"/>
  <c r="AF147" i="1"/>
  <c r="AQ147" i="1" s="1"/>
  <c r="AF211" i="1"/>
  <c r="AQ211" i="1" s="1"/>
  <c r="AF36" i="1"/>
  <c r="AQ36" i="1" s="1"/>
  <c r="AF100" i="1"/>
  <c r="AQ100" i="1" s="1"/>
  <c r="AF164" i="1"/>
  <c r="AQ164" i="1" s="1"/>
  <c r="AF228" i="1"/>
  <c r="AQ228" i="1" s="1"/>
  <c r="AF37" i="1"/>
  <c r="AQ37" i="1" s="1"/>
  <c r="AF101" i="1"/>
  <c r="AQ101" i="1" s="1"/>
  <c r="AF165" i="1"/>
  <c r="AQ165" i="1" s="1"/>
  <c r="AF229" i="1"/>
  <c r="AQ229" i="1" s="1"/>
  <c r="AF72" i="1"/>
  <c r="AQ72" i="1" s="1"/>
  <c r="AF192" i="1"/>
  <c r="AQ192" i="1" s="1"/>
  <c r="AF39" i="1"/>
  <c r="AQ39" i="1" s="1"/>
  <c r="AF103" i="1"/>
  <c r="AQ103" i="1" s="1"/>
  <c r="AF167" i="1"/>
  <c r="AQ167" i="1" s="1"/>
  <c r="AF231" i="1"/>
  <c r="AQ231" i="1" s="1"/>
  <c r="AC70" i="1"/>
  <c r="AN70" i="1" s="1"/>
  <c r="AF70" i="1"/>
  <c r="AQ70" i="1" s="1"/>
  <c r="AC134" i="1"/>
  <c r="AN134" i="1" s="1"/>
  <c r="AF134" i="1"/>
  <c r="AQ134" i="1" s="1"/>
  <c r="AC198" i="1"/>
  <c r="AN198" i="1" s="1"/>
  <c r="AF198" i="1"/>
  <c r="AQ198" i="1" s="1"/>
  <c r="AF44" i="1"/>
  <c r="AQ44" i="1" s="1"/>
  <c r="AF108" i="1"/>
  <c r="AQ108" i="1" s="1"/>
  <c r="AF172" i="1"/>
  <c r="AQ172" i="1" s="1"/>
  <c r="AF47" i="1"/>
  <c r="AQ47" i="1" s="1"/>
  <c r="AF88" i="1"/>
  <c r="AQ88" i="1" s="1"/>
  <c r="AC78" i="1"/>
  <c r="AN78" i="1" s="1"/>
  <c r="AF78" i="1"/>
  <c r="AQ78" i="1" s="1"/>
  <c r="AC142" i="1"/>
  <c r="AN142" i="1" s="1"/>
  <c r="AF142" i="1"/>
  <c r="AQ142" i="1" s="1"/>
  <c r="AC206" i="1"/>
  <c r="AN206" i="1" s="1"/>
  <c r="AF206" i="1"/>
  <c r="AQ206" i="1" s="1"/>
  <c r="AE9" i="1"/>
  <c r="AP9" i="1" s="1"/>
  <c r="AF9" i="1"/>
  <c r="AQ9" i="1" s="1"/>
  <c r="AC121" i="1"/>
  <c r="AN121" i="1" s="1"/>
  <c r="AE187" i="1"/>
  <c r="AP187" i="1" s="1"/>
  <c r="AE223" i="1"/>
  <c r="AP223" i="1" s="1"/>
  <c r="AF35" i="1"/>
  <c r="AQ35" i="1" s="1"/>
  <c r="AF99" i="1"/>
  <c r="AQ99" i="1" s="1"/>
  <c r="AF163" i="1"/>
  <c r="AQ163" i="1" s="1"/>
  <c r="AF227" i="1"/>
  <c r="AQ227" i="1" s="1"/>
  <c r="AF52" i="1"/>
  <c r="AQ52" i="1" s="1"/>
  <c r="AF116" i="1"/>
  <c r="AQ116" i="1" s="1"/>
  <c r="AF180" i="1"/>
  <c r="AQ180" i="1" s="1"/>
  <c r="AF176" i="1"/>
  <c r="AQ176" i="1" s="1"/>
  <c r="AF53" i="1"/>
  <c r="AQ53" i="1" s="1"/>
  <c r="AF117" i="1"/>
  <c r="AQ117" i="1" s="1"/>
  <c r="AF181" i="1"/>
  <c r="AQ181" i="1" s="1"/>
  <c r="AF16" i="1"/>
  <c r="AQ16" i="1" s="1"/>
  <c r="AF96" i="1"/>
  <c r="AQ96" i="1" s="1"/>
  <c r="AF40" i="1"/>
  <c r="AQ40" i="1" s="1"/>
  <c r="AF55" i="1"/>
  <c r="AQ55" i="1" s="1"/>
  <c r="AF119" i="1"/>
  <c r="AQ119" i="1" s="1"/>
  <c r="AF183" i="1"/>
  <c r="AQ183" i="1" s="1"/>
  <c r="AF152" i="1"/>
  <c r="AQ152" i="1" s="1"/>
  <c r="AC22" i="1"/>
  <c r="AN22" i="1" s="1"/>
  <c r="AF22" i="1"/>
  <c r="AQ22" i="1" s="1"/>
  <c r="AC86" i="1"/>
  <c r="AN86" i="1" s="1"/>
  <c r="AF86" i="1"/>
  <c r="AQ86" i="1" s="1"/>
  <c r="AC150" i="1"/>
  <c r="AN150" i="1" s="1"/>
  <c r="AF150" i="1"/>
  <c r="AQ150" i="1" s="1"/>
  <c r="AC214" i="1"/>
  <c r="AN214" i="1" s="1"/>
  <c r="AF214" i="1"/>
  <c r="AQ214" i="1" s="1"/>
  <c r="AC81" i="1"/>
  <c r="AN81" i="1" s="1"/>
  <c r="AF81" i="1"/>
  <c r="AQ81" i="1" s="1"/>
  <c r="AF216" i="1"/>
  <c r="AQ216" i="1" s="1"/>
  <c r="AC30" i="1"/>
  <c r="AN30" i="1" s="1"/>
  <c r="AF30" i="1"/>
  <c r="AQ30" i="1" s="1"/>
  <c r="AD94" i="1"/>
  <c r="AO94" i="1" s="1"/>
  <c r="AF94" i="1"/>
  <c r="AQ94" i="1" s="1"/>
  <c r="AC158" i="1"/>
  <c r="AN158" i="1" s="1"/>
  <c r="AF158" i="1"/>
  <c r="AQ158" i="1" s="1"/>
  <c r="AD222" i="1"/>
  <c r="AO222" i="1" s="1"/>
  <c r="AF222" i="1"/>
  <c r="AQ222" i="1" s="1"/>
  <c r="AE5" i="1"/>
  <c r="AP5" i="1" s="1"/>
  <c r="AE144" i="1"/>
  <c r="AP144" i="1" s="1"/>
  <c r="AF168" i="1"/>
  <c r="AQ168" i="1" s="1"/>
  <c r="AF51" i="1"/>
  <c r="AQ51" i="1" s="1"/>
  <c r="AF115" i="1"/>
  <c r="AQ115" i="1" s="1"/>
  <c r="AF179" i="1"/>
  <c r="AQ179" i="1" s="1"/>
  <c r="AF4" i="1"/>
  <c r="AQ4" i="1" s="1"/>
  <c r="AF68" i="1"/>
  <c r="AQ68" i="1" s="1"/>
  <c r="AF132" i="1"/>
  <c r="AQ132" i="1" s="1"/>
  <c r="AF196" i="1"/>
  <c r="AQ196" i="1" s="1"/>
  <c r="AF5" i="1"/>
  <c r="AQ5" i="1" s="1"/>
  <c r="AF69" i="1"/>
  <c r="AQ69" i="1" s="1"/>
  <c r="AF133" i="1"/>
  <c r="AQ133" i="1" s="1"/>
  <c r="AF197" i="1"/>
  <c r="AQ197" i="1" s="1"/>
  <c r="AF32" i="1"/>
  <c r="AQ32" i="1" s="1"/>
  <c r="AF112" i="1"/>
  <c r="AQ112" i="1" s="1"/>
  <c r="AF7" i="1"/>
  <c r="AQ7" i="1" s="1"/>
  <c r="AF71" i="1"/>
  <c r="AQ71" i="1" s="1"/>
  <c r="AF135" i="1"/>
  <c r="AQ135" i="1" s="1"/>
  <c r="AF199" i="1"/>
  <c r="AQ199" i="1" s="1"/>
  <c r="AF224" i="1"/>
  <c r="AQ224" i="1" s="1"/>
  <c r="AE147" i="1"/>
  <c r="AP147" i="1" s="1"/>
  <c r="AE45" i="1"/>
  <c r="AP45" i="1" s="1"/>
  <c r="AE134" i="1"/>
  <c r="AP134" i="1" s="1"/>
  <c r="AE16" i="1"/>
  <c r="AP16" i="1" s="1"/>
  <c r="AE12" i="1"/>
  <c r="AP12" i="1" s="1"/>
  <c r="AE211" i="1"/>
  <c r="AP211" i="1" s="1"/>
  <c r="AE173" i="1"/>
  <c r="AP173" i="1" s="1"/>
  <c r="AE198" i="1"/>
  <c r="AP198" i="1" s="1"/>
  <c r="AE80" i="1"/>
  <c r="AP80" i="1" s="1"/>
  <c r="AE228" i="1"/>
  <c r="AP228" i="1" s="1"/>
  <c r="AE76" i="1"/>
  <c r="AP76" i="1" s="1"/>
  <c r="AE6" i="1"/>
  <c r="AP6" i="1" s="1"/>
  <c r="AE222" i="1"/>
  <c r="AP222" i="1" s="1"/>
  <c r="AE120" i="1"/>
  <c r="AP120" i="1" s="1"/>
  <c r="AE156" i="1"/>
  <c r="AP156" i="1" s="1"/>
  <c r="AE31" i="1"/>
  <c r="AP31" i="1" s="1"/>
  <c r="AE59" i="1"/>
  <c r="AP59" i="1" s="1"/>
  <c r="AE52" i="1"/>
  <c r="AP52" i="1" s="1"/>
  <c r="AE30" i="1"/>
  <c r="AP30" i="1" s="1"/>
  <c r="AE184" i="1"/>
  <c r="AP184" i="1" s="1"/>
  <c r="AE70" i="1"/>
  <c r="AP70" i="1" s="1"/>
  <c r="AE123" i="1"/>
  <c r="AP123" i="1" s="1"/>
  <c r="AE94" i="1"/>
  <c r="AP94" i="1" s="1"/>
  <c r="AF2" i="1"/>
  <c r="AQ2" i="1" s="1"/>
  <c r="AC50" i="1"/>
  <c r="AN50" i="1" s="1"/>
  <c r="AE50" i="1"/>
  <c r="AP50" i="1" s="1"/>
  <c r="AC130" i="1"/>
  <c r="AN130" i="1" s="1"/>
  <c r="AE130" i="1"/>
  <c r="AP130" i="1" s="1"/>
  <c r="AC202" i="1"/>
  <c r="AN202" i="1" s="1"/>
  <c r="AE202" i="1"/>
  <c r="AP202" i="1" s="1"/>
  <c r="AD89" i="1"/>
  <c r="AO89" i="1" s="1"/>
  <c r="AE89" i="1"/>
  <c r="AP89" i="1" s="1"/>
  <c r="AC153" i="1"/>
  <c r="AN153" i="1" s="1"/>
  <c r="AE153" i="1"/>
  <c r="AP153" i="1" s="1"/>
  <c r="AD217" i="1"/>
  <c r="AO217" i="1" s="1"/>
  <c r="AE217" i="1"/>
  <c r="AP217" i="1" s="1"/>
  <c r="AD101" i="1"/>
  <c r="AO101" i="1" s="1"/>
  <c r="AE196" i="1"/>
  <c r="AP196" i="1" s="1"/>
  <c r="AE51" i="1"/>
  <c r="AP51" i="1" s="1"/>
  <c r="AE115" i="1"/>
  <c r="AP115" i="1" s="1"/>
  <c r="AE179" i="1"/>
  <c r="AP179" i="1" s="1"/>
  <c r="AE20" i="1"/>
  <c r="AP20" i="1" s="1"/>
  <c r="AE4" i="1"/>
  <c r="AP4" i="1" s="1"/>
  <c r="AE140" i="1"/>
  <c r="AP140" i="1" s="1"/>
  <c r="AE37" i="1"/>
  <c r="AP37" i="1" s="1"/>
  <c r="AE101" i="1"/>
  <c r="AP101" i="1" s="1"/>
  <c r="AE165" i="1"/>
  <c r="AP165" i="1" s="1"/>
  <c r="AE229" i="1"/>
  <c r="AP229" i="1" s="1"/>
  <c r="AE62" i="1"/>
  <c r="AP62" i="1" s="1"/>
  <c r="AE126" i="1"/>
  <c r="AP126" i="1" s="1"/>
  <c r="AE190" i="1"/>
  <c r="AP190" i="1" s="1"/>
  <c r="AE23" i="1"/>
  <c r="AP23" i="1" s="1"/>
  <c r="AE87" i="1"/>
  <c r="AP87" i="1" s="1"/>
  <c r="AE151" i="1"/>
  <c r="AP151" i="1" s="1"/>
  <c r="AE215" i="1"/>
  <c r="AP215" i="1" s="1"/>
  <c r="AE48" i="1"/>
  <c r="AP48" i="1" s="1"/>
  <c r="AE112" i="1"/>
  <c r="AP112" i="1" s="1"/>
  <c r="AE176" i="1"/>
  <c r="AP176" i="1" s="1"/>
  <c r="AC66" i="1"/>
  <c r="AN66" i="1" s="1"/>
  <c r="AE66" i="1"/>
  <c r="AP66" i="1" s="1"/>
  <c r="AC210" i="1"/>
  <c r="AN210" i="1" s="1"/>
  <c r="AE210" i="1"/>
  <c r="AP210" i="1" s="1"/>
  <c r="AC25" i="1"/>
  <c r="AN25" i="1" s="1"/>
  <c r="AE25" i="1"/>
  <c r="AP25" i="1" s="1"/>
  <c r="AD33" i="1"/>
  <c r="AO33" i="1" s="1"/>
  <c r="AE33" i="1"/>
  <c r="AP33" i="1" s="1"/>
  <c r="AD225" i="1"/>
  <c r="AO225" i="1" s="1"/>
  <c r="AE225" i="1"/>
  <c r="AP225" i="1" s="1"/>
  <c r="AC74" i="1"/>
  <c r="AN74" i="1" s="1"/>
  <c r="AE74" i="1"/>
  <c r="AP74" i="1" s="1"/>
  <c r="AC146" i="1"/>
  <c r="AN146" i="1" s="1"/>
  <c r="AE146" i="1"/>
  <c r="AP146" i="1" s="1"/>
  <c r="AC218" i="1"/>
  <c r="AN218" i="1" s="1"/>
  <c r="AE218" i="1"/>
  <c r="AP218" i="1" s="1"/>
  <c r="AD41" i="1"/>
  <c r="AO41" i="1" s="1"/>
  <c r="AE41" i="1"/>
  <c r="AP41" i="1" s="1"/>
  <c r="AD105" i="1"/>
  <c r="AO105" i="1" s="1"/>
  <c r="AE105" i="1"/>
  <c r="AP105" i="1" s="1"/>
  <c r="AD169" i="1"/>
  <c r="AO169" i="1" s="1"/>
  <c r="AE169" i="1"/>
  <c r="AP169" i="1" s="1"/>
  <c r="AD233" i="1"/>
  <c r="AO233" i="1" s="1"/>
  <c r="AE233" i="1"/>
  <c r="AP233" i="1" s="1"/>
  <c r="AE60" i="1"/>
  <c r="AP60" i="1" s="1"/>
  <c r="AE3" i="1"/>
  <c r="AP3" i="1" s="1"/>
  <c r="AE67" i="1"/>
  <c r="AP67" i="1" s="1"/>
  <c r="AE131" i="1"/>
  <c r="AP131" i="1" s="1"/>
  <c r="AE195" i="1"/>
  <c r="AP195" i="1" s="1"/>
  <c r="AE100" i="1"/>
  <c r="AP100" i="1" s="1"/>
  <c r="AE36" i="1"/>
  <c r="AP36" i="1" s="1"/>
  <c r="AE204" i="1"/>
  <c r="AP204" i="1" s="1"/>
  <c r="AE53" i="1"/>
  <c r="AP53" i="1" s="1"/>
  <c r="AE117" i="1"/>
  <c r="AP117" i="1" s="1"/>
  <c r="AE181" i="1"/>
  <c r="AP181" i="1" s="1"/>
  <c r="AE78" i="1"/>
  <c r="AP78" i="1" s="1"/>
  <c r="AE142" i="1"/>
  <c r="AP142" i="1" s="1"/>
  <c r="AE206" i="1"/>
  <c r="AP206" i="1" s="1"/>
  <c r="AE39" i="1"/>
  <c r="AP39" i="1" s="1"/>
  <c r="AE103" i="1"/>
  <c r="AP103" i="1" s="1"/>
  <c r="AE167" i="1"/>
  <c r="AP167" i="1" s="1"/>
  <c r="AE231" i="1"/>
  <c r="AP231" i="1" s="1"/>
  <c r="AE64" i="1"/>
  <c r="AP64" i="1" s="1"/>
  <c r="AE128" i="1"/>
  <c r="AP128" i="1" s="1"/>
  <c r="AE192" i="1"/>
  <c r="AP192" i="1" s="1"/>
  <c r="AC138" i="1"/>
  <c r="AN138" i="1" s="1"/>
  <c r="AE138" i="1"/>
  <c r="AP138" i="1" s="1"/>
  <c r="AD97" i="1"/>
  <c r="AO97" i="1" s="1"/>
  <c r="AE97" i="1"/>
  <c r="AP97" i="1" s="1"/>
  <c r="AD161" i="1"/>
  <c r="AO161" i="1" s="1"/>
  <c r="AE161" i="1"/>
  <c r="AP161" i="1" s="1"/>
  <c r="AE28" i="1"/>
  <c r="AP28" i="1" s="1"/>
  <c r="AC82" i="1"/>
  <c r="AN82" i="1" s="1"/>
  <c r="AE82" i="1"/>
  <c r="AP82" i="1" s="1"/>
  <c r="AC154" i="1"/>
  <c r="AN154" i="1" s="1"/>
  <c r="AE154" i="1"/>
  <c r="AP154" i="1" s="1"/>
  <c r="AC226" i="1"/>
  <c r="AN226" i="1" s="1"/>
  <c r="AE226" i="1"/>
  <c r="AP226" i="1" s="1"/>
  <c r="AC10" i="1"/>
  <c r="AN10" i="1" s="1"/>
  <c r="AE10" i="1"/>
  <c r="AP10" i="1" s="1"/>
  <c r="AD49" i="1"/>
  <c r="AO49" i="1" s="1"/>
  <c r="AE49" i="1"/>
  <c r="AP49" i="1" s="1"/>
  <c r="AD113" i="1"/>
  <c r="AO113" i="1" s="1"/>
  <c r="AE113" i="1"/>
  <c r="AP113" i="1" s="1"/>
  <c r="AD177" i="1"/>
  <c r="AO177" i="1" s="1"/>
  <c r="AE177" i="1"/>
  <c r="AP177" i="1" s="1"/>
  <c r="AD127" i="1"/>
  <c r="AO127" i="1" s="1"/>
  <c r="AE84" i="1"/>
  <c r="AP84" i="1" s="1"/>
  <c r="AE11" i="1"/>
  <c r="AP11" i="1" s="1"/>
  <c r="AE75" i="1"/>
  <c r="AP75" i="1" s="1"/>
  <c r="AE139" i="1"/>
  <c r="AP139" i="1" s="1"/>
  <c r="AE203" i="1"/>
  <c r="AP203" i="1" s="1"/>
  <c r="AE132" i="1"/>
  <c r="AP132" i="1" s="1"/>
  <c r="AE44" i="1"/>
  <c r="AP44" i="1" s="1"/>
  <c r="AE220" i="1"/>
  <c r="AP220" i="1" s="1"/>
  <c r="AE61" i="1"/>
  <c r="AP61" i="1" s="1"/>
  <c r="AE125" i="1"/>
  <c r="AP125" i="1" s="1"/>
  <c r="AE189" i="1"/>
  <c r="AP189" i="1" s="1"/>
  <c r="AE22" i="1"/>
  <c r="AP22" i="1" s="1"/>
  <c r="AE86" i="1"/>
  <c r="AP86" i="1" s="1"/>
  <c r="AE150" i="1"/>
  <c r="AP150" i="1" s="1"/>
  <c r="AE214" i="1"/>
  <c r="AP214" i="1" s="1"/>
  <c r="AE47" i="1"/>
  <c r="AP47" i="1" s="1"/>
  <c r="AE111" i="1"/>
  <c r="AP111" i="1" s="1"/>
  <c r="AE175" i="1"/>
  <c r="AP175" i="1" s="1"/>
  <c r="AE8" i="1"/>
  <c r="AP8" i="1" s="1"/>
  <c r="AE72" i="1"/>
  <c r="AP72" i="1" s="1"/>
  <c r="AE136" i="1"/>
  <c r="AP136" i="1" s="1"/>
  <c r="AE200" i="1"/>
  <c r="AP200" i="1" s="1"/>
  <c r="AC26" i="1"/>
  <c r="AN26" i="1" s="1"/>
  <c r="AE26" i="1"/>
  <c r="AP26" i="1" s="1"/>
  <c r="AC90" i="1"/>
  <c r="AN90" i="1" s="1"/>
  <c r="AE90" i="1"/>
  <c r="AP90" i="1" s="1"/>
  <c r="AD162" i="1"/>
  <c r="AO162" i="1" s="1"/>
  <c r="AE162" i="1"/>
  <c r="AP162" i="1" s="1"/>
  <c r="AC234" i="1"/>
  <c r="AN234" i="1" s="1"/>
  <c r="AE234" i="1"/>
  <c r="AP234" i="1" s="1"/>
  <c r="AC18" i="1"/>
  <c r="AN18" i="1" s="1"/>
  <c r="AE18" i="1"/>
  <c r="AP18" i="1" s="1"/>
  <c r="AD57" i="1"/>
  <c r="AO57" i="1" s="1"/>
  <c r="AE57" i="1"/>
  <c r="AP57" i="1" s="1"/>
  <c r="AD121" i="1"/>
  <c r="AO121" i="1" s="1"/>
  <c r="AE121" i="1"/>
  <c r="AP121" i="1" s="1"/>
  <c r="AD185" i="1"/>
  <c r="AO185" i="1" s="1"/>
  <c r="AE185" i="1"/>
  <c r="AP185" i="1" s="1"/>
  <c r="AE108" i="1"/>
  <c r="AP108" i="1" s="1"/>
  <c r="AE69" i="1"/>
  <c r="AP69" i="1" s="1"/>
  <c r="AE133" i="1"/>
  <c r="AP133" i="1" s="1"/>
  <c r="AE197" i="1"/>
  <c r="AP197" i="1" s="1"/>
  <c r="AE55" i="1"/>
  <c r="AP55" i="1" s="1"/>
  <c r="AE119" i="1"/>
  <c r="AP119" i="1" s="1"/>
  <c r="AE183" i="1"/>
  <c r="AP183" i="1" s="1"/>
  <c r="AC98" i="1"/>
  <c r="AN98" i="1" s="1"/>
  <c r="AE98" i="1"/>
  <c r="AP98" i="1" s="1"/>
  <c r="AC170" i="1"/>
  <c r="AN170" i="1" s="1"/>
  <c r="AE170" i="1"/>
  <c r="AP170" i="1" s="1"/>
  <c r="AC58" i="1"/>
  <c r="AN58" i="1" s="1"/>
  <c r="AE58" i="1"/>
  <c r="AP58" i="1" s="1"/>
  <c r="AC63" i="1"/>
  <c r="AN63" i="1" s="1"/>
  <c r="AC185" i="1"/>
  <c r="AN185" i="1" s="1"/>
  <c r="AD65" i="1"/>
  <c r="AO65" i="1" s="1"/>
  <c r="AE65" i="1"/>
  <c r="AP65" i="1" s="1"/>
  <c r="AC129" i="1"/>
  <c r="AE129" i="1"/>
  <c r="AP129" i="1" s="1"/>
  <c r="AC193" i="1"/>
  <c r="AN193" i="1" s="1"/>
  <c r="AE193" i="1"/>
  <c r="AP193" i="1" s="1"/>
  <c r="AD48" i="1"/>
  <c r="AO48" i="1" s="1"/>
  <c r="AE124" i="1"/>
  <c r="AP124" i="1" s="1"/>
  <c r="AE27" i="1"/>
  <c r="AP27" i="1" s="1"/>
  <c r="AE91" i="1"/>
  <c r="AP91" i="1" s="1"/>
  <c r="AE155" i="1"/>
  <c r="AP155" i="1" s="1"/>
  <c r="AE219" i="1"/>
  <c r="AP219" i="1" s="1"/>
  <c r="AE172" i="1"/>
  <c r="AP172" i="1" s="1"/>
  <c r="AE68" i="1"/>
  <c r="AP68" i="1" s="1"/>
  <c r="AE13" i="1"/>
  <c r="AP13" i="1" s="1"/>
  <c r="AE77" i="1"/>
  <c r="AP77" i="1" s="1"/>
  <c r="AE141" i="1"/>
  <c r="AP141" i="1" s="1"/>
  <c r="AE205" i="1"/>
  <c r="AP205" i="1" s="1"/>
  <c r="AE38" i="1"/>
  <c r="AP38" i="1" s="1"/>
  <c r="AE102" i="1"/>
  <c r="AP102" i="1" s="1"/>
  <c r="AE166" i="1"/>
  <c r="AP166" i="1" s="1"/>
  <c r="AE230" i="1"/>
  <c r="AP230" i="1" s="1"/>
  <c r="AE63" i="1"/>
  <c r="AP63" i="1" s="1"/>
  <c r="AE127" i="1"/>
  <c r="AP127" i="1" s="1"/>
  <c r="AE191" i="1"/>
  <c r="AP191" i="1" s="1"/>
  <c r="AE24" i="1"/>
  <c r="AP24" i="1" s="1"/>
  <c r="AE88" i="1"/>
  <c r="AP88" i="1" s="1"/>
  <c r="AE152" i="1"/>
  <c r="AP152" i="1" s="1"/>
  <c r="AE216" i="1"/>
  <c r="AP216" i="1" s="1"/>
  <c r="AC34" i="1"/>
  <c r="AN34" i="1" s="1"/>
  <c r="AE34" i="1"/>
  <c r="AP34" i="1" s="1"/>
  <c r="AC106" i="1"/>
  <c r="AN106" i="1" s="1"/>
  <c r="AE106" i="1"/>
  <c r="AP106" i="1" s="1"/>
  <c r="AC178" i="1"/>
  <c r="AN178" i="1" s="1"/>
  <c r="AE178" i="1"/>
  <c r="AP178" i="1" s="1"/>
  <c r="AC122" i="1"/>
  <c r="AN122" i="1" s="1"/>
  <c r="AE122" i="1"/>
  <c r="AP122" i="1" s="1"/>
  <c r="AC17" i="1"/>
  <c r="AN17" i="1" s="1"/>
  <c r="AE17" i="1"/>
  <c r="AP17" i="1" s="1"/>
  <c r="AC89" i="1"/>
  <c r="AN89" i="1" s="1"/>
  <c r="AC73" i="1"/>
  <c r="AN73" i="1" s="1"/>
  <c r="AE73" i="1"/>
  <c r="AP73" i="1" s="1"/>
  <c r="AD137" i="1"/>
  <c r="AO137" i="1" s="1"/>
  <c r="AE137" i="1"/>
  <c r="AP137" i="1" s="1"/>
  <c r="AC201" i="1"/>
  <c r="AN201" i="1" s="1"/>
  <c r="AE201" i="1"/>
  <c r="AP201" i="1" s="1"/>
  <c r="AD176" i="1"/>
  <c r="AO176" i="1" s="1"/>
  <c r="AE148" i="1"/>
  <c r="AP148" i="1" s="1"/>
  <c r="AE35" i="1"/>
  <c r="AP35" i="1" s="1"/>
  <c r="AE99" i="1"/>
  <c r="AP99" i="1" s="1"/>
  <c r="AE163" i="1"/>
  <c r="AP163" i="1" s="1"/>
  <c r="AE227" i="1"/>
  <c r="AP227" i="1" s="1"/>
  <c r="AE188" i="1"/>
  <c r="AP188" i="1" s="1"/>
  <c r="AE92" i="1"/>
  <c r="AP92" i="1" s="1"/>
  <c r="AE21" i="1"/>
  <c r="AP21" i="1" s="1"/>
  <c r="AE85" i="1"/>
  <c r="AP85" i="1" s="1"/>
  <c r="AE149" i="1"/>
  <c r="AP149" i="1" s="1"/>
  <c r="AE213" i="1"/>
  <c r="AP213" i="1" s="1"/>
  <c r="AE46" i="1"/>
  <c r="AP46" i="1" s="1"/>
  <c r="AE110" i="1"/>
  <c r="AP110" i="1" s="1"/>
  <c r="AE174" i="1"/>
  <c r="AP174" i="1" s="1"/>
  <c r="AE7" i="1"/>
  <c r="AP7" i="1" s="1"/>
  <c r="AE71" i="1"/>
  <c r="AP71" i="1" s="1"/>
  <c r="AE135" i="1"/>
  <c r="AP135" i="1" s="1"/>
  <c r="AE199" i="1"/>
  <c r="AP199" i="1" s="1"/>
  <c r="AE32" i="1"/>
  <c r="AP32" i="1" s="1"/>
  <c r="AE96" i="1"/>
  <c r="AP96" i="1" s="1"/>
  <c r="AE160" i="1"/>
  <c r="AP160" i="1" s="1"/>
  <c r="AE224" i="1"/>
  <c r="AP224" i="1" s="1"/>
  <c r="AC42" i="1"/>
  <c r="AN42" i="1" s="1"/>
  <c r="AE42" i="1"/>
  <c r="AP42" i="1" s="1"/>
  <c r="AC114" i="1"/>
  <c r="AN114" i="1" s="1"/>
  <c r="AE114" i="1"/>
  <c r="AP114" i="1" s="1"/>
  <c r="AC194" i="1"/>
  <c r="AN194" i="1" s="1"/>
  <c r="AE194" i="1"/>
  <c r="AP194" i="1" s="1"/>
  <c r="AC186" i="1"/>
  <c r="AN186" i="1" s="1"/>
  <c r="AE186" i="1"/>
  <c r="AP186" i="1" s="1"/>
  <c r="AC33" i="1"/>
  <c r="AN33" i="1" s="1"/>
  <c r="AD81" i="1"/>
  <c r="AO81" i="1" s="1"/>
  <c r="AE81" i="1"/>
  <c r="AP81" i="1" s="1"/>
  <c r="AD145" i="1"/>
  <c r="AO145" i="1" s="1"/>
  <c r="AE145" i="1"/>
  <c r="AP145" i="1" s="1"/>
  <c r="AD209" i="1"/>
  <c r="AO209" i="1" s="1"/>
  <c r="AE209" i="1"/>
  <c r="AP209" i="1" s="1"/>
  <c r="AD205" i="1"/>
  <c r="AO205" i="1" s="1"/>
  <c r="AE180" i="1"/>
  <c r="AP180" i="1" s="1"/>
  <c r="AE43" i="1"/>
  <c r="AP43" i="1" s="1"/>
  <c r="AE107" i="1"/>
  <c r="AP107" i="1" s="1"/>
  <c r="AE171" i="1"/>
  <c r="AP171" i="1" s="1"/>
  <c r="AE235" i="1"/>
  <c r="AP235" i="1" s="1"/>
  <c r="AE212" i="1"/>
  <c r="AP212" i="1" s="1"/>
  <c r="AE116" i="1"/>
  <c r="AP116" i="1" s="1"/>
  <c r="AE29" i="1"/>
  <c r="AP29" i="1" s="1"/>
  <c r="AE93" i="1"/>
  <c r="AP93" i="1" s="1"/>
  <c r="AE157" i="1"/>
  <c r="AP157" i="1" s="1"/>
  <c r="AE221" i="1"/>
  <c r="AP221" i="1" s="1"/>
  <c r="AE54" i="1"/>
  <c r="AP54" i="1" s="1"/>
  <c r="AE118" i="1"/>
  <c r="AP118" i="1" s="1"/>
  <c r="AE182" i="1"/>
  <c r="AP182" i="1" s="1"/>
  <c r="AE15" i="1"/>
  <c r="AP15" i="1" s="1"/>
  <c r="AE79" i="1"/>
  <c r="AP79" i="1" s="1"/>
  <c r="AE143" i="1"/>
  <c r="AP143" i="1" s="1"/>
  <c r="AE207" i="1"/>
  <c r="AP207" i="1" s="1"/>
  <c r="AE40" i="1"/>
  <c r="AP40" i="1" s="1"/>
  <c r="AE104" i="1"/>
  <c r="AP104" i="1" s="1"/>
  <c r="AE168" i="1"/>
  <c r="AP168" i="1" s="1"/>
  <c r="AE232" i="1"/>
  <c r="AP232" i="1" s="1"/>
  <c r="AC94" i="1"/>
  <c r="AN94" i="1" s="1"/>
  <c r="AD159" i="1"/>
  <c r="AO159" i="1" s="1"/>
  <c r="AD173" i="1"/>
  <c r="AO173" i="1" s="1"/>
  <c r="AD195" i="1"/>
  <c r="AO195" i="1" s="1"/>
  <c r="AD50" i="1"/>
  <c r="AO50" i="1" s="1"/>
  <c r="AC217" i="1"/>
  <c r="AN217" i="1" s="1"/>
  <c r="AD31" i="1"/>
  <c r="AO31" i="1" s="1"/>
  <c r="AD199" i="1"/>
  <c r="AO199" i="1" s="1"/>
  <c r="AD114" i="1"/>
  <c r="AO114" i="1" s="1"/>
  <c r="AD44" i="1"/>
  <c r="AO44" i="1" s="1"/>
  <c r="AD223" i="1"/>
  <c r="AO223" i="1" s="1"/>
  <c r="AD178" i="1"/>
  <c r="AO178" i="1" s="1"/>
  <c r="AD6" i="1"/>
  <c r="AO6" i="1" s="1"/>
  <c r="AD71" i="1"/>
  <c r="AO71" i="1" s="1"/>
  <c r="AD5" i="1"/>
  <c r="AO5" i="1" s="1"/>
  <c r="AD62" i="1"/>
  <c r="AO62" i="1" s="1"/>
  <c r="AC164" i="1"/>
  <c r="AN164" i="1" s="1"/>
  <c r="AC105" i="1"/>
  <c r="AN105" i="1" s="1"/>
  <c r="AC145" i="1"/>
  <c r="AN145" i="1" s="1"/>
  <c r="AD95" i="1"/>
  <c r="AO95" i="1" s="1"/>
  <c r="AD112" i="1"/>
  <c r="AO112" i="1" s="1"/>
  <c r="AD213" i="1"/>
  <c r="AO213" i="1" s="1"/>
  <c r="AD126" i="1"/>
  <c r="AO126" i="1" s="1"/>
  <c r="AC233" i="1"/>
  <c r="AD67" i="1"/>
  <c r="AO67" i="1" s="1"/>
  <c r="AD190" i="1"/>
  <c r="AO190" i="1" s="1"/>
  <c r="AD135" i="1"/>
  <c r="AO135" i="1" s="1"/>
  <c r="AD131" i="1"/>
  <c r="AO131" i="1" s="1"/>
  <c r="AE2" i="1"/>
  <c r="AP2" i="1" s="1"/>
  <c r="AC132" i="1"/>
  <c r="AN132" i="1" s="1"/>
  <c r="AC207" i="1"/>
  <c r="AN207" i="1" s="1"/>
  <c r="AC97" i="1"/>
  <c r="AN97" i="1" s="1"/>
  <c r="AC113" i="1"/>
  <c r="AN113" i="1" s="1"/>
  <c r="AD23" i="1"/>
  <c r="AO23" i="1" s="1"/>
  <c r="AD87" i="1"/>
  <c r="AO87" i="1" s="1"/>
  <c r="AD151" i="1"/>
  <c r="AO151" i="1" s="1"/>
  <c r="AD215" i="1"/>
  <c r="AO215" i="1" s="1"/>
  <c r="AD40" i="1"/>
  <c r="AO40" i="1" s="1"/>
  <c r="AD104" i="1"/>
  <c r="AO104" i="1" s="1"/>
  <c r="AD168" i="1"/>
  <c r="AO168" i="1" s="1"/>
  <c r="AD232" i="1"/>
  <c r="AO232" i="1" s="1"/>
  <c r="AD157" i="1"/>
  <c r="AO157" i="1" s="1"/>
  <c r="AD37" i="1"/>
  <c r="AO37" i="1" s="1"/>
  <c r="AD42" i="1"/>
  <c r="AO42" i="1" s="1"/>
  <c r="AD106" i="1"/>
  <c r="AO106" i="1" s="1"/>
  <c r="AD170" i="1"/>
  <c r="AO170" i="1" s="1"/>
  <c r="AD234" i="1"/>
  <c r="AO234" i="1" s="1"/>
  <c r="AD165" i="1"/>
  <c r="AO165" i="1" s="1"/>
  <c r="AD59" i="1"/>
  <c r="AO59" i="1" s="1"/>
  <c r="AD123" i="1"/>
  <c r="AO123" i="1" s="1"/>
  <c r="AD187" i="1"/>
  <c r="AO187" i="1" s="1"/>
  <c r="AD69" i="1"/>
  <c r="AO69" i="1" s="1"/>
  <c r="AD36" i="1"/>
  <c r="AO36" i="1" s="1"/>
  <c r="AD100" i="1"/>
  <c r="AO100" i="1" s="1"/>
  <c r="AD228" i="1"/>
  <c r="AO228" i="1" s="1"/>
  <c r="AD54" i="1"/>
  <c r="AO54" i="1" s="1"/>
  <c r="AD118" i="1"/>
  <c r="AO118" i="1" s="1"/>
  <c r="AD182" i="1"/>
  <c r="AO182" i="1" s="1"/>
  <c r="AC196" i="1"/>
  <c r="AN196" i="1" s="1"/>
  <c r="AC225" i="1"/>
  <c r="AN225" i="1" s="1"/>
  <c r="AD39" i="1"/>
  <c r="AO39" i="1" s="1"/>
  <c r="AD103" i="1"/>
  <c r="AO103" i="1" s="1"/>
  <c r="AD167" i="1"/>
  <c r="AO167" i="1" s="1"/>
  <c r="AD231" i="1"/>
  <c r="AO231" i="1" s="1"/>
  <c r="AD56" i="1"/>
  <c r="AO56" i="1" s="1"/>
  <c r="AD120" i="1"/>
  <c r="AO120" i="1" s="1"/>
  <c r="AD184" i="1"/>
  <c r="AO184" i="1" s="1"/>
  <c r="AD21" i="1"/>
  <c r="AO21" i="1" s="1"/>
  <c r="AD229" i="1"/>
  <c r="AO229" i="1" s="1"/>
  <c r="AD73" i="1"/>
  <c r="AO73" i="1" s="1"/>
  <c r="AD201" i="1"/>
  <c r="AO201" i="1" s="1"/>
  <c r="AD7" i="1"/>
  <c r="AO7" i="1" s="1"/>
  <c r="AD58" i="1"/>
  <c r="AO58" i="1" s="1"/>
  <c r="AD122" i="1"/>
  <c r="AO122" i="1" s="1"/>
  <c r="AD186" i="1"/>
  <c r="AO186" i="1" s="1"/>
  <c r="AD13" i="1"/>
  <c r="AO13" i="1" s="1"/>
  <c r="AD11" i="1"/>
  <c r="AO11" i="1" s="1"/>
  <c r="AD75" i="1"/>
  <c r="AO75" i="1" s="1"/>
  <c r="AD139" i="1"/>
  <c r="AO139" i="1" s="1"/>
  <c r="AD203" i="1"/>
  <c r="AO203" i="1" s="1"/>
  <c r="AD133" i="1"/>
  <c r="AO133" i="1" s="1"/>
  <c r="AD52" i="1"/>
  <c r="AO52" i="1" s="1"/>
  <c r="AD116" i="1"/>
  <c r="AO116" i="1" s="1"/>
  <c r="AD180" i="1"/>
  <c r="AO180" i="1" s="1"/>
  <c r="AD197" i="1"/>
  <c r="AO197" i="1" s="1"/>
  <c r="AD70" i="1"/>
  <c r="AO70" i="1" s="1"/>
  <c r="AD134" i="1"/>
  <c r="AO134" i="1" s="1"/>
  <c r="AD198" i="1"/>
  <c r="AO198" i="1" s="1"/>
  <c r="AC77" i="1"/>
  <c r="AN77" i="1" s="1"/>
  <c r="AC222" i="1"/>
  <c r="AN222" i="1" s="1"/>
  <c r="AC41" i="1"/>
  <c r="AN41" i="1" s="1"/>
  <c r="AD47" i="1"/>
  <c r="AO47" i="1" s="1"/>
  <c r="AD111" i="1"/>
  <c r="AO111" i="1" s="1"/>
  <c r="AD175" i="1"/>
  <c r="AO175" i="1" s="1"/>
  <c r="AD45" i="1"/>
  <c r="AO45" i="1" s="1"/>
  <c r="AD64" i="1"/>
  <c r="AO64" i="1" s="1"/>
  <c r="AD128" i="1"/>
  <c r="AO128" i="1" s="1"/>
  <c r="AD192" i="1"/>
  <c r="AO192" i="1" s="1"/>
  <c r="AD61" i="1"/>
  <c r="AO61" i="1" s="1"/>
  <c r="AD17" i="1"/>
  <c r="AO17" i="1" s="1"/>
  <c r="AD66" i="1"/>
  <c r="AO66" i="1" s="1"/>
  <c r="AD130" i="1"/>
  <c r="AO130" i="1" s="1"/>
  <c r="AD194" i="1"/>
  <c r="AO194" i="1" s="1"/>
  <c r="AD53" i="1"/>
  <c r="AO53" i="1" s="1"/>
  <c r="AD19" i="1"/>
  <c r="AO19" i="1" s="1"/>
  <c r="AD83" i="1"/>
  <c r="AO83" i="1" s="1"/>
  <c r="AD147" i="1"/>
  <c r="AO147" i="1" s="1"/>
  <c r="AD211" i="1"/>
  <c r="AO211" i="1" s="1"/>
  <c r="AD189" i="1"/>
  <c r="AO189" i="1" s="1"/>
  <c r="AD60" i="1"/>
  <c r="AO60" i="1" s="1"/>
  <c r="AD124" i="1"/>
  <c r="AO124" i="1" s="1"/>
  <c r="AD188" i="1"/>
  <c r="AO188" i="1" s="1"/>
  <c r="AD14" i="1"/>
  <c r="AO14" i="1" s="1"/>
  <c r="AD78" i="1"/>
  <c r="AO78" i="1" s="1"/>
  <c r="AD142" i="1"/>
  <c r="AO142" i="1" s="1"/>
  <c r="AD206" i="1"/>
  <c r="AO206" i="1" s="1"/>
  <c r="AD129" i="1"/>
  <c r="AO129" i="1" s="1"/>
  <c r="AD172" i="1"/>
  <c r="AO172" i="1" s="1"/>
  <c r="AC109" i="1"/>
  <c r="AD55" i="1"/>
  <c r="AO55" i="1" s="1"/>
  <c r="AD119" i="1"/>
  <c r="AO119" i="1" s="1"/>
  <c r="AD183" i="1"/>
  <c r="AO183" i="1" s="1"/>
  <c r="AD181" i="1"/>
  <c r="AO181" i="1" s="1"/>
  <c r="AD72" i="1"/>
  <c r="AO72" i="1" s="1"/>
  <c r="AD136" i="1"/>
  <c r="AO136" i="1" s="1"/>
  <c r="AD200" i="1"/>
  <c r="AO200" i="1" s="1"/>
  <c r="AD25" i="1"/>
  <c r="AO25" i="1" s="1"/>
  <c r="AD153" i="1"/>
  <c r="AO153" i="1" s="1"/>
  <c r="AD10" i="1"/>
  <c r="AO10" i="1" s="1"/>
  <c r="AD74" i="1"/>
  <c r="AO74" i="1" s="1"/>
  <c r="AD138" i="1"/>
  <c r="AO138" i="1" s="1"/>
  <c r="AD202" i="1"/>
  <c r="AO202" i="1" s="1"/>
  <c r="AD85" i="1"/>
  <c r="AO85" i="1" s="1"/>
  <c r="AD27" i="1"/>
  <c r="AO27" i="1" s="1"/>
  <c r="AD91" i="1"/>
  <c r="AO91" i="1" s="1"/>
  <c r="AD155" i="1"/>
  <c r="AO155" i="1" s="1"/>
  <c r="AD219" i="1"/>
  <c r="AO219" i="1" s="1"/>
  <c r="AD221" i="1"/>
  <c r="AO221" i="1" s="1"/>
  <c r="AD68" i="1"/>
  <c r="AO68" i="1" s="1"/>
  <c r="AD22" i="1"/>
  <c r="AO22" i="1" s="1"/>
  <c r="AD86" i="1"/>
  <c r="AO86" i="1" s="1"/>
  <c r="AD150" i="1"/>
  <c r="AO150" i="1" s="1"/>
  <c r="AD214" i="1"/>
  <c r="AO214" i="1" s="1"/>
  <c r="AC9" i="1"/>
  <c r="AN9" i="1" s="1"/>
  <c r="AD9" i="1"/>
  <c r="AO9" i="1" s="1"/>
  <c r="AC162" i="1"/>
  <c r="AN162" i="1" s="1"/>
  <c r="AC169" i="1"/>
  <c r="AN169" i="1" s="1"/>
  <c r="AC65" i="1"/>
  <c r="AN65" i="1" s="1"/>
  <c r="AD16" i="1"/>
  <c r="AO16" i="1" s="1"/>
  <c r="AD80" i="1"/>
  <c r="AO80" i="1" s="1"/>
  <c r="AD144" i="1"/>
  <c r="AO144" i="1" s="1"/>
  <c r="AD208" i="1"/>
  <c r="AO208" i="1" s="1"/>
  <c r="AD93" i="1"/>
  <c r="AO93" i="1" s="1"/>
  <c r="AD18" i="1"/>
  <c r="AO18" i="1" s="1"/>
  <c r="AD82" i="1"/>
  <c r="AO82" i="1" s="1"/>
  <c r="AD146" i="1"/>
  <c r="AO146" i="1" s="1"/>
  <c r="AD210" i="1"/>
  <c r="AO210" i="1" s="1"/>
  <c r="AD35" i="1"/>
  <c r="AO35" i="1" s="1"/>
  <c r="AD99" i="1"/>
  <c r="AO99" i="1" s="1"/>
  <c r="AD163" i="1"/>
  <c r="AO163" i="1" s="1"/>
  <c r="AD227" i="1"/>
  <c r="AO227" i="1" s="1"/>
  <c r="AD12" i="1"/>
  <c r="AO12" i="1" s="1"/>
  <c r="AD76" i="1"/>
  <c r="AO76" i="1" s="1"/>
  <c r="AD140" i="1"/>
  <c r="AO140" i="1" s="1"/>
  <c r="AD204" i="1"/>
  <c r="AO204" i="1" s="1"/>
  <c r="AD30" i="1"/>
  <c r="AO30" i="1" s="1"/>
  <c r="AD158" i="1"/>
  <c r="AO158" i="1" s="1"/>
  <c r="AD3" i="1"/>
  <c r="AO3" i="1" s="1"/>
  <c r="AD193" i="1"/>
  <c r="AO193" i="1" s="1"/>
  <c r="AD108" i="1"/>
  <c r="AO108" i="1" s="1"/>
  <c r="AD24" i="1"/>
  <c r="AO24" i="1" s="1"/>
  <c r="AD88" i="1"/>
  <c r="AO88" i="1" s="1"/>
  <c r="AD152" i="1"/>
  <c r="AO152" i="1" s="1"/>
  <c r="AD216" i="1"/>
  <c r="AO216" i="1" s="1"/>
  <c r="AD117" i="1"/>
  <c r="AO117" i="1" s="1"/>
  <c r="AD26" i="1"/>
  <c r="AO26" i="1" s="1"/>
  <c r="AD90" i="1"/>
  <c r="AO90" i="1" s="1"/>
  <c r="AD154" i="1"/>
  <c r="AO154" i="1" s="1"/>
  <c r="AD218" i="1"/>
  <c r="AO218" i="1" s="1"/>
  <c r="AD125" i="1"/>
  <c r="AO125" i="1" s="1"/>
  <c r="AD43" i="1"/>
  <c r="AO43" i="1" s="1"/>
  <c r="AD107" i="1"/>
  <c r="AO107" i="1" s="1"/>
  <c r="AD171" i="1"/>
  <c r="AO171" i="1" s="1"/>
  <c r="AD235" i="1"/>
  <c r="AO235" i="1" s="1"/>
  <c r="AD20" i="1"/>
  <c r="AO20" i="1" s="1"/>
  <c r="AD84" i="1"/>
  <c r="AO84" i="1" s="1"/>
  <c r="AD148" i="1"/>
  <c r="AO148" i="1" s="1"/>
  <c r="AD212" i="1"/>
  <c r="AO212" i="1" s="1"/>
  <c r="AD38" i="1"/>
  <c r="AO38" i="1" s="1"/>
  <c r="AD102" i="1"/>
  <c r="AO102" i="1" s="1"/>
  <c r="AD166" i="1"/>
  <c r="AO166" i="1" s="1"/>
  <c r="AD230" i="1"/>
  <c r="AO230" i="1" s="1"/>
  <c r="AD15" i="1"/>
  <c r="AO15" i="1" s="1"/>
  <c r="AD79" i="1"/>
  <c r="AO79" i="1" s="1"/>
  <c r="AD143" i="1"/>
  <c r="AO143" i="1" s="1"/>
  <c r="AD32" i="1"/>
  <c r="AO32" i="1" s="1"/>
  <c r="AD96" i="1"/>
  <c r="AO96" i="1" s="1"/>
  <c r="AD160" i="1"/>
  <c r="AO160" i="1" s="1"/>
  <c r="AD224" i="1"/>
  <c r="AO224" i="1" s="1"/>
  <c r="AD4" i="1"/>
  <c r="AO4" i="1" s="1"/>
  <c r="AD34" i="1"/>
  <c r="AO34" i="1" s="1"/>
  <c r="AD98" i="1"/>
  <c r="AO98" i="1" s="1"/>
  <c r="AD226" i="1"/>
  <c r="AO226" i="1" s="1"/>
  <c r="AD149" i="1"/>
  <c r="AO149" i="1" s="1"/>
  <c r="AD51" i="1"/>
  <c r="AO51" i="1" s="1"/>
  <c r="AD115" i="1"/>
  <c r="AO115" i="1" s="1"/>
  <c r="AD179" i="1"/>
  <c r="AO179" i="1" s="1"/>
  <c r="AD29" i="1"/>
  <c r="AO29" i="1" s="1"/>
  <c r="AD28" i="1"/>
  <c r="AO28" i="1" s="1"/>
  <c r="AD92" i="1"/>
  <c r="AO92" i="1" s="1"/>
  <c r="AD156" i="1"/>
  <c r="AO156" i="1" s="1"/>
  <c r="AD220" i="1"/>
  <c r="AO220" i="1" s="1"/>
  <c r="AD46" i="1"/>
  <c r="AO46" i="1" s="1"/>
  <c r="AD110" i="1"/>
  <c r="AO110" i="1" s="1"/>
  <c r="AD174" i="1"/>
  <c r="AO174" i="1" s="1"/>
  <c r="AD8" i="1"/>
  <c r="AO8" i="1" s="1"/>
  <c r="AD2" i="1"/>
  <c r="AO2" i="1" s="1"/>
  <c r="AJ2" i="1" l="1"/>
  <c r="AN2" i="1"/>
  <c r="AI187" i="1" a="1"/>
  <c r="AI187" i="1" s="1"/>
  <c r="AM187" i="1" s="1"/>
  <c r="AI135" i="1" a="1"/>
  <c r="AI135" i="1" s="1"/>
  <c r="AM135" i="1" s="1"/>
  <c r="AI223" i="1" a="1"/>
  <c r="AI223" i="1" s="1"/>
  <c r="AM223" i="1" s="1"/>
  <c r="AJ15" i="1"/>
  <c r="AL15" i="1" s="1"/>
  <c r="AI227" i="1" a="1"/>
  <c r="AI227" i="1" s="1"/>
  <c r="AM227" i="1" s="1"/>
  <c r="AJ93" i="1"/>
  <c r="AL93" i="1" s="1"/>
  <c r="AI219" i="1" a="1"/>
  <c r="AI219" i="1" s="1"/>
  <c r="AM219" i="1" s="1"/>
  <c r="AI128" i="1" a="1"/>
  <c r="AI128" i="1" s="1"/>
  <c r="AM128" i="1" s="1"/>
  <c r="AJ155" i="1"/>
  <c r="AL155" i="1" s="1"/>
  <c r="AJ55" i="1"/>
  <c r="AL55" i="1" s="1"/>
  <c r="AH64" i="1"/>
  <c r="AI127" i="1" a="1"/>
  <c r="AI127" i="1" s="1"/>
  <c r="AM127" i="1" s="1"/>
  <c r="AJ99" i="1"/>
  <c r="AL99" i="1" s="1"/>
  <c r="AI144" i="1" a="1"/>
  <c r="AI144" i="1" s="1"/>
  <c r="AM144" i="1" s="1"/>
  <c r="AH91" i="1"/>
  <c r="AJ45" i="1"/>
  <c r="AL45" i="1" s="1"/>
  <c r="AI5" i="1" a="1"/>
  <c r="AI5" i="1" s="1"/>
  <c r="AM5" i="1" s="1"/>
  <c r="AJ115" i="1"/>
  <c r="AL115" i="1" s="1"/>
  <c r="AH107" i="1"/>
  <c r="AI216" i="1" a="1"/>
  <c r="AI216" i="1" s="1"/>
  <c r="AM216" i="1" s="1"/>
  <c r="AJ181" i="1"/>
  <c r="AL181" i="1" s="1"/>
  <c r="AJ61" i="1"/>
  <c r="AL61" i="1" s="1"/>
  <c r="AJ163" i="1"/>
  <c r="AL163" i="1" s="1"/>
  <c r="AJ208" i="1"/>
  <c r="AL208" i="1" s="1"/>
  <c r="AJ179" i="1"/>
  <c r="AL179" i="1" s="1"/>
  <c r="AJ117" i="1"/>
  <c r="AL117" i="1" s="1"/>
  <c r="AI80" i="1" a="1"/>
  <c r="AI80" i="1" s="1"/>
  <c r="AM80" i="1" s="1"/>
  <c r="AJ175" i="1"/>
  <c r="AL175" i="1" s="1"/>
  <c r="AI103" i="1" a="1"/>
  <c r="AI103" i="1" s="1"/>
  <c r="AM103" i="1" s="1"/>
  <c r="AJ152" i="1"/>
  <c r="AL152" i="1" s="1"/>
  <c r="AJ229" i="1"/>
  <c r="AL229" i="1" s="1"/>
  <c r="AJ215" i="1"/>
  <c r="AL215" i="1" s="1"/>
  <c r="AI151" i="1" a="1"/>
  <c r="AI151" i="1" s="1"/>
  <c r="AM151" i="1" s="1"/>
  <c r="AI131" i="1" a="1"/>
  <c r="AI131" i="1" s="1"/>
  <c r="AM131" i="1" s="1"/>
  <c r="AI176" i="1" a="1"/>
  <c r="AI176" i="1" s="1"/>
  <c r="AM176" i="1" s="1"/>
  <c r="AJ83" i="1"/>
  <c r="AL83" i="1" s="1"/>
  <c r="AJ101" i="1"/>
  <c r="AL101" i="1" s="1"/>
  <c r="AJ109" i="1"/>
  <c r="AL109" i="1" s="1"/>
  <c r="AN109" i="1"/>
  <c r="AJ233" i="1"/>
  <c r="AL233" i="1" s="1"/>
  <c r="AN233" i="1"/>
  <c r="AJ129" i="1"/>
  <c r="AL129" i="1" s="1"/>
  <c r="AN129" i="1"/>
  <c r="AJ71" i="1"/>
  <c r="AL71" i="1" s="1"/>
  <c r="AJ195" i="1"/>
  <c r="AL195" i="1" s="1"/>
  <c r="AJ39" i="1"/>
  <c r="AL39" i="1" s="1"/>
  <c r="AJ33" i="1"/>
  <c r="AL33" i="1" s="1"/>
  <c r="AJ213" i="1"/>
  <c r="AL213" i="1" s="1"/>
  <c r="AI79" i="1" a="1"/>
  <c r="AI79" i="1" s="1"/>
  <c r="AM79" i="1" s="1"/>
  <c r="AJ113" i="1"/>
  <c r="AL113" i="1" s="1"/>
  <c r="AJ164" i="1"/>
  <c r="AL164" i="1" s="1"/>
  <c r="AI75" i="1" a="1"/>
  <c r="AI75" i="1" s="1"/>
  <c r="AM75" i="1" s="1"/>
  <c r="AJ51" i="1"/>
  <c r="AL51" i="1" s="1"/>
  <c r="AI47" i="1" a="1"/>
  <c r="AI47" i="1" s="1"/>
  <c r="AM47" i="1" s="1"/>
  <c r="AJ169" i="1"/>
  <c r="AL169" i="1" s="1"/>
  <c r="AI37" i="1" a="1"/>
  <c r="AI37" i="1" s="1"/>
  <c r="AM37" i="1" s="1"/>
  <c r="AJ19" i="1"/>
  <c r="AL19" i="1" s="1"/>
  <c r="AI56" i="1" a="1"/>
  <c r="AI56" i="1" s="1"/>
  <c r="AM56" i="1" s="1"/>
  <c r="AJ59" i="1"/>
  <c r="AL59" i="1" s="1"/>
  <c r="AJ165" i="1"/>
  <c r="AL165" i="1" s="1"/>
  <c r="AJ224" i="1"/>
  <c r="AL224" i="1" s="1"/>
  <c r="AJ31" i="1"/>
  <c r="AL31" i="1" s="1"/>
  <c r="AJ26" i="1"/>
  <c r="AL26" i="1" s="1"/>
  <c r="AJ7" i="1"/>
  <c r="AL7" i="1" s="1"/>
  <c r="AJ121" i="1"/>
  <c r="AL121" i="1" s="1"/>
  <c r="AJ49" i="1"/>
  <c r="AL49" i="1" s="1"/>
  <c r="AJ230" i="1"/>
  <c r="AL230" i="1" s="1"/>
  <c r="AJ8" i="1"/>
  <c r="AL8" i="1" s="1"/>
  <c r="AJ211" i="1"/>
  <c r="AL211" i="1" s="1"/>
  <c r="AJ180" i="1"/>
  <c r="AL180" i="1" s="1"/>
  <c r="AI171" i="1" a="1"/>
  <c r="AI171" i="1" s="1"/>
  <c r="AM171" i="1" s="1"/>
  <c r="AJ139" i="1"/>
  <c r="AL139" i="1" s="1"/>
  <c r="AI167" i="1" a="1"/>
  <c r="AI167" i="1" s="1"/>
  <c r="AM167" i="1" s="1"/>
  <c r="AI104" i="1" a="1"/>
  <c r="AI104" i="1" s="1"/>
  <c r="AM104" i="1" s="1"/>
  <c r="AJ207" i="1"/>
  <c r="AL207" i="1" s="1"/>
  <c r="AJ178" i="1"/>
  <c r="AL178" i="1" s="1"/>
  <c r="AI205" i="1" a="1"/>
  <c r="AI205" i="1" s="1"/>
  <c r="AM205" i="1" s="1"/>
  <c r="AJ30" i="1"/>
  <c r="AL30" i="1" s="1"/>
  <c r="AJ54" i="1"/>
  <c r="AL54" i="1" s="1"/>
  <c r="AJ35" i="1"/>
  <c r="AL35" i="1" s="1"/>
  <c r="AJ43" i="1"/>
  <c r="AL43" i="1" s="1"/>
  <c r="AJ16" i="1"/>
  <c r="AL16" i="1" s="1"/>
  <c r="AJ85" i="1"/>
  <c r="AL85" i="1" s="1"/>
  <c r="AJ136" i="1"/>
  <c r="AL136" i="1" s="1"/>
  <c r="AJ189" i="1"/>
  <c r="AL189" i="1" s="1"/>
  <c r="AJ111" i="1"/>
  <c r="AL111" i="1" s="1"/>
  <c r="AJ197" i="1"/>
  <c r="AL197" i="1" s="1"/>
  <c r="AJ11" i="1"/>
  <c r="AL11" i="1" s="1"/>
  <c r="AJ112" i="1"/>
  <c r="AL112" i="1" s="1"/>
  <c r="AI125" i="1" a="1"/>
  <c r="AI125" i="1" s="1"/>
  <c r="AM125" i="1" s="1"/>
  <c r="AJ88" i="1"/>
  <c r="AL88" i="1" s="1"/>
  <c r="AI72" i="1" a="1"/>
  <c r="AI72" i="1" s="1"/>
  <c r="AM72" i="1" s="1"/>
  <c r="AI21" i="1" a="1"/>
  <c r="AI21" i="1" s="1"/>
  <c r="AM21" i="1" s="1"/>
  <c r="AI69" i="1" a="1"/>
  <c r="AI69" i="1" s="1"/>
  <c r="AM69" i="1" s="1"/>
  <c r="AI195" i="1" a="1"/>
  <c r="AI195" i="1" s="1"/>
  <c r="AI71" i="1" a="1"/>
  <c r="AI71" i="1" s="1"/>
  <c r="AM71" i="1" s="1"/>
  <c r="AI48" i="1" a="1"/>
  <c r="AI48" i="1" s="1"/>
  <c r="AM48" i="1" s="1"/>
  <c r="AJ47" i="1"/>
  <c r="AJ143" i="1"/>
  <c r="AL143" i="1" s="1"/>
  <c r="AJ24" i="1"/>
  <c r="AL24" i="1" s="1"/>
  <c r="AJ147" i="1"/>
  <c r="AL147" i="1" s="1"/>
  <c r="AJ87" i="1"/>
  <c r="AI173" i="1" a="1"/>
  <c r="AI173" i="1" s="1"/>
  <c r="AM173" i="1" s="1"/>
  <c r="AJ191" i="1"/>
  <c r="AL191" i="1" s="1"/>
  <c r="AJ221" i="1"/>
  <c r="AL221" i="1" s="1"/>
  <c r="AJ183" i="1"/>
  <c r="AL183" i="1" s="1"/>
  <c r="AJ192" i="1"/>
  <c r="AL192" i="1" s="1"/>
  <c r="AJ222" i="1"/>
  <c r="AL222" i="1" s="1"/>
  <c r="AJ120" i="1"/>
  <c r="AL120" i="1" s="1"/>
  <c r="AJ123" i="1"/>
  <c r="AL123" i="1" s="1"/>
  <c r="AJ157" i="1"/>
  <c r="AL157" i="1" s="1"/>
  <c r="AJ23" i="1"/>
  <c r="AL23" i="1" s="1"/>
  <c r="AJ159" i="1"/>
  <c r="AL159" i="1" s="1"/>
  <c r="AJ205" i="1"/>
  <c r="AJ119" i="1"/>
  <c r="AL119" i="1" s="1"/>
  <c r="AJ77" i="1"/>
  <c r="AL77" i="1" s="1"/>
  <c r="AJ133" i="1"/>
  <c r="AL133" i="1" s="1"/>
  <c r="AJ232" i="1"/>
  <c r="AJ67" i="1"/>
  <c r="AL67" i="1" s="1"/>
  <c r="AJ94" i="1"/>
  <c r="AL94" i="1" s="1"/>
  <c r="AJ29" i="1"/>
  <c r="AL29" i="1" s="1"/>
  <c r="AJ235" i="1"/>
  <c r="AL235" i="1" s="1"/>
  <c r="AJ3" i="1"/>
  <c r="AL3" i="1" s="1"/>
  <c r="AJ53" i="1"/>
  <c r="AL53" i="1" s="1"/>
  <c r="AJ203" i="1"/>
  <c r="AL203" i="1" s="1"/>
  <c r="AJ231" i="1"/>
  <c r="AL231" i="1" s="1"/>
  <c r="AJ168" i="1"/>
  <c r="AL168" i="1" s="1"/>
  <c r="AJ199" i="1"/>
  <c r="AL199" i="1" s="1"/>
  <c r="AJ170" i="1"/>
  <c r="AL170" i="1" s="1"/>
  <c r="AJ210" i="1"/>
  <c r="AL210" i="1" s="1"/>
  <c r="AJ103" i="1"/>
  <c r="AJ194" i="1"/>
  <c r="AL194" i="1" s="1"/>
  <c r="AJ91" i="1"/>
  <c r="AL91" i="1" s="1"/>
  <c r="AJ5" i="1"/>
  <c r="AI160" i="1" a="1"/>
  <c r="AI160" i="1" s="1"/>
  <c r="AM160" i="1" s="1"/>
  <c r="AI27" i="1" a="1"/>
  <c r="AI27" i="1" s="1"/>
  <c r="AM27" i="1" s="1"/>
  <c r="AI200" i="1" a="1"/>
  <c r="AI200" i="1" s="1"/>
  <c r="AM200" i="1" s="1"/>
  <c r="AI40" i="1" a="1"/>
  <c r="AI40" i="1" s="1"/>
  <c r="AM40" i="1" s="1"/>
  <c r="AJ132" i="1"/>
  <c r="AL132" i="1" s="1"/>
  <c r="AJ217" i="1"/>
  <c r="AL217" i="1" s="1"/>
  <c r="AJ73" i="1"/>
  <c r="AL73" i="1" s="1"/>
  <c r="AJ98" i="1"/>
  <c r="AL98" i="1" s="1"/>
  <c r="AJ226" i="1"/>
  <c r="AL226" i="1" s="1"/>
  <c r="AJ66" i="1"/>
  <c r="AL66" i="1" s="1"/>
  <c r="AJ130" i="1"/>
  <c r="AL130" i="1" s="1"/>
  <c r="AJ86" i="1"/>
  <c r="AL86" i="1" s="1"/>
  <c r="AJ134" i="1"/>
  <c r="AL134" i="1" s="1"/>
  <c r="AJ57" i="1"/>
  <c r="AL57" i="1" s="1"/>
  <c r="AJ62" i="1"/>
  <c r="AL62" i="1" s="1"/>
  <c r="AJ46" i="1"/>
  <c r="AL46" i="1" s="1"/>
  <c r="AJ124" i="1"/>
  <c r="AL124" i="1" s="1"/>
  <c r="AJ44" i="1"/>
  <c r="AL44" i="1" s="1"/>
  <c r="AJ28" i="1"/>
  <c r="AL28" i="1" s="1"/>
  <c r="AJ228" i="1"/>
  <c r="AL228" i="1" s="1"/>
  <c r="AJ151" i="1"/>
  <c r="AJ64" i="1"/>
  <c r="AL64" i="1" s="1"/>
  <c r="AJ131" i="1"/>
  <c r="AJ216" i="1"/>
  <c r="AJ144" i="1"/>
  <c r="AJ200" i="1"/>
  <c r="AL200" i="1" s="1"/>
  <c r="AI18" i="1" a="1"/>
  <c r="AI18" i="1" s="1"/>
  <c r="AM18" i="1" s="1"/>
  <c r="AJ18" i="1"/>
  <c r="AL18" i="1" s="1"/>
  <c r="AI78" i="1" a="1"/>
  <c r="AI78" i="1" s="1"/>
  <c r="AM78" i="1" s="1"/>
  <c r="AJ78" i="1"/>
  <c r="AL78" i="1" s="1"/>
  <c r="AI96" i="1" a="1"/>
  <c r="AI96" i="1" s="1"/>
  <c r="AM96" i="1" s="1"/>
  <c r="AJ114" i="1"/>
  <c r="AL114" i="1" s="1"/>
  <c r="AJ89" i="1"/>
  <c r="AL89" i="1" s="1"/>
  <c r="AJ106" i="1"/>
  <c r="AL106" i="1" s="1"/>
  <c r="AJ185" i="1"/>
  <c r="AL185" i="1" s="1"/>
  <c r="AJ234" i="1"/>
  <c r="AL234" i="1" s="1"/>
  <c r="AJ6" i="1"/>
  <c r="AL6" i="1" s="1"/>
  <c r="AJ166" i="1"/>
  <c r="AL166" i="1" s="1"/>
  <c r="AJ137" i="1"/>
  <c r="AL137" i="1" s="1"/>
  <c r="AJ212" i="1"/>
  <c r="AL212" i="1" s="1"/>
  <c r="AJ92" i="1"/>
  <c r="AL92" i="1" s="1"/>
  <c r="AJ204" i="1"/>
  <c r="AL204" i="1" s="1"/>
  <c r="AJ116" i="1"/>
  <c r="AL116" i="1" s="1"/>
  <c r="AJ135" i="1"/>
  <c r="AJ127" i="1"/>
  <c r="AJ160" i="1"/>
  <c r="AL160" i="1" s="1"/>
  <c r="AJ125" i="1"/>
  <c r="AL125" i="1" s="1"/>
  <c r="AJ80" i="1"/>
  <c r="AI149" i="1" a="1"/>
  <c r="AI149" i="1" s="1"/>
  <c r="AM149" i="1" s="1"/>
  <c r="AI32" i="1" a="1"/>
  <c r="AI32" i="1" s="1"/>
  <c r="AM32" i="1" s="1"/>
  <c r="AJ65" i="1"/>
  <c r="AL65" i="1" s="1"/>
  <c r="AI13" i="1" a="1"/>
  <c r="AI13" i="1" s="1"/>
  <c r="AM13" i="1" s="1"/>
  <c r="AJ225" i="1"/>
  <c r="AL225" i="1" s="1"/>
  <c r="AI95" i="1" a="1"/>
  <c r="AI95" i="1" s="1"/>
  <c r="AM95" i="1" s="1"/>
  <c r="AJ63" i="1"/>
  <c r="AL63" i="1" s="1"/>
  <c r="AJ154" i="1"/>
  <c r="AL154" i="1" s="1"/>
  <c r="AJ218" i="1"/>
  <c r="AL218" i="1" s="1"/>
  <c r="AJ153" i="1"/>
  <c r="AL153" i="1" s="1"/>
  <c r="AJ50" i="1"/>
  <c r="AL50" i="1" s="1"/>
  <c r="AJ81" i="1"/>
  <c r="AL81" i="1" s="1"/>
  <c r="AJ22" i="1"/>
  <c r="AL22" i="1" s="1"/>
  <c r="AJ70" i="1"/>
  <c r="AL70" i="1" s="1"/>
  <c r="AJ14" i="1"/>
  <c r="AL14" i="1" s="1"/>
  <c r="AJ141" i="1"/>
  <c r="AL141" i="1" s="1"/>
  <c r="AI232" i="1" a="1"/>
  <c r="AI232" i="1" s="1"/>
  <c r="AM232" i="1" s="1"/>
  <c r="AJ60" i="1"/>
  <c r="AL60" i="1" s="1"/>
  <c r="AJ27" i="1"/>
  <c r="AL27" i="1" s="1"/>
  <c r="AJ79" i="1"/>
  <c r="AJ75" i="1"/>
  <c r="AL75" i="1" s="1"/>
  <c r="AJ96" i="1"/>
  <c r="AL96" i="1" s="1"/>
  <c r="AJ72" i="1"/>
  <c r="AI143" i="1" a="1"/>
  <c r="AI143" i="1" s="1"/>
  <c r="AM143" i="1" s="1"/>
  <c r="AI24" i="1" a="1"/>
  <c r="AI24" i="1" s="1"/>
  <c r="AM24" i="1" s="1"/>
  <c r="AJ41" i="1"/>
  <c r="AL41" i="1" s="1"/>
  <c r="AI184" i="1" a="1"/>
  <c r="AI184" i="1" s="1"/>
  <c r="AM184" i="1" s="1"/>
  <c r="AJ196" i="1"/>
  <c r="AL196" i="1" s="1"/>
  <c r="AI87" i="1" a="1"/>
  <c r="AI87" i="1" s="1"/>
  <c r="AM87" i="1" s="1"/>
  <c r="AJ145" i="1"/>
  <c r="AL145" i="1" s="1"/>
  <c r="AJ42" i="1"/>
  <c r="AL42" i="1" s="1"/>
  <c r="AJ17" i="1"/>
  <c r="AL17" i="1" s="1"/>
  <c r="AJ34" i="1"/>
  <c r="AL34" i="1" s="1"/>
  <c r="AJ138" i="1"/>
  <c r="AL138" i="1" s="1"/>
  <c r="AJ158" i="1"/>
  <c r="AL158" i="1" s="1"/>
  <c r="AJ206" i="1"/>
  <c r="AL206" i="1" s="1"/>
  <c r="AI191" i="1" a="1"/>
  <c r="AI191" i="1" s="1"/>
  <c r="AM191" i="1" s="1"/>
  <c r="AJ182" i="1"/>
  <c r="AL182" i="1" s="1"/>
  <c r="AJ102" i="1"/>
  <c r="AL102" i="1" s="1"/>
  <c r="AI215" i="1" a="1"/>
  <c r="AI215" i="1" s="1"/>
  <c r="AJ148" i="1"/>
  <c r="AL148" i="1" s="1"/>
  <c r="AJ20" i="1"/>
  <c r="AL20" i="1" s="1"/>
  <c r="AJ140" i="1"/>
  <c r="AL140" i="1" s="1"/>
  <c r="AJ52" i="1"/>
  <c r="AL52" i="1" s="1"/>
  <c r="AJ184" i="1"/>
  <c r="AL184" i="1" s="1"/>
  <c r="AJ176" i="1"/>
  <c r="AJ32" i="1"/>
  <c r="AL32" i="1" s="1"/>
  <c r="AJ69" i="1"/>
  <c r="AL69" i="1" s="1"/>
  <c r="AJ219" i="1"/>
  <c r="AJ173" i="1"/>
  <c r="AJ162" i="1"/>
  <c r="AL162" i="1" s="1"/>
  <c r="AI105" i="1" a="1"/>
  <c r="AI105" i="1" s="1"/>
  <c r="AM105" i="1" s="1"/>
  <c r="AJ105" i="1"/>
  <c r="AL105" i="1" s="1"/>
  <c r="AJ201" i="1"/>
  <c r="AL201" i="1" s="1"/>
  <c r="AJ193" i="1"/>
  <c r="AL193" i="1" s="1"/>
  <c r="AJ58" i="1"/>
  <c r="AL58" i="1" s="1"/>
  <c r="AJ82" i="1"/>
  <c r="AL82" i="1" s="1"/>
  <c r="AJ146" i="1"/>
  <c r="AL146" i="1" s="1"/>
  <c r="AJ25" i="1"/>
  <c r="AL25" i="1" s="1"/>
  <c r="AJ214" i="1"/>
  <c r="AL214" i="1" s="1"/>
  <c r="AJ190" i="1"/>
  <c r="AL190" i="1" s="1"/>
  <c r="AJ174" i="1"/>
  <c r="AL174" i="1" s="1"/>
  <c r="AJ209" i="1"/>
  <c r="AL209" i="1" s="1"/>
  <c r="AJ68" i="1"/>
  <c r="AL68" i="1" s="1"/>
  <c r="AJ172" i="1"/>
  <c r="AL172" i="1" s="1"/>
  <c r="AJ100" i="1"/>
  <c r="AL100" i="1" s="1"/>
  <c r="AJ149" i="1"/>
  <c r="AJ104" i="1"/>
  <c r="AJ128" i="1"/>
  <c r="AJ21" i="1"/>
  <c r="AJ13" i="1"/>
  <c r="AJ171" i="1"/>
  <c r="AJ227" i="1"/>
  <c r="AJ186" i="1"/>
  <c r="AL186" i="1" s="1"/>
  <c r="AJ122" i="1"/>
  <c r="AL122" i="1" s="1"/>
  <c r="AJ90" i="1"/>
  <c r="AL90" i="1" s="1"/>
  <c r="AJ142" i="1"/>
  <c r="AL142" i="1" s="1"/>
  <c r="AJ177" i="1"/>
  <c r="AL177" i="1" s="1"/>
  <c r="AJ118" i="1"/>
  <c r="AL118" i="1" s="1"/>
  <c r="AJ161" i="1"/>
  <c r="AL161" i="1" s="1"/>
  <c r="AJ38" i="1"/>
  <c r="AL38" i="1" s="1"/>
  <c r="AJ84" i="1"/>
  <c r="AL84" i="1" s="1"/>
  <c r="AJ12" i="1"/>
  <c r="AL12" i="1" s="1"/>
  <c r="AJ76" i="1"/>
  <c r="AL76" i="1" s="1"/>
  <c r="AJ4" i="1"/>
  <c r="AL4" i="1" s="1"/>
  <c r="AJ37" i="1"/>
  <c r="AJ56" i="1"/>
  <c r="AL56" i="1" s="1"/>
  <c r="AJ48" i="1"/>
  <c r="AL48" i="1" s="1"/>
  <c r="AJ40" i="1"/>
  <c r="AJ187" i="1"/>
  <c r="AJ107" i="1"/>
  <c r="AL107" i="1" s="1"/>
  <c r="AI9" i="1" a="1"/>
  <c r="AI9" i="1" s="1"/>
  <c r="AM9" i="1" s="1"/>
  <c r="AJ9" i="1"/>
  <c r="AL9" i="1" s="1"/>
  <c r="AI168" i="1" a="1"/>
  <c r="AI168" i="1" s="1"/>
  <c r="AM168" i="1" s="1"/>
  <c r="AI97" i="1" a="1"/>
  <c r="AI97" i="1" s="1"/>
  <c r="AM97" i="1" s="1"/>
  <c r="AJ97" i="1"/>
  <c r="AL97" i="1" s="1"/>
  <c r="AJ10" i="1"/>
  <c r="AL10" i="1" s="1"/>
  <c r="AJ74" i="1"/>
  <c r="AL74" i="1" s="1"/>
  <c r="AJ202" i="1"/>
  <c r="AL202" i="1" s="1"/>
  <c r="AJ150" i="1"/>
  <c r="AL150" i="1" s="1"/>
  <c r="AJ198" i="1"/>
  <c r="AL198" i="1" s="1"/>
  <c r="AJ126" i="1"/>
  <c r="AL126" i="1" s="1"/>
  <c r="AJ110" i="1"/>
  <c r="AL110" i="1" s="1"/>
  <c r="AJ220" i="1"/>
  <c r="AL220" i="1" s="1"/>
  <c r="AJ188" i="1"/>
  <c r="AL188" i="1" s="1"/>
  <c r="AJ108" i="1"/>
  <c r="AL108" i="1" s="1"/>
  <c r="AJ36" i="1"/>
  <c r="AL36" i="1" s="1"/>
  <c r="AJ156" i="1"/>
  <c r="AL156" i="1" s="1"/>
  <c r="AJ223" i="1"/>
  <c r="AJ95" i="1"/>
  <c r="AJ167" i="1"/>
  <c r="AL167" i="1" s="1"/>
  <c r="AI175" i="1" a="1"/>
  <c r="AI175" i="1" s="1"/>
  <c r="AI43" i="1" a="1"/>
  <c r="AI43" i="1" s="1"/>
  <c r="AM43" i="1" s="1"/>
  <c r="AI152" i="1" a="1"/>
  <c r="AI152" i="1" s="1"/>
  <c r="AI16" i="1" a="1"/>
  <c r="AI16" i="1" s="1"/>
  <c r="AM16" i="1" s="1"/>
  <c r="AI85" i="1" a="1"/>
  <c r="AI85" i="1" s="1"/>
  <c r="AM85" i="1" s="1"/>
  <c r="AI136" i="1" a="1"/>
  <c r="AI136" i="1" s="1"/>
  <c r="AM136" i="1" s="1"/>
  <c r="AI189" i="1" a="1"/>
  <c r="AI189" i="1" s="1"/>
  <c r="AM189" i="1" s="1"/>
  <c r="AI111" i="1" a="1"/>
  <c r="AI111" i="1" s="1"/>
  <c r="AM111" i="1" s="1"/>
  <c r="AI197" i="1" a="1"/>
  <c r="AI197" i="1" s="1"/>
  <c r="AM197" i="1" s="1"/>
  <c r="AI11" i="1" a="1"/>
  <c r="AI11" i="1" s="1"/>
  <c r="AM11" i="1" s="1"/>
  <c r="AI229" i="1" a="1"/>
  <c r="AI229" i="1" s="1"/>
  <c r="AI39" i="1" a="1"/>
  <c r="AI39" i="1" s="1"/>
  <c r="AI112" i="1" a="1"/>
  <c r="AI112" i="1" s="1"/>
  <c r="AM112" i="1" s="1"/>
  <c r="AI221" i="1" a="1"/>
  <c r="AI221" i="1" s="1"/>
  <c r="AM221" i="1" s="1"/>
  <c r="AI183" i="1" a="1"/>
  <c r="AI183" i="1" s="1"/>
  <c r="AM183" i="1" s="1"/>
  <c r="AI83" i="1" a="1"/>
  <c r="AI83" i="1" s="1"/>
  <c r="AI192" i="1" a="1"/>
  <c r="AI192" i="1" s="1"/>
  <c r="AM192" i="1" s="1"/>
  <c r="AI222" i="1" a="1"/>
  <c r="AI222" i="1" s="1"/>
  <c r="AM222" i="1" s="1"/>
  <c r="AI120" i="1" a="1"/>
  <c r="AI120" i="1" s="1"/>
  <c r="AM120" i="1" s="1"/>
  <c r="AI123" i="1" a="1"/>
  <c r="AI123" i="1" s="1"/>
  <c r="AM123" i="1" s="1"/>
  <c r="AI157" i="1" a="1"/>
  <c r="AI157" i="1" s="1"/>
  <c r="AM157" i="1" s="1"/>
  <c r="AI23" i="1" a="1"/>
  <c r="AI23" i="1" s="1"/>
  <c r="AM23" i="1" s="1"/>
  <c r="AI159" i="1" a="1"/>
  <c r="AI159" i="1" s="1"/>
  <c r="AM159" i="1" s="1"/>
  <c r="AI181" i="1" a="1"/>
  <c r="AI181" i="1" s="1"/>
  <c r="AI147" i="1" a="1"/>
  <c r="AI147" i="1" s="1"/>
  <c r="AM147" i="1" s="1"/>
  <c r="AI61" i="1" a="1"/>
  <c r="AI61" i="1" s="1"/>
  <c r="AI33" i="1" a="1"/>
  <c r="AI33" i="1" s="1"/>
  <c r="AI17" i="1" a="1"/>
  <c r="AI17" i="1" s="1"/>
  <c r="AM17" i="1" s="1"/>
  <c r="AI2" i="1" a="1"/>
  <c r="AI2" i="1" s="1"/>
  <c r="AM2" i="1" s="1"/>
  <c r="AI15" i="1" a="1"/>
  <c r="AI15" i="1" s="1"/>
  <c r="AI93" i="1" a="1"/>
  <c r="AI93" i="1" s="1"/>
  <c r="AI119" i="1" a="1"/>
  <c r="AI119" i="1" s="1"/>
  <c r="AM119" i="1" s="1"/>
  <c r="AI19" i="1" a="1"/>
  <c r="AI19" i="1" s="1"/>
  <c r="AM19" i="1" s="1"/>
  <c r="AI77" i="1" a="1"/>
  <c r="AI77" i="1" s="1"/>
  <c r="AM77" i="1" s="1"/>
  <c r="AI59" i="1" a="1"/>
  <c r="AI59" i="1" s="1"/>
  <c r="AM59" i="1" s="1"/>
  <c r="AI113" i="1" a="1"/>
  <c r="AI113" i="1" s="1"/>
  <c r="AI67" i="1" a="1"/>
  <c r="AI67" i="1" s="1"/>
  <c r="AM67" i="1" s="1"/>
  <c r="AI164" i="1" a="1"/>
  <c r="AI164" i="1" s="1"/>
  <c r="AM164" i="1" s="1"/>
  <c r="AI129" i="1" a="1"/>
  <c r="AI129" i="1" s="1"/>
  <c r="AI170" i="1" a="1"/>
  <c r="AI170" i="1" s="1"/>
  <c r="AM170" i="1" s="1"/>
  <c r="AI210" i="1" a="1"/>
  <c r="AI210" i="1" s="1"/>
  <c r="AM210" i="1" s="1"/>
  <c r="AI101" i="1" a="1"/>
  <c r="AI101" i="1" s="1"/>
  <c r="AI8" i="1" a="1"/>
  <c r="AI8" i="1" s="1"/>
  <c r="AM8" i="1" s="1"/>
  <c r="AI29" i="1" a="1"/>
  <c r="AI29" i="1" s="1"/>
  <c r="AM29" i="1" s="1"/>
  <c r="AI235" i="1" a="1"/>
  <c r="AI235" i="1" s="1"/>
  <c r="AM235" i="1" s="1"/>
  <c r="AI3" i="1" a="1"/>
  <c r="AI3" i="1" s="1"/>
  <c r="AM3" i="1" s="1"/>
  <c r="AI163" i="1" a="1"/>
  <c r="AI163" i="1" s="1"/>
  <c r="AI208" i="1" a="1"/>
  <c r="AI208" i="1" s="1"/>
  <c r="AH155" i="1"/>
  <c r="AI55" i="1" a="1"/>
  <c r="AI55" i="1" s="1"/>
  <c r="AI53" i="1" a="1"/>
  <c r="AI53" i="1" s="1"/>
  <c r="AM53" i="1" s="1"/>
  <c r="AI203" i="1" a="1"/>
  <c r="AI203" i="1" s="1"/>
  <c r="AM203" i="1" s="1"/>
  <c r="AI7" i="1" a="1"/>
  <c r="AI7" i="1" s="1"/>
  <c r="AM7" i="1" s="1"/>
  <c r="AI231" i="1" a="1"/>
  <c r="AI231" i="1" s="1"/>
  <c r="AM231" i="1" s="1"/>
  <c r="AI165" i="1" a="1"/>
  <c r="AI165" i="1" s="1"/>
  <c r="AM165" i="1" s="1"/>
  <c r="AI233" i="1" a="1"/>
  <c r="AI233" i="1" s="1"/>
  <c r="AI199" i="1" a="1"/>
  <c r="AI199" i="1" s="1"/>
  <c r="AM199" i="1" s="1"/>
  <c r="AI179" i="1" a="1"/>
  <c r="AI179" i="1" s="1"/>
  <c r="AH224" i="1"/>
  <c r="AI117" i="1" a="1"/>
  <c r="AI117" i="1" s="1"/>
  <c r="AH99" i="1"/>
  <c r="AI109" i="1" a="1"/>
  <c r="AI109" i="1" s="1"/>
  <c r="AI45" i="1" a="1"/>
  <c r="AI45" i="1" s="1"/>
  <c r="AI139" i="1" a="1"/>
  <c r="AI139" i="1" s="1"/>
  <c r="AM139" i="1" s="1"/>
  <c r="AI207" i="1" a="1"/>
  <c r="AI207" i="1" s="1"/>
  <c r="AM207" i="1" s="1"/>
  <c r="AI31" i="1" a="1"/>
  <c r="AI31" i="1" s="1"/>
  <c r="AM31" i="1" s="1"/>
  <c r="AI178" i="1" a="1"/>
  <c r="AI178" i="1" s="1"/>
  <c r="AM178" i="1" s="1"/>
  <c r="AI26" i="1" a="1"/>
  <c r="AI26" i="1" s="1"/>
  <c r="AM26" i="1" s="1"/>
  <c r="AI30" i="1" a="1"/>
  <c r="AI30" i="1" s="1"/>
  <c r="AM30" i="1" s="1"/>
  <c r="AI121" i="1" a="1"/>
  <c r="AI121" i="1" s="1"/>
  <c r="AM121" i="1" s="1"/>
  <c r="AI49" i="1" a="1"/>
  <c r="AI49" i="1" s="1"/>
  <c r="AM49" i="1" s="1"/>
  <c r="AI54" i="1" a="1"/>
  <c r="AI54" i="1" s="1"/>
  <c r="AM54" i="1" s="1"/>
  <c r="AI230" i="1" a="1"/>
  <c r="AI230" i="1" s="1"/>
  <c r="AM230" i="1" s="1"/>
  <c r="AI35" i="1" a="1"/>
  <c r="AI35" i="1" s="1"/>
  <c r="AM35" i="1" s="1"/>
  <c r="AI211" i="1" a="1"/>
  <c r="AI211" i="1" s="1"/>
  <c r="AM211" i="1" s="1"/>
  <c r="AI180" i="1" a="1"/>
  <c r="AI180" i="1" s="1"/>
  <c r="AM180" i="1" s="1"/>
  <c r="AI133" i="1" a="1"/>
  <c r="AI133" i="1" s="1"/>
  <c r="AM133" i="1" s="1"/>
  <c r="AI88" i="1" a="1"/>
  <c r="AI88" i="1" s="1"/>
  <c r="AM88" i="1" s="1"/>
  <c r="AI213" i="1" a="1"/>
  <c r="AI213" i="1" s="1"/>
  <c r="AH115" i="1"/>
  <c r="AH103" i="1"/>
  <c r="AI132" i="1" a="1"/>
  <c r="AI132" i="1" s="1"/>
  <c r="AM132" i="1" s="1"/>
  <c r="AI217" i="1" a="1"/>
  <c r="AI217" i="1" s="1"/>
  <c r="AM217" i="1" s="1"/>
  <c r="AI73" i="1" a="1"/>
  <c r="AI73" i="1" s="1"/>
  <c r="AM73" i="1" s="1"/>
  <c r="AI98" i="1" a="1"/>
  <c r="AI98" i="1" s="1"/>
  <c r="AM98" i="1" s="1"/>
  <c r="AI226" i="1" a="1"/>
  <c r="AI226" i="1" s="1"/>
  <c r="AM226" i="1" s="1"/>
  <c r="AI66" i="1" a="1"/>
  <c r="AI66" i="1" s="1"/>
  <c r="AM66" i="1" s="1"/>
  <c r="AI130" i="1" a="1"/>
  <c r="AI130" i="1" s="1"/>
  <c r="AM130" i="1" s="1"/>
  <c r="AI86" i="1" a="1"/>
  <c r="AI86" i="1" s="1"/>
  <c r="AM86" i="1" s="1"/>
  <c r="AI134" i="1" a="1"/>
  <c r="AI134" i="1" s="1"/>
  <c r="AM134" i="1" s="1"/>
  <c r="AI57" i="1" a="1"/>
  <c r="AI57" i="1" s="1"/>
  <c r="AM57" i="1" s="1"/>
  <c r="AI62" i="1" a="1"/>
  <c r="AI62" i="1" s="1"/>
  <c r="AM62" i="1" s="1"/>
  <c r="AI46" i="1" a="1"/>
  <c r="AI46" i="1" s="1"/>
  <c r="AM46" i="1" s="1"/>
  <c r="AI124" i="1" a="1"/>
  <c r="AI124" i="1" s="1"/>
  <c r="AM124" i="1" s="1"/>
  <c r="AI44" i="1" a="1"/>
  <c r="AI44" i="1" s="1"/>
  <c r="AM44" i="1" s="1"/>
  <c r="AI28" i="1" a="1"/>
  <c r="AI28" i="1" s="1"/>
  <c r="AM28" i="1" s="1"/>
  <c r="AI228" i="1" a="1"/>
  <c r="AI228" i="1" s="1"/>
  <c r="AM228" i="1" s="1"/>
  <c r="AH51" i="1"/>
  <c r="AI114" i="1" a="1"/>
  <c r="AI114" i="1" s="1"/>
  <c r="AM114" i="1" s="1"/>
  <c r="AI89" i="1" a="1"/>
  <c r="AI89" i="1" s="1"/>
  <c r="AM89" i="1" s="1"/>
  <c r="AI106" i="1" a="1"/>
  <c r="AI106" i="1" s="1"/>
  <c r="AM106" i="1" s="1"/>
  <c r="AI185" i="1" a="1"/>
  <c r="AI185" i="1" s="1"/>
  <c r="AM185" i="1" s="1"/>
  <c r="AI234" i="1" a="1"/>
  <c r="AI234" i="1" s="1"/>
  <c r="AM234" i="1" s="1"/>
  <c r="AI6" i="1" a="1"/>
  <c r="AI6" i="1" s="1"/>
  <c r="AM6" i="1" s="1"/>
  <c r="AI166" i="1" a="1"/>
  <c r="AI166" i="1" s="1"/>
  <c r="AM166" i="1" s="1"/>
  <c r="AI137" i="1" a="1"/>
  <c r="AI137" i="1" s="1"/>
  <c r="AM137" i="1" s="1"/>
  <c r="AI212" i="1" a="1"/>
  <c r="AI212" i="1" s="1"/>
  <c r="AM212" i="1" s="1"/>
  <c r="AI92" i="1" a="1"/>
  <c r="AI92" i="1" s="1"/>
  <c r="AM92" i="1" s="1"/>
  <c r="AI204" i="1" a="1"/>
  <c r="AI204" i="1" s="1"/>
  <c r="AM204" i="1" s="1"/>
  <c r="AI116" i="1" a="1"/>
  <c r="AI116" i="1" s="1"/>
  <c r="AM116" i="1" s="1"/>
  <c r="AI194" i="1" a="1"/>
  <c r="AI194" i="1" s="1"/>
  <c r="AM194" i="1" s="1"/>
  <c r="AI65" i="1" a="1"/>
  <c r="AI65" i="1" s="1"/>
  <c r="AM65" i="1" s="1"/>
  <c r="AI225" i="1" a="1"/>
  <c r="AI225" i="1" s="1"/>
  <c r="AM225" i="1" s="1"/>
  <c r="AI63" i="1" a="1"/>
  <c r="AI63" i="1" s="1"/>
  <c r="AM63" i="1" s="1"/>
  <c r="AI154" i="1" a="1"/>
  <c r="AI154" i="1" s="1"/>
  <c r="AM154" i="1" s="1"/>
  <c r="AI218" i="1" a="1"/>
  <c r="AI218" i="1" s="1"/>
  <c r="AM218" i="1" s="1"/>
  <c r="AI153" i="1" a="1"/>
  <c r="AI153" i="1" s="1"/>
  <c r="AM153" i="1" s="1"/>
  <c r="AI50" i="1" a="1"/>
  <c r="AI50" i="1" s="1"/>
  <c r="AM50" i="1" s="1"/>
  <c r="AI81" i="1" a="1"/>
  <c r="AI81" i="1" s="1"/>
  <c r="AM81" i="1" s="1"/>
  <c r="AI22" i="1" a="1"/>
  <c r="AI22" i="1" s="1"/>
  <c r="AM22" i="1" s="1"/>
  <c r="AI70" i="1" a="1"/>
  <c r="AI70" i="1" s="1"/>
  <c r="AM70" i="1" s="1"/>
  <c r="AI14" i="1" a="1"/>
  <c r="AI14" i="1" s="1"/>
  <c r="AM14" i="1" s="1"/>
  <c r="AI141" i="1" a="1"/>
  <c r="AI141" i="1" s="1"/>
  <c r="AM141" i="1" s="1"/>
  <c r="AI60" i="1" a="1"/>
  <c r="AI60" i="1" s="1"/>
  <c r="AM60" i="1" s="1"/>
  <c r="AH169" i="1"/>
  <c r="AI169" i="1" a="1"/>
  <c r="AI169" i="1" s="1"/>
  <c r="AM169" i="1" s="1"/>
  <c r="AI41" i="1" a="1"/>
  <c r="AI41" i="1" s="1"/>
  <c r="AM41" i="1" s="1"/>
  <c r="AI196" i="1" a="1"/>
  <c r="AI196" i="1" s="1"/>
  <c r="AM196" i="1" s="1"/>
  <c r="AI145" i="1" a="1"/>
  <c r="AI145" i="1" s="1"/>
  <c r="AM145" i="1" s="1"/>
  <c r="AI42" i="1" a="1"/>
  <c r="AI42" i="1" s="1"/>
  <c r="AM42" i="1" s="1"/>
  <c r="AI34" i="1" a="1"/>
  <c r="AI34" i="1" s="1"/>
  <c r="AM34" i="1" s="1"/>
  <c r="AI138" i="1" a="1"/>
  <c r="AI138" i="1" s="1"/>
  <c r="AM138" i="1" s="1"/>
  <c r="AI158" i="1" a="1"/>
  <c r="AI158" i="1" s="1"/>
  <c r="AM158" i="1" s="1"/>
  <c r="AI206" i="1" a="1"/>
  <c r="AI206" i="1" s="1"/>
  <c r="AM206" i="1" s="1"/>
  <c r="AI182" i="1" a="1"/>
  <c r="AI182" i="1" s="1"/>
  <c r="AM182" i="1" s="1"/>
  <c r="AI102" i="1" a="1"/>
  <c r="AI102" i="1" s="1"/>
  <c r="AM102" i="1" s="1"/>
  <c r="AI148" i="1" a="1"/>
  <c r="AI148" i="1" s="1"/>
  <c r="AM148" i="1" s="1"/>
  <c r="AI20" i="1" a="1"/>
  <c r="AI20" i="1" s="1"/>
  <c r="AM20" i="1" s="1"/>
  <c r="AI140" i="1" a="1"/>
  <c r="AI140" i="1" s="1"/>
  <c r="AM140" i="1" s="1"/>
  <c r="AI52" i="1" a="1"/>
  <c r="AI52" i="1" s="1"/>
  <c r="AM52" i="1" s="1"/>
  <c r="AI115" i="1" a="1"/>
  <c r="AI115" i="1" s="1"/>
  <c r="AI107" i="1" a="1"/>
  <c r="AI107" i="1" s="1"/>
  <c r="AM107" i="1" s="1"/>
  <c r="AI91" i="1" a="1"/>
  <c r="AI91" i="1" s="1"/>
  <c r="AM91" i="1" s="1"/>
  <c r="AI162" i="1" a="1"/>
  <c r="AI162" i="1" s="1"/>
  <c r="AM162" i="1" s="1"/>
  <c r="AI201" i="1" a="1"/>
  <c r="AI201" i="1" s="1"/>
  <c r="AM201" i="1" s="1"/>
  <c r="AI193" i="1" a="1"/>
  <c r="AI193" i="1" s="1"/>
  <c r="AM193" i="1" s="1"/>
  <c r="AI58" i="1" a="1"/>
  <c r="AI58" i="1" s="1"/>
  <c r="AM58" i="1" s="1"/>
  <c r="AI82" i="1" a="1"/>
  <c r="AI82" i="1" s="1"/>
  <c r="AM82" i="1" s="1"/>
  <c r="AI146" i="1" a="1"/>
  <c r="AI146" i="1" s="1"/>
  <c r="AM146" i="1" s="1"/>
  <c r="AI25" i="1" a="1"/>
  <c r="AI25" i="1" s="1"/>
  <c r="AM25" i="1" s="1"/>
  <c r="AI214" i="1" a="1"/>
  <c r="AI214" i="1" s="1"/>
  <c r="AM214" i="1" s="1"/>
  <c r="AI190" i="1" a="1"/>
  <c r="AI190" i="1" s="1"/>
  <c r="AM190" i="1" s="1"/>
  <c r="AI174" i="1" a="1"/>
  <c r="AI174" i="1" s="1"/>
  <c r="AM174" i="1" s="1"/>
  <c r="AI209" i="1" a="1"/>
  <c r="AI209" i="1" s="1"/>
  <c r="AM209" i="1" s="1"/>
  <c r="AI68" i="1" a="1"/>
  <c r="AI68" i="1" s="1"/>
  <c r="AM68" i="1" s="1"/>
  <c r="AI172" i="1" a="1"/>
  <c r="AI172" i="1" s="1"/>
  <c r="AM172" i="1" s="1"/>
  <c r="AI100" i="1" a="1"/>
  <c r="AI100" i="1" s="1"/>
  <c r="AM100" i="1" s="1"/>
  <c r="AI51" i="1" a="1"/>
  <c r="AI51" i="1" s="1"/>
  <c r="AM51" i="1" s="1"/>
  <c r="AI155" i="1" a="1"/>
  <c r="AI155" i="1" s="1"/>
  <c r="AH94" i="1"/>
  <c r="AI94" i="1" a="1"/>
  <c r="AI94" i="1" s="1"/>
  <c r="AM94" i="1" s="1"/>
  <c r="AI186" i="1" a="1"/>
  <c r="AI186" i="1" s="1"/>
  <c r="AM186" i="1" s="1"/>
  <c r="AI122" i="1" a="1"/>
  <c r="AI122" i="1" s="1"/>
  <c r="AM122" i="1" s="1"/>
  <c r="AI90" i="1" a="1"/>
  <c r="AI90" i="1" s="1"/>
  <c r="AM90" i="1" s="1"/>
  <c r="AI142" i="1" a="1"/>
  <c r="AI142" i="1" s="1"/>
  <c r="AM142" i="1" s="1"/>
  <c r="AI177" i="1" a="1"/>
  <c r="AI177" i="1" s="1"/>
  <c r="AM177" i="1" s="1"/>
  <c r="AI118" i="1" a="1"/>
  <c r="AI118" i="1" s="1"/>
  <c r="AM118" i="1" s="1"/>
  <c r="AI161" i="1" a="1"/>
  <c r="AI161" i="1" s="1"/>
  <c r="AM161" i="1" s="1"/>
  <c r="AI38" i="1" a="1"/>
  <c r="AI38" i="1" s="1"/>
  <c r="AM38" i="1" s="1"/>
  <c r="AI84" i="1" a="1"/>
  <c r="AI84" i="1" s="1"/>
  <c r="AM84" i="1" s="1"/>
  <c r="AI12" i="1" a="1"/>
  <c r="AI12" i="1" s="1"/>
  <c r="AM12" i="1" s="1"/>
  <c r="AI76" i="1" a="1"/>
  <c r="AI76" i="1" s="1"/>
  <c r="AM76" i="1" s="1"/>
  <c r="AI4" i="1" a="1"/>
  <c r="AI4" i="1" s="1"/>
  <c r="AM4" i="1" s="1"/>
  <c r="AI224" i="1" a="1"/>
  <c r="AI224" i="1" s="1"/>
  <c r="AM224" i="1" s="1"/>
  <c r="AI10" i="1" a="1"/>
  <c r="AI10" i="1" s="1"/>
  <c r="AM10" i="1" s="1"/>
  <c r="AI74" i="1" a="1"/>
  <c r="AI74" i="1" s="1"/>
  <c r="AM74" i="1" s="1"/>
  <c r="AI202" i="1" a="1"/>
  <c r="AI202" i="1" s="1"/>
  <c r="AM202" i="1" s="1"/>
  <c r="AI150" i="1" a="1"/>
  <c r="AI150" i="1" s="1"/>
  <c r="AM150" i="1" s="1"/>
  <c r="AI198" i="1" a="1"/>
  <c r="AI198" i="1" s="1"/>
  <c r="AM198" i="1" s="1"/>
  <c r="AI126" i="1" a="1"/>
  <c r="AI126" i="1" s="1"/>
  <c r="AM126" i="1" s="1"/>
  <c r="AI110" i="1" a="1"/>
  <c r="AI110" i="1" s="1"/>
  <c r="AM110" i="1" s="1"/>
  <c r="AI220" i="1" a="1"/>
  <c r="AI220" i="1" s="1"/>
  <c r="AM220" i="1" s="1"/>
  <c r="AI188" i="1" a="1"/>
  <c r="AI188" i="1" s="1"/>
  <c r="AM188" i="1" s="1"/>
  <c r="AI108" i="1" a="1"/>
  <c r="AI108" i="1" s="1"/>
  <c r="AM108" i="1" s="1"/>
  <c r="AI36" i="1" a="1"/>
  <c r="AI36" i="1" s="1"/>
  <c r="AM36" i="1" s="1"/>
  <c r="AI156" i="1" a="1"/>
  <c r="AI156" i="1" s="1"/>
  <c r="AM156" i="1" s="1"/>
  <c r="AI99" i="1" a="1"/>
  <c r="AI99" i="1" s="1"/>
  <c r="AI64" i="1" a="1"/>
  <c r="AI64" i="1" s="1"/>
  <c r="AM64" i="1" s="1"/>
  <c r="AH31" i="1"/>
  <c r="AH171" i="1"/>
  <c r="AH144" i="1"/>
  <c r="AH45" i="1"/>
  <c r="AH167" i="1"/>
  <c r="AH104" i="1"/>
  <c r="AH5" i="1"/>
  <c r="AH18" i="1"/>
  <c r="AH26" i="1"/>
  <c r="AH30" i="1"/>
  <c r="AH78" i="1"/>
  <c r="AH203" i="1"/>
  <c r="AH49" i="1"/>
  <c r="AH54" i="1"/>
  <c r="AH187" i="1"/>
  <c r="AH37" i="1"/>
  <c r="AH135" i="1"/>
  <c r="AH223" i="1"/>
  <c r="AH227" i="1"/>
  <c r="AH219" i="1"/>
  <c r="AH128" i="1"/>
  <c r="AH151" i="1"/>
  <c r="AH131" i="1"/>
  <c r="AH215" i="1"/>
  <c r="AH47" i="1"/>
  <c r="AH83" i="1"/>
  <c r="AH2" i="1"/>
  <c r="AH15" i="1"/>
  <c r="AH93" i="1"/>
  <c r="AH56" i="1"/>
  <c r="AH67" i="1"/>
  <c r="AH55" i="1"/>
  <c r="AH216" i="1"/>
  <c r="AH175" i="1"/>
  <c r="AH152" i="1"/>
  <c r="AH229" i="1"/>
  <c r="AH176" i="1"/>
  <c r="AH160" i="1"/>
  <c r="AH200" i="1"/>
  <c r="AH96" i="1"/>
  <c r="AH85" i="1"/>
  <c r="AH136" i="1"/>
  <c r="AH189" i="1"/>
  <c r="AH111" i="1"/>
  <c r="AH149" i="1"/>
  <c r="AH32" i="1"/>
  <c r="AH125" i="1"/>
  <c r="AH88" i="1"/>
  <c r="AH72" i="1"/>
  <c r="AH13" i="1"/>
  <c r="AH21" i="1"/>
  <c r="AH69" i="1"/>
  <c r="AH95" i="1"/>
  <c r="AH195" i="1"/>
  <c r="AH48" i="1"/>
  <c r="AH143" i="1"/>
  <c r="AH87" i="1"/>
  <c r="AH173" i="1"/>
  <c r="AH35" i="1"/>
  <c r="AH27" i="1"/>
  <c r="AH75" i="1"/>
  <c r="AH183" i="1"/>
  <c r="AH222" i="1"/>
  <c r="AH120" i="1"/>
  <c r="AH105" i="1"/>
  <c r="AH133" i="1"/>
  <c r="AH59" i="1"/>
  <c r="AH53" i="1"/>
  <c r="AH97" i="1"/>
  <c r="AH199" i="1"/>
  <c r="AH43" i="1"/>
  <c r="AH16" i="1"/>
  <c r="AH197" i="1"/>
  <c r="AH11" i="1"/>
  <c r="AH39" i="1"/>
  <c r="AH112" i="1"/>
  <c r="AH185" i="1"/>
  <c r="AH24" i="1"/>
  <c r="AH181" i="1"/>
  <c r="AH147" i="1"/>
  <c r="AH61" i="1"/>
  <c r="AH184" i="1"/>
  <c r="AH33" i="1"/>
  <c r="AH17" i="1"/>
  <c r="AH191" i="1"/>
  <c r="AH79" i="1"/>
  <c r="AH221" i="1"/>
  <c r="AH192" i="1"/>
  <c r="AH123" i="1"/>
  <c r="AH157" i="1"/>
  <c r="AH23" i="1"/>
  <c r="AH159" i="1"/>
  <c r="AH205" i="1"/>
  <c r="AH119" i="1"/>
  <c r="AH19" i="1"/>
  <c r="AH77" i="1"/>
  <c r="AH232" i="1"/>
  <c r="AH113" i="1"/>
  <c r="AH164" i="1"/>
  <c r="AH29" i="1"/>
  <c r="AH235" i="1"/>
  <c r="AH3" i="1"/>
  <c r="AH163" i="1"/>
  <c r="AH208" i="1"/>
  <c r="AH7" i="1"/>
  <c r="AH231" i="1"/>
  <c r="AH165" i="1"/>
  <c r="AH168" i="1"/>
  <c r="AH233" i="1"/>
  <c r="AH127" i="1"/>
  <c r="AH101" i="1"/>
  <c r="AH179" i="1"/>
  <c r="AH117" i="1"/>
  <c r="AH109" i="1"/>
  <c r="AH139" i="1"/>
  <c r="AH207" i="1"/>
  <c r="AH178" i="1"/>
  <c r="AH121" i="1"/>
  <c r="AH230" i="1"/>
  <c r="AH8" i="1"/>
  <c r="AH211" i="1"/>
  <c r="AH180" i="1"/>
  <c r="AH80" i="1"/>
  <c r="AH40" i="1"/>
  <c r="AH213" i="1"/>
  <c r="AH71" i="1"/>
  <c r="AH132" i="1"/>
  <c r="AH217" i="1"/>
  <c r="AH73" i="1"/>
  <c r="AH98" i="1"/>
  <c r="AH226" i="1"/>
  <c r="AH66" i="1"/>
  <c r="AH130" i="1"/>
  <c r="AH86" i="1"/>
  <c r="AH134" i="1"/>
  <c r="AH57" i="1"/>
  <c r="AH62" i="1"/>
  <c r="AH46" i="1"/>
  <c r="AH124" i="1"/>
  <c r="AH44" i="1"/>
  <c r="AH28" i="1"/>
  <c r="AH228" i="1"/>
  <c r="AH194" i="1"/>
  <c r="AH114" i="1"/>
  <c r="AH89" i="1"/>
  <c r="AH106" i="1"/>
  <c r="AH234" i="1"/>
  <c r="AH6" i="1"/>
  <c r="AH166" i="1"/>
  <c r="AH137" i="1"/>
  <c r="AH212" i="1"/>
  <c r="AH92" i="1"/>
  <c r="AH204" i="1"/>
  <c r="AH116" i="1"/>
  <c r="AH65" i="1"/>
  <c r="AH225" i="1"/>
  <c r="AH63" i="1"/>
  <c r="AH154" i="1"/>
  <c r="AH218" i="1"/>
  <c r="AH153" i="1"/>
  <c r="AH50" i="1"/>
  <c r="AH81" i="1"/>
  <c r="AH22" i="1"/>
  <c r="AH70" i="1"/>
  <c r="AH14" i="1"/>
  <c r="AH141" i="1"/>
  <c r="AH60" i="1"/>
  <c r="AH41" i="1"/>
  <c r="AH196" i="1"/>
  <c r="AH145" i="1"/>
  <c r="AH42" i="1"/>
  <c r="AH34" i="1"/>
  <c r="AH138" i="1"/>
  <c r="AH158" i="1"/>
  <c r="AH206" i="1"/>
  <c r="AH182" i="1"/>
  <c r="AH102" i="1"/>
  <c r="AH148" i="1"/>
  <c r="AH20" i="1"/>
  <c r="AH140" i="1"/>
  <c r="AH52" i="1"/>
  <c r="AH162" i="1"/>
  <c r="AH201" i="1"/>
  <c r="AH193" i="1"/>
  <c r="AH58" i="1"/>
  <c r="AH82" i="1"/>
  <c r="AH146" i="1"/>
  <c r="AH25" i="1"/>
  <c r="AH214" i="1"/>
  <c r="AH190" i="1"/>
  <c r="AH174" i="1"/>
  <c r="AH209" i="1"/>
  <c r="AH68" i="1"/>
  <c r="AH172" i="1"/>
  <c r="AH100" i="1"/>
  <c r="AH186" i="1"/>
  <c r="AH122" i="1"/>
  <c r="AH90" i="1"/>
  <c r="AH142" i="1"/>
  <c r="AH177" i="1"/>
  <c r="AH118" i="1"/>
  <c r="AH161" i="1"/>
  <c r="AH38" i="1"/>
  <c r="AH84" i="1"/>
  <c r="AH12" i="1"/>
  <c r="AH76" i="1"/>
  <c r="AH4" i="1"/>
  <c r="AH9" i="1"/>
  <c r="AH129" i="1"/>
  <c r="AH170" i="1"/>
  <c r="AH10" i="1"/>
  <c r="AH74" i="1"/>
  <c r="AH210" i="1"/>
  <c r="AH202" i="1"/>
  <c r="AH150" i="1"/>
  <c r="AH198" i="1"/>
  <c r="AH126" i="1"/>
  <c r="AH110" i="1"/>
  <c r="AH220" i="1"/>
  <c r="AH188" i="1"/>
  <c r="AH108" i="1"/>
  <c r="AH36" i="1"/>
  <c r="AH156" i="1"/>
  <c r="AK2" i="1" l="1"/>
  <c r="AL2" i="1"/>
  <c r="AK115" i="1"/>
  <c r="AM115" i="1"/>
  <c r="AK113" i="1"/>
  <c r="AM113" i="1"/>
  <c r="AK99" i="1"/>
  <c r="AM99" i="1"/>
  <c r="AK33" i="1"/>
  <c r="AM33" i="1"/>
  <c r="AK229" i="1"/>
  <c r="AM229" i="1"/>
  <c r="AK152" i="1"/>
  <c r="AM152" i="1"/>
  <c r="AK179" i="1"/>
  <c r="AM179" i="1"/>
  <c r="AK55" i="1"/>
  <c r="AM55" i="1"/>
  <c r="AK101" i="1"/>
  <c r="AM101" i="1"/>
  <c r="AK61" i="1"/>
  <c r="AM61" i="1"/>
  <c r="AK175" i="1"/>
  <c r="AM175" i="1"/>
  <c r="AK215" i="1"/>
  <c r="AM215" i="1"/>
  <c r="AK195" i="1"/>
  <c r="AM195" i="1"/>
  <c r="AK117" i="1"/>
  <c r="AM117" i="1"/>
  <c r="AK39" i="1"/>
  <c r="AM39" i="1"/>
  <c r="AK233" i="1"/>
  <c r="AM233" i="1"/>
  <c r="AK208" i="1"/>
  <c r="AM208" i="1"/>
  <c r="AK181" i="1"/>
  <c r="AM181" i="1"/>
  <c r="AK83" i="1"/>
  <c r="AM83" i="1"/>
  <c r="AK155" i="1"/>
  <c r="AM155" i="1"/>
  <c r="AK213" i="1"/>
  <c r="AM213" i="1"/>
  <c r="AK45" i="1"/>
  <c r="AM45" i="1"/>
  <c r="AK163" i="1"/>
  <c r="AM163" i="1"/>
  <c r="AK129" i="1"/>
  <c r="AM129" i="1"/>
  <c r="AK93" i="1"/>
  <c r="AM93" i="1"/>
  <c r="AK109" i="1"/>
  <c r="AM109" i="1"/>
  <c r="AK15" i="1"/>
  <c r="AM15" i="1"/>
  <c r="AK164" i="1"/>
  <c r="AK47" i="1"/>
  <c r="AL47" i="1"/>
  <c r="AK104" i="1"/>
  <c r="AL104" i="1"/>
  <c r="AK127" i="1"/>
  <c r="AL127" i="1"/>
  <c r="AK151" i="1"/>
  <c r="AL151" i="1"/>
  <c r="AK103" i="1"/>
  <c r="AL103" i="1"/>
  <c r="AK79" i="1"/>
  <c r="AL79" i="1"/>
  <c r="AK205" i="1"/>
  <c r="AL205" i="1"/>
  <c r="AK187" i="1"/>
  <c r="AL187" i="1"/>
  <c r="AK173" i="1"/>
  <c r="AL173" i="1"/>
  <c r="AK40" i="1"/>
  <c r="AL40" i="1"/>
  <c r="AK227" i="1"/>
  <c r="AL227" i="1"/>
  <c r="AK219" i="1"/>
  <c r="AL219" i="1"/>
  <c r="AK71" i="1"/>
  <c r="AK149" i="1"/>
  <c r="AL149" i="1"/>
  <c r="AK171" i="1"/>
  <c r="AL171" i="1"/>
  <c r="AK144" i="1"/>
  <c r="AL144" i="1"/>
  <c r="AK13" i="1"/>
  <c r="AL13" i="1"/>
  <c r="AK80" i="1"/>
  <c r="AL80" i="1"/>
  <c r="AK216" i="1"/>
  <c r="AL216" i="1"/>
  <c r="AK5" i="1"/>
  <c r="AL5" i="1"/>
  <c r="AK232" i="1"/>
  <c r="AL232" i="1"/>
  <c r="AK87" i="1"/>
  <c r="AL87" i="1"/>
  <c r="AK135" i="1"/>
  <c r="AL135" i="1"/>
  <c r="AK95" i="1"/>
  <c r="AL95" i="1"/>
  <c r="AK37" i="1"/>
  <c r="AL37" i="1"/>
  <c r="AK21" i="1"/>
  <c r="AL21" i="1"/>
  <c r="AK176" i="1"/>
  <c r="AL176" i="1"/>
  <c r="AK72" i="1"/>
  <c r="AL72" i="1"/>
  <c r="AK131" i="1"/>
  <c r="AL131" i="1"/>
  <c r="AK223" i="1"/>
  <c r="AL223" i="1"/>
  <c r="AK128" i="1"/>
  <c r="AL128" i="1"/>
  <c r="AK200" i="1"/>
  <c r="AK48" i="1"/>
  <c r="AK167" i="1"/>
  <c r="AK110" i="1"/>
  <c r="AK56" i="1"/>
  <c r="AK118" i="1"/>
  <c r="AK209" i="1"/>
  <c r="AK193" i="1"/>
  <c r="AK32" i="1"/>
  <c r="AK17" i="1"/>
  <c r="AK141" i="1"/>
  <c r="AK154" i="1"/>
  <c r="AK212" i="1"/>
  <c r="AK114" i="1"/>
  <c r="AK46" i="1"/>
  <c r="AK98" i="1"/>
  <c r="AK231" i="1"/>
  <c r="AK123" i="1"/>
  <c r="AK111" i="1"/>
  <c r="AK30" i="1"/>
  <c r="AK180" i="1"/>
  <c r="AK31" i="1"/>
  <c r="AK184" i="1"/>
  <c r="AK96" i="1"/>
  <c r="AK160" i="1"/>
  <c r="AK75" i="1"/>
  <c r="AK18" i="1"/>
  <c r="AK102" i="1"/>
  <c r="AK126" i="1"/>
  <c r="AK177" i="1"/>
  <c r="AK174" i="1"/>
  <c r="AK201" i="1"/>
  <c r="AK182" i="1"/>
  <c r="AK42" i="1"/>
  <c r="AK14" i="1"/>
  <c r="AK63" i="1"/>
  <c r="AK125" i="1"/>
  <c r="AK137" i="1"/>
  <c r="AK62" i="1"/>
  <c r="AK73" i="1"/>
  <c r="AK91" i="1"/>
  <c r="AK203" i="1"/>
  <c r="AK133" i="1"/>
  <c r="AK120" i="1"/>
  <c r="AK147" i="1"/>
  <c r="AK189" i="1"/>
  <c r="AK211" i="1"/>
  <c r="AK198" i="1"/>
  <c r="AK9" i="1"/>
  <c r="AK4" i="1"/>
  <c r="AK142" i="1"/>
  <c r="AK190" i="1"/>
  <c r="AK105" i="1"/>
  <c r="AK145" i="1"/>
  <c r="AK70" i="1"/>
  <c r="AK166" i="1"/>
  <c r="AK78" i="1"/>
  <c r="AK64" i="1"/>
  <c r="AK57" i="1"/>
  <c r="AK217" i="1"/>
  <c r="AK194" i="1"/>
  <c r="AK53" i="1"/>
  <c r="AK77" i="1"/>
  <c r="AK222" i="1"/>
  <c r="AK24" i="1"/>
  <c r="AK136" i="1"/>
  <c r="AK178" i="1"/>
  <c r="AK8" i="1"/>
  <c r="AK59" i="1"/>
  <c r="AK51" i="1"/>
  <c r="AK156" i="1"/>
  <c r="AK150" i="1"/>
  <c r="AK76" i="1"/>
  <c r="AK90" i="1"/>
  <c r="AK214" i="1"/>
  <c r="AK52" i="1"/>
  <c r="AK206" i="1"/>
  <c r="AK22" i="1"/>
  <c r="AK225" i="1"/>
  <c r="AK6" i="1"/>
  <c r="AK134" i="1"/>
  <c r="AK132" i="1"/>
  <c r="AK3" i="1"/>
  <c r="AK119" i="1"/>
  <c r="AK192" i="1"/>
  <c r="AK143" i="1"/>
  <c r="AK88" i="1"/>
  <c r="AK85" i="1"/>
  <c r="AK207" i="1"/>
  <c r="AK230" i="1"/>
  <c r="AK165" i="1"/>
  <c r="AK36" i="1"/>
  <c r="AK202" i="1"/>
  <c r="AK107" i="1"/>
  <c r="AK12" i="1"/>
  <c r="AK122" i="1"/>
  <c r="AK25" i="1"/>
  <c r="AK162" i="1"/>
  <c r="AK140" i="1"/>
  <c r="AK158" i="1"/>
  <c r="AK196" i="1"/>
  <c r="AK81" i="1"/>
  <c r="AK234" i="1"/>
  <c r="AK228" i="1"/>
  <c r="AK86" i="1"/>
  <c r="AK210" i="1"/>
  <c r="AK235" i="1"/>
  <c r="AK183" i="1"/>
  <c r="AK16" i="1"/>
  <c r="AK49" i="1"/>
  <c r="AK19" i="1"/>
  <c r="AK169" i="1"/>
  <c r="AK108" i="1"/>
  <c r="AK74" i="1"/>
  <c r="AK84" i="1"/>
  <c r="AK186" i="1"/>
  <c r="AK100" i="1"/>
  <c r="AK146" i="1"/>
  <c r="AK20" i="1"/>
  <c r="AK27" i="1"/>
  <c r="AK50" i="1"/>
  <c r="AK65" i="1"/>
  <c r="AK116" i="1"/>
  <c r="AK185" i="1"/>
  <c r="AK28" i="1"/>
  <c r="AK130" i="1"/>
  <c r="AK170" i="1"/>
  <c r="AK29" i="1"/>
  <c r="AK159" i="1"/>
  <c r="AK221" i="1"/>
  <c r="AK112" i="1"/>
  <c r="AK43" i="1"/>
  <c r="AK121" i="1"/>
  <c r="AK224" i="1"/>
  <c r="AK188" i="1"/>
  <c r="AK10" i="1"/>
  <c r="AK38" i="1"/>
  <c r="AK172" i="1"/>
  <c r="AK82" i="1"/>
  <c r="AK148" i="1"/>
  <c r="AK138" i="1"/>
  <c r="AK41" i="1"/>
  <c r="AK60" i="1"/>
  <c r="AK153" i="1"/>
  <c r="AK204" i="1"/>
  <c r="AK106" i="1"/>
  <c r="AK44" i="1"/>
  <c r="AK66" i="1"/>
  <c r="AK199" i="1"/>
  <c r="AK94" i="1"/>
  <c r="AK23" i="1"/>
  <c r="AK191" i="1"/>
  <c r="AK11" i="1"/>
  <c r="AK35" i="1"/>
  <c r="AK139" i="1"/>
  <c r="AK7" i="1"/>
  <c r="AK220" i="1"/>
  <c r="AK97" i="1"/>
  <c r="AK161" i="1"/>
  <c r="AK68" i="1"/>
  <c r="AK58" i="1"/>
  <c r="AK69" i="1"/>
  <c r="AK34" i="1"/>
  <c r="AK218" i="1"/>
  <c r="AK92" i="1"/>
  <c r="AK89" i="1"/>
  <c r="AK124" i="1"/>
  <c r="AK226" i="1"/>
  <c r="AK168" i="1"/>
  <c r="AK67" i="1"/>
  <c r="AK157" i="1"/>
  <c r="AK197" i="1"/>
  <c r="AK54" i="1"/>
  <c r="AK26" i="1"/>
  <c r="AT2" i="1" l="1"/>
  <c r="AT9" i="1" l="1"/>
  <c r="AT7" i="1"/>
  <c r="AT8" i="1"/>
  <c r="AT5" i="1"/>
  <c r="AT6" i="1"/>
  <c r="AT4" i="1"/>
  <c r="AT3" i="1"/>
  <c r="AT17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<sst xmlns="http://schemas.openxmlformats.org/spreadsheetml/2006/main" count="1346" uniqueCount="81">
  <si>
    <t>Robi</t>
  </si>
  <si>
    <t>City</t>
  </si>
  <si>
    <t>Bat</t>
  </si>
  <si>
    <t>Spcl</t>
  </si>
  <si>
    <t>Rahima Fod</t>
  </si>
  <si>
    <t>#</t>
  </si>
  <si>
    <t>DATE</t>
  </si>
  <si>
    <t>TRADING CODE</t>
  </si>
  <si>
    <t>LTP*</t>
  </si>
  <si>
    <t>HIGH</t>
  </si>
  <si>
    <t>LOW</t>
  </si>
  <si>
    <t>OPENP*</t>
  </si>
  <si>
    <t>CLOSEP*</t>
  </si>
  <si>
    <t>YCP</t>
  </si>
  <si>
    <t>TRADE</t>
  </si>
  <si>
    <t>VALUE (mn)</t>
  </si>
  <si>
    <t>VOLUME</t>
  </si>
  <si>
    <t>ROBI</t>
  </si>
  <si>
    <t>CITYBANK</t>
  </si>
  <si>
    <t>BATBC</t>
  </si>
  <si>
    <t>SPCL</t>
  </si>
  <si>
    <t>RAHIMAFOOD</t>
  </si>
  <si>
    <t>Return A</t>
  </si>
  <si>
    <t>Return B</t>
  </si>
  <si>
    <t>Return C</t>
  </si>
  <si>
    <t>Return D</t>
  </si>
  <si>
    <t>Return E</t>
  </si>
  <si>
    <t>A</t>
  </si>
  <si>
    <t>B</t>
  </si>
  <si>
    <t>C</t>
  </si>
  <si>
    <t>D</t>
  </si>
  <si>
    <t>E</t>
  </si>
  <si>
    <t>Long Term</t>
  </si>
  <si>
    <t>WA</t>
  </si>
  <si>
    <t>WB</t>
  </si>
  <si>
    <t>WC</t>
  </si>
  <si>
    <t>WD</t>
  </si>
  <si>
    <t>WE</t>
  </si>
  <si>
    <t>Total Weight</t>
  </si>
  <si>
    <t>Real WA</t>
  </si>
  <si>
    <t>Real WB</t>
  </si>
  <si>
    <t>Real WC</t>
  </si>
  <si>
    <t>Real WD</t>
  </si>
  <si>
    <t>Real WE</t>
  </si>
  <si>
    <t>Effective Weight</t>
  </si>
  <si>
    <t>Portfolio Variance</t>
  </si>
  <si>
    <t>Portfolio Return</t>
  </si>
  <si>
    <t>Sharpe Ratio</t>
  </si>
  <si>
    <t xml:space="preserve">Max Sharpe Ratio </t>
  </si>
  <si>
    <t xml:space="preserve">Max Portfolio Return </t>
  </si>
  <si>
    <t>Max Portfolio Variance</t>
  </si>
  <si>
    <t>Weight A</t>
  </si>
  <si>
    <t>Weight B</t>
  </si>
  <si>
    <t>Weight C</t>
  </si>
  <si>
    <t>Weight D</t>
  </si>
  <si>
    <t>Weight E</t>
  </si>
  <si>
    <t>Risk Free Rate</t>
  </si>
  <si>
    <t>Test 1</t>
  </si>
  <si>
    <t>Test 2</t>
  </si>
  <si>
    <t>Test 3</t>
  </si>
  <si>
    <t>Annualizing</t>
  </si>
  <si>
    <t>Annualized Return</t>
  </si>
  <si>
    <t>Risk Premium</t>
  </si>
  <si>
    <t>Annualized Variance</t>
  </si>
  <si>
    <t>Investment Theory (Fin435)</t>
  </si>
  <si>
    <t>Fall 2025</t>
  </si>
  <si>
    <t>Group Project Report on "Portfolio Optimization for Both DSE and Foreign Stocks"</t>
  </si>
  <si>
    <t>Submitted to:</t>
  </si>
  <si>
    <t>Hasan Mohammad Sami (HAS)</t>
  </si>
  <si>
    <t xml:space="preserve">Lecturer, </t>
  </si>
  <si>
    <t>Department of Accounting and Finance</t>
  </si>
  <si>
    <t>North South University</t>
  </si>
  <si>
    <t>Section: 1</t>
  </si>
  <si>
    <t>Submitted by:</t>
  </si>
  <si>
    <t>No.</t>
  </si>
  <si>
    <t>Name</t>
  </si>
  <si>
    <t>ID</t>
  </si>
  <si>
    <t>AKM. Shadaf Hossain</t>
  </si>
  <si>
    <t>Tahmina Akter Shammi</t>
  </si>
  <si>
    <t>Faiaz Ahmed Nafiz</t>
  </si>
  <si>
    <t>MD. Siddiqur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</si>
</sst>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rgb="FF212529"/>
      <name val="Arial"/>
      <family val="2"/>
    </font>
    <font>
      <sz val="11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14" fontId="0" fillId="0" borderId="1" xfId="0" applyNumberFormat="1" applyBorder="1"/>
    <xf numFmtId="3" fontId="0" fillId="0" borderId="1" xfId="0" applyNumberFormat="1" applyBorder="1"/>
    <xf numFmtId="0" fontId="4" fillId="4" borderId="0" xfId="0" applyFont="1" applyFill="1" applyAlignment="1">
      <alignment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3" fillId="2" borderId="1" xfId="0" applyFont="1" applyFill="1" applyBorder="1" applyAlignment="1">
      <alignment horizontal="right" vertical="center" wrapText="1"/>
    </xf>
    <xf numFmtId="0" fontId="12" fillId="0" borderId="1" xfId="0" applyFont="1" applyBorder="1"/>
    <xf numFmtId="10" fontId="12" fillId="0" borderId="0" xfId="0" applyNumberFormat="1" applyFont="1"/>
    <xf numFmtId="0" fontId="9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714376</xdr:colOff>
      <xdr:row>2</xdr:row>
      <xdr:rowOff>9526</xdr:rowOff>
    </xdr:from>
    <xdr:to>
      <xdr:col>2</xdr:col>
      <xdr:colOff>2590801</xdr:colOff>
      <xdr:row>7</xdr:row>
      <xdr:rowOff>85726</xdr:rowOff>
    </xdr:to>
    <xdr:pic>
      <xdr:nvPicPr>
        <xdr:cNvPr id="2" name="Picture 20" descr="FIN 254 | bushraatnsu">
          <a:extLst>
            <a:ext uri="{FF2B5EF4-FFF2-40B4-BE49-F238E27FC236}">
              <a16:creationId xmlns:a16="http://schemas.microsoft.com/office/drawing/2014/main" id="{08F296DF-4781-421C-89F0-552B11E29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466726"/>
          <a:ext cx="573405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26</xdr:row>
      <xdr:rowOff>38100</xdr:rowOff>
    </xdr:from>
    <xdr:to>
      <xdr:col>2</xdr:col>
      <xdr:colOff>2562225</xdr:colOff>
      <xdr:row>27</xdr:row>
      <xdr:rowOff>206916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BF19F19-66BB-453D-A277-0C088478A0A9}"/>
            </a:ext>
          </a:extLst>
        </xdr:cNvPr>
        <xdr:cNvSpPr txBox="1">
          <a:spLocks noChangeArrowheads="1"/>
        </xdr:cNvSpPr>
      </xdr:nvSpPr>
      <xdr:spPr bwMode="auto">
        <a:xfrm>
          <a:off x="104775" y="5524500"/>
          <a:ext cx="6315075" cy="397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800"/>
            </a:spcAft>
          </a:pPr>
          <a:r>
            <a:rPr lang="en-US" sz="1800" b="1" kern="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Date of Submission: 29</a:t>
          </a:r>
          <a:r>
            <a:rPr lang="en-US" sz="1800" b="1" kern="100" baseline="30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th</a:t>
          </a:r>
          <a:r>
            <a:rPr lang="en-US" sz="1800" b="1" kern="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December, 2025</a:t>
          </a:r>
          <a:endParaRPr lang="en-US" sz="1200" kern="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sebd.org/displayCompany.php?name=CITYBANK" TargetMode="External"/><Relationship Id="rId21" Type="http://schemas.openxmlformats.org/officeDocument/2006/relationships/hyperlink" Target="https://www.dsebd.org/displayCompany.php?name=CITYBANK" TargetMode="External"/><Relationship Id="rId42" Type="http://schemas.openxmlformats.org/officeDocument/2006/relationships/hyperlink" Target="https://www.dsebd.org/displayCompany.php?name=CITYBANK" TargetMode="External"/><Relationship Id="rId63" Type="http://schemas.openxmlformats.org/officeDocument/2006/relationships/hyperlink" Target="https://www.dsebd.org/displayCompany.php?name=CITYBANK" TargetMode="External"/><Relationship Id="rId84" Type="http://schemas.openxmlformats.org/officeDocument/2006/relationships/hyperlink" Target="https://www.dsebd.org/displayCompany.php?name=CITYBANK" TargetMode="External"/><Relationship Id="rId138" Type="http://schemas.openxmlformats.org/officeDocument/2006/relationships/hyperlink" Target="https://www.dsebd.org/displayCompany.php?name=CITYBANK" TargetMode="External"/><Relationship Id="rId159" Type="http://schemas.openxmlformats.org/officeDocument/2006/relationships/hyperlink" Target="https://www.dsebd.org/displayCompany.php?name=CITYBANK" TargetMode="External"/><Relationship Id="rId170" Type="http://schemas.openxmlformats.org/officeDocument/2006/relationships/hyperlink" Target="https://www.dsebd.org/displayCompany.php?name=CITYBANK" TargetMode="External"/><Relationship Id="rId191" Type="http://schemas.openxmlformats.org/officeDocument/2006/relationships/hyperlink" Target="https://www.dsebd.org/displayCompany.php?name=CITYBANK" TargetMode="External"/><Relationship Id="rId205" Type="http://schemas.openxmlformats.org/officeDocument/2006/relationships/hyperlink" Target="https://www.dsebd.org/displayCompany.php?name=CITYBANK" TargetMode="External"/><Relationship Id="rId226" Type="http://schemas.openxmlformats.org/officeDocument/2006/relationships/hyperlink" Target="https://www.dsebd.org/displayCompany.php?name=CITYBANK" TargetMode="External"/><Relationship Id="rId107" Type="http://schemas.openxmlformats.org/officeDocument/2006/relationships/hyperlink" Target="https://www.dsebd.org/displayCompany.php?name=CITYBANK" TargetMode="External"/><Relationship Id="rId11" Type="http://schemas.openxmlformats.org/officeDocument/2006/relationships/hyperlink" Target="https://www.dsebd.org/displayCompany.php?name=CITYBANK" TargetMode="External"/><Relationship Id="rId32" Type="http://schemas.openxmlformats.org/officeDocument/2006/relationships/hyperlink" Target="https://www.dsebd.org/displayCompany.php?name=CITYBANK" TargetMode="External"/><Relationship Id="rId53" Type="http://schemas.openxmlformats.org/officeDocument/2006/relationships/hyperlink" Target="https://www.dsebd.org/displayCompany.php?name=CITYBANK" TargetMode="External"/><Relationship Id="rId74" Type="http://schemas.openxmlformats.org/officeDocument/2006/relationships/hyperlink" Target="https://www.dsebd.org/displayCompany.php?name=CITYBANK" TargetMode="External"/><Relationship Id="rId128" Type="http://schemas.openxmlformats.org/officeDocument/2006/relationships/hyperlink" Target="https://www.dsebd.org/displayCompany.php?name=CITYBANK" TargetMode="External"/><Relationship Id="rId149" Type="http://schemas.openxmlformats.org/officeDocument/2006/relationships/hyperlink" Target="https://www.dsebd.org/displayCompany.php?name=CITYBANK" TargetMode="External"/><Relationship Id="rId5" Type="http://schemas.openxmlformats.org/officeDocument/2006/relationships/hyperlink" Target="https://www.dsebd.org/displayCompany.php?name=CITYBANK" TargetMode="External"/><Relationship Id="rId95" Type="http://schemas.openxmlformats.org/officeDocument/2006/relationships/hyperlink" Target="https://www.dsebd.org/displayCompany.php?name=CITYBANK" TargetMode="External"/><Relationship Id="rId160" Type="http://schemas.openxmlformats.org/officeDocument/2006/relationships/hyperlink" Target="https://www.dsebd.org/displayCompany.php?name=CITYBANK" TargetMode="External"/><Relationship Id="rId181" Type="http://schemas.openxmlformats.org/officeDocument/2006/relationships/hyperlink" Target="https://www.dsebd.org/displayCompany.php?name=CITYBANK" TargetMode="External"/><Relationship Id="rId216" Type="http://schemas.openxmlformats.org/officeDocument/2006/relationships/hyperlink" Target="https://www.dsebd.org/displayCompany.php?name=CITYBANK" TargetMode="External"/><Relationship Id="rId237" Type="http://schemas.openxmlformats.org/officeDocument/2006/relationships/hyperlink" Target="https://www.dsebd.org/displayCompany.php?name=CITYBANK" TargetMode="External"/><Relationship Id="rId22" Type="http://schemas.openxmlformats.org/officeDocument/2006/relationships/hyperlink" Target="https://www.dsebd.org/displayCompany.php?name=CITYBANK" TargetMode="External"/><Relationship Id="rId43" Type="http://schemas.openxmlformats.org/officeDocument/2006/relationships/hyperlink" Target="https://www.dsebd.org/displayCompany.php?name=CITYBANK" TargetMode="External"/><Relationship Id="rId64" Type="http://schemas.openxmlformats.org/officeDocument/2006/relationships/hyperlink" Target="https://www.dsebd.org/displayCompany.php?name=CITYBANK" TargetMode="External"/><Relationship Id="rId118" Type="http://schemas.openxmlformats.org/officeDocument/2006/relationships/hyperlink" Target="https://www.dsebd.org/displayCompany.php?name=CITYBANK" TargetMode="External"/><Relationship Id="rId139" Type="http://schemas.openxmlformats.org/officeDocument/2006/relationships/hyperlink" Target="https://www.dsebd.org/displayCompany.php?name=CITYBANK" TargetMode="External"/><Relationship Id="rId85" Type="http://schemas.openxmlformats.org/officeDocument/2006/relationships/hyperlink" Target="https://www.dsebd.org/displayCompany.php?name=CITYBANK" TargetMode="External"/><Relationship Id="rId150" Type="http://schemas.openxmlformats.org/officeDocument/2006/relationships/hyperlink" Target="https://www.dsebd.org/displayCompany.php?name=CITYBANK" TargetMode="External"/><Relationship Id="rId171" Type="http://schemas.openxmlformats.org/officeDocument/2006/relationships/hyperlink" Target="https://www.dsebd.org/displayCompany.php?name=CITYBANK" TargetMode="External"/><Relationship Id="rId192" Type="http://schemas.openxmlformats.org/officeDocument/2006/relationships/hyperlink" Target="https://www.dsebd.org/displayCompany.php?name=CITYBANK" TargetMode="External"/><Relationship Id="rId206" Type="http://schemas.openxmlformats.org/officeDocument/2006/relationships/hyperlink" Target="https://www.dsebd.org/displayCompany.php?name=CITYBANK" TargetMode="External"/><Relationship Id="rId227" Type="http://schemas.openxmlformats.org/officeDocument/2006/relationships/hyperlink" Target="https://www.dsebd.org/displayCompany.php?name=CITYBANK" TargetMode="External"/><Relationship Id="rId12" Type="http://schemas.openxmlformats.org/officeDocument/2006/relationships/hyperlink" Target="https://www.dsebd.org/displayCompany.php?name=CITYBANK" TargetMode="External"/><Relationship Id="rId33" Type="http://schemas.openxmlformats.org/officeDocument/2006/relationships/hyperlink" Target="https://www.dsebd.org/displayCompany.php?name=CITYBANK" TargetMode="External"/><Relationship Id="rId108" Type="http://schemas.openxmlformats.org/officeDocument/2006/relationships/hyperlink" Target="https://www.dsebd.org/displayCompany.php?name=CITYBANK" TargetMode="External"/><Relationship Id="rId129" Type="http://schemas.openxmlformats.org/officeDocument/2006/relationships/hyperlink" Target="https://www.dsebd.org/displayCompany.php?name=CITYBANK" TargetMode="External"/><Relationship Id="rId54" Type="http://schemas.openxmlformats.org/officeDocument/2006/relationships/hyperlink" Target="https://www.dsebd.org/displayCompany.php?name=CITYBANK" TargetMode="External"/><Relationship Id="rId75" Type="http://schemas.openxmlformats.org/officeDocument/2006/relationships/hyperlink" Target="https://www.dsebd.org/displayCompany.php?name=CITYBANK" TargetMode="External"/><Relationship Id="rId96" Type="http://schemas.openxmlformats.org/officeDocument/2006/relationships/hyperlink" Target="https://www.dsebd.org/displayCompany.php?name=CITYBANK" TargetMode="External"/><Relationship Id="rId140" Type="http://schemas.openxmlformats.org/officeDocument/2006/relationships/hyperlink" Target="https://www.dsebd.org/displayCompany.php?name=CITYBANK" TargetMode="External"/><Relationship Id="rId161" Type="http://schemas.openxmlformats.org/officeDocument/2006/relationships/hyperlink" Target="https://www.dsebd.org/displayCompany.php?name=CITYBANK" TargetMode="External"/><Relationship Id="rId182" Type="http://schemas.openxmlformats.org/officeDocument/2006/relationships/hyperlink" Target="https://www.dsebd.org/displayCompany.php?name=CITYBANK" TargetMode="External"/><Relationship Id="rId217" Type="http://schemas.openxmlformats.org/officeDocument/2006/relationships/hyperlink" Target="https://www.dsebd.org/displayCompany.php?name=CITYBANK" TargetMode="External"/><Relationship Id="rId6" Type="http://schemas.openxmlformats.org/officeDocument/2006/relationships/hyperlink" Target="https://www.dsebd.org/displayCompany.php?name=CITYBANK" TargetMode="External"/><Relationship Id="rId238" Type="http://schemas.openxmlformats.org/officeDocument/2006/relationships/hyperlink" Target="https://www.dsebd.org/displayCompany.php?name=CITYBANK" TargetMode="External"/><Relationship Id="rId23" Type="http://schemas.openxmlformats.org/officeDocument/2006/relationships/hyperlink" Target="https://www.dsebd.org/displayCompany.php?name=CITYBANK" TargetMode="External"/><Relationship Id="rId119" Type="http://schemas.openxmlformats.org/officeDocument/2006/relationships/hyperlink" Target="https://www.dsebd.org/displayCompany.php?name=CITYBANK" TargetMode="External"/><Relationship Id="rId44" Type="http://schemas.openxmlformats.org/officeDocument/2006/relationships/hyperlink" Target="https://www.dsebd.org/displayCompany.php?name=CITYBANK" TargetMode="External"/><Relationship Id="rId65" Type="http://schemas.openxmlformats.org/officeDocument/2006/relationships/hyperlink" Target="https://www.dsebd.org/displayCompany.php?name=CITYBANK" TargetMode="External"/><Relationship Id="rId86" Type="http://schemas.openxmlformats.org/officeDocument/2006/relationships/hyperlink" Target="https://www.dsebd.org/displayCompany.php?name=CITYBANK" TargetMode="External"/><Relationship Id="rId130" Type="http://schemas.openxmlformats.org/officeDocument/2006/relationships/hyperlink" Target="https://www.dsebd.org/displayCompany.php?name=CITYBANK" TargetMode="External"/><Relationship Id="rId151" Type="http://schemas.openxmlformats.org/officeDocument/2006/relationships/hyperlink" Target="https://www.dsebd.org/displayCompany.php?name=CITYBANK" TargetMode="External"/><Relationship Id="rId172" Type="http://schemas.openxmlformats.org/officeDocument/2006/relationships/hyperlink" Target="https://www.dsebd.org/displayCompany.php?name=CITYBANK" TargetMode="External"/><Relationship Id="rId193" Type="http://schemas.openxmlformats.org/officeDocument/2006/relationships/hyperlink" Target="https://www.dsebd.org/displayCompany.php?name=CITYBANK" TargetMode="External"/><Relationship Id="rId207" Type="http://schemas.openxmlformats.org/officeDocument/2006/relationships/hyperlink" Target="https://www.dsebd.org/displayCompany.php?name=CITYBANK" TargetMode="External"/><Relationship Id="rId228" Type="http://schemas.openxmlformats.org/officeDocument/2006/relationships/hyperlink" Target="https://www.dsebd.org/displayCompany.php?name=CITYBANK" TargetMode="External"/><Relationship Id="rId13" Type="http://schemas.openxmlformats.org/officeDocument/2006/relationships/hyperlink" Target="https://www.dsebd.org/displayCompany.php?name=CITYBANK" TargetMode="External"/><Relationship Id="rId109" Type="http://schemas.openxmlformats.org/officeDocument/2006/relationships/hyperlink" Target="https://www.dsebd.org/displayCompany.php?name=CITYBANK" TargetMode="External"/><Relationship Id="rId34" Type="http://schemas.openxmlformats.org/officeDocument/2006/relationships/hyperlink" Target="https://www.dsebd.org/displayCompany.php?name=CITYBANK" TargetMode="External"/><Relationship Id="rId55" Type="http://schemas.openxmlformats.org/officeDocument/2006/relationships/hyperlink" Target="https://www.dsebd.org/displayCompany.php?name=CITYBANK" TargetMode="External"/><Relationship Id="rId76" Type="http://schemas.openxmlformats.org/officeDocument/2006/relationships/hyperlink" Target="https://www.dsebd.org/displayCompany.php?name=CITYBANK" TargetMode="External"/><Relationship Id="rId97" Type="http://schemas.openxmlformats.org/officeDocument/2006/relationships/hyperlink" Target="https://www.dsebd.org/displayCompany.php?name=CITYBANK" TargetMode="External"/><Relationship Id="rId120" Type="http://schemas.openxmlformats.org/officeDocument/2006/relationships/hyperlink" Target="https://www.dsebd.org/displayCompany.php?name=CITYBANK" TargetMode="External"/><Relationship Id="rId141" Type="http://schemas.openxmlformats.org/officeDocument/2006/relationships/hyperlink" Target="https://www.dsebd.org/displayCompany.php?name=CITYBANK" TargetMode="External"/><Relationship Id="rId7" Type="http://schemas.openxmlformats.org/officeDocument/2006/relationships/hyperlink" Target="https://www.dsebd.org/displayCompany.php?name=CITYBANK" TargetMode="External"/><Relationship Id="rId162" Type="http://schemas.openxmlformats.org/officeDocument/2006/relationships/hyperlink" Target="https://www.dsebd.org/displayCompany.php?name=CITYBANK" TargetMode="External"/><Relationship Id="rId183" Type="http://schemas.openxmlformats.org/officeDocument/2006/relationships/hyperlink" Target="https://www.dsebd.org/displayCompany.php?name=CITYBANK" TargetMode="External"/><Relationship Id="rId218" Type="http://schemas.openxmlformats.org/officeDocument/2006/relationships/hyperlink" Target="https://www.dsebd.org/displayCompany.php?name=CITYBANK" TargetMode="External"/><Relationship Id="rId239" Type="http://schemas.openxmlformats.org/officeDocument/2006/relationships/hyperlink" Target="https://www.dsebd.org/displayCompany.php?name=CITYBANK" TargetMode="External"/><Relationship Id="rId24" Type="http://schemas.openxmlformats.org/officeDocument/2006/relationships/hyperlink" Target="https://www.dsebd.org/displayCompany.php?name=CITYBANK" TargetMode="External"/><Relationship Id="rId45" Type="http://schemas.openxmlformats.org/officeDocument/2006/relationships/hyperlink" Target="https://www.dsebd.org/displayCompany.php?name=CITYBANK" TargetMode="External"/><Relationship Id="rId66" Type="http://schemas.openxmlformats.org/officeDocument/2006/relationships/hyperlink" Target="https://www.dsebd.org/displayCompany.php?name=CITYBANK" TargetMode="External"/><Relationship Id="rId87" Type="http://schemas.openxmlformats.org/officeDocument/2006/relationships/hyperlink" Target="https://www.dsebd.org/displayCompany.php?name=CITYBANK" TargetMode="External"/><Relationship Id="rId110" Type="http://schemas.openxmlformats.org/officeDocument/2006/relationships/hyperlink" Target="https://www.dsebd.org/displayCompany.php?name=CITYBANK" TargetMode="External"/><Relationship Id="rId131" Type="http://schemas.openxmlformats.org/officeDocument/2006/relationships/hyperlink" Target="https://www.dsebd.org/displayCompany.php?name=CITYBANK" TargetMode="External"/><Relationship Id="rId152" Type="http://schemas.openxmlformats.org/officeDocument/2006/relationships/hyperlink" Target="https://www.dsebd.org/displayCompany.php?name=CITYBANK" TargetMode="External"/><Relationship Id="rId173" Type="http://schemas.openxmlformats.org/officeDocument/2006/relationships/hyperlink" Target="https://www.dsebd.org/displayCompany.php?name=CITYBANK" TargetMode="External"/><Relationship Id="rId194" Type="http://schemas.openxmlformats.org/officeDocument/2006/relationships/hyperlink" Target="https://www.dsebd.org/displayCompany.php?name=CITYBANK" TargetMode="External"/><Relationship Id="rId208" Type="http://schemas.openxmlformats.org/officeDocument/2006/relationships/hyperlink" Target="https://www.dsebd.org/displayCompany.php?name=CITYBANK" TargetMode="External"/><Relationship Id="rId229" Type="http://schemas.openxmlformats.org/officeDocument/2006/relationships/hyperlink" Target="https://www.dsebd.org/displayCompany.php?name=CITYBANK" TargetMode="External"/><Relationship Id="rId14" Type="http://schemas.openxmlformats.org/officeDocument/2006/relationships/hyperlink" Target="https://www.dsebd.org/displayCompany.php?name=CITYBANK" TargetMode="External"/><Relationship Id="rId35" Type="http://schemas.openxmlformats.org/officeDocument/2006/relationships/hyperlink" Target="https://www.dsebd.org/displayCompany.php?name=CITYBANK" TargetMode="External"/><Relationship Id="rId56" Type="http://schemas.openxmlformats.org/officeDocument/2006/relationships/hyperlink" Target="https://www.dsebd.org/displayCompany.php?name=CITYBANK" TargetMode="External"/><Relationship Id="rId77" Type="http://schemas.openxmlformats.org/officeDocument/2006/relationships/hyperlink" Target="https://www.dsebd.org/displayCompany.php?name=CITYBANK" TargetMode="External"/><Relationship Id="rId100" Type="http://schemas.openxmlformats.org/officeDocument/2006/relationships/hyperlink" Target="https://www.dsebd.org/displayCompany.php?name=CITYBANK" TargetMode="External"/><Relationship Id="rId8" Type="http://schemas.openxmlformats.org/officeDocument/2006/relationships/hyperlink" Target="https://www.dsebd.org/displayCompany.php?name=CITYBANK" TargetMode="External"/><Relationship Id="rId98" Type="http://schemas.openxmlformats.org/officeDocument/2006/relationships/hyperlink" Target="https://www.dsebd.org/displayCompany.php?name=CITYBANK" TargetMode="External"/><Relationship Id="rId121" Type="http://schemas.openxmlformats.org/officeDocument/2006/relationships/hyperlink" Target="https://www.dsebd.org/displayCompany.php?name=CITYBANK" TargetMode="External"/><Relationship Id="rId142" Type="http://schemas.openxmlformats.org/officeDocument/2006/relationships/hyperlink" Target="https://www.dsebd.org/displayCompany.php?name=CITYBANK" TargetMode="External"/><Relationship Id="rId163" Type="http://schemas.openxmlformats.org/officeDocument/2006/relationships/hyperlink" Target="https://www.dsebd.org/displayCompany.php?name=CITYBANK" TargetMode="External"/><Relationship Id="rId184" Type="http://schemas.openxmlformats.org/officeDocument/2006/relationships/hyperlink" Target="https://www.dsebd.org/displayCompany.php?name=CITYBANK" TargetMode="External"/><Relationship Id="rId219" Type="http://schemas.openxmlformats.org/officeDocument/2006/relationships/hyperlink" Target="https://www.dsebd.org/displayCompany.php?name=CITYBANK" TargetMode="External"/><Relationship Id="rId230" Type="http://schemas.openxmlformats.org/officeDocument/2006/relationships/hyperlink" Target="https://www.dsebd.org/displayCompany.php?name=CITYBANK" TargetMode="External"/><Relationship Id="rId25" Type="http://schemas.openxmlformats.org/officeDocument/2006/relationships/hyperlink" Target="https://www.dsebd.org/displayCompany.php?name=CITYBANK" TargetMode="External"/><Relationship Id="rId46" Type="http://schemas.openxmlformats.org/officeDocument/2006/relationships/hyperlink" Target="https://www.dsebd.org/displayCompany.php?name=CITYBANK" TargetMode="External"/><Relationship Id="rId67" Type="http://schemas.openxmlformats.org/officeDocument/2006/relationships/hyperlink" Target="https://www.dsebd.org/displayCompany.php?name=CITYBANK" TargetMode="External"/><Relationship Id="rId88" Type="http://schemas.openxmlformats.org/officeDocument/2006/relationships/hyperlink" Target="https://www.dsebd.org/displayCompany.php?name=CITYBANK" TargetMode="External"/><Relationship Id="rId111" Type="http://schemas.openxmlformats.org/officeDocument/2006/relationships/hyperlink" Target="https://www.dsebd.org/displayCompany.php?name=CITYBANK" TargetMode="External"/><Relationship Id="rId132" Type="http://schemas.openxmlformats.org/officeDocument/2006/relationships/hyperlink" Target="https://www.dsebd.org/displayCompany.php?name=CITYBANK" TargetMode="External"/><Relationship Id="rId153" Type="http://schemas.openxmlformats.org/officeDocument/2006/relationships/hyperlink" Target="https://www.dsebd.org/displayCompany.php?name=CITYBANK" TargetMode="External"/><Relationship Id="rId174" Type="http://schemas.openxmlformats.org/officeDocument/2006/relationships/hyperlink" Target="https://www.dsebd.org/displayCompany.php?name=CITYBANK" TargetMode="External"/><Relationship Id="rId195" Type="http://schemas.openxmlformats.org/officeDocument/2006/relationships/hyperlink" Target="https://www.dsebd.org/displayCompany.php?name=CITYBANK" TargetMode="External"/><Relationship Id="rId209" Type="http://schemas.openxmlformats.org/officeDocument/2006/relationships/hyperlink" Target="https://www.dsebd.org/displayCompany.php?name=CITYBANK" TargetMode="External"/><Relationship Id="rId190" Type="http://schemas.openxmlformats.org/officeDocument/2006/relationships/hyperlink" Target="https://www.dsebd.org/displayCompany.php?name=CITYBANK" TargetMode="External"/><Relationship Id="rId204" Type="http://schemas.openxmlformats.org/officeDocument/2006/relationships/hyperlink" Target="https://www.dsebd.org/displayCompany.php?name=CITYBANK" TargetMode="External"/><Relationship Id="rId220" Type="http://schemas.openxmlformats.org/officeDocument/2006/relationships/hyperlink" Target="https://www.dsebd.org/displayCompany.php?name=CITYBANK" TargetMode="External"/><Relationship Id="rId225" Type="http://schemas.openxmlformats.org/officeDocument/2006/relationships/hyperlink" Target="https://www.dsebd.org/displayCompany.php?name=CITYBANK" TargetMode="External"/><Relationship Id="rId15" Type="http://schemas.openxmlformats.org/officeDocument/2006/relationships/hyperlink" Target="https://www.dsebd.org/displayCompany.php?name=CITYBANK" TargetMode="External"/><Relationship Id="rId36" Type="http://schemas.openxmlformats.org/officeDocument/2006/relationships/hyperlink" Target="https://www.dsebd.org/displayCompany.php?name=CITYBANK" TargetMode="External"/><Relationship Id="rId57" Type="http://schemas.openxmlformats.org/officeDocument/2006/relationships/hyperlink" Target="https://www.dsebd.org/displayCompany.php?name=CITYBANK" TargetMode="External"/><Relationship Id="rId106" Type="http://schemas.openxmlformats.org/officeDocument/2006/relationships/hyperlink" Target="https://www.dsebd.org/displayCompany.php?name=CITYBANK" TargetMode="External"/><Relationship Id="rId127" Type="http://schemas.openxmlformats.org/officeDocument/2006/relationships/hyperlink" Target="https://www.dsebd.org/displayCompany.php?name=CITYBANK" TargetMode="External"/><Relationship Id="rId10" Type="http://schemas.openxmlformats.org/officeDocument/2006/relationships/hyperlink" Target="https://www.dsebd.org/displayCompany.php?name=CITYBANK" TargetMode="External"/><Relationship Id="rId31" Type="http://schemas.openxmlformats.org/officeDocument/2006/relationships/hyperlink" Target="https://www.dsebd.org/displayCompany.php?name=CITYBANK" TargetMode="External"/><Relationship Id="rId52" Type="http://schemas.openxmlformats.org/officeDocument/2006/relationships/hyperlink" Target="https://www.dsebd.org/displayCompany.php?name=CITYBANK" TargetMode="External"/><Relationship Id="rId73" Type="http://schemas.openxmlformats.org/officeDocument/2006/relationships/hyperlink" Target="https://www.dsebd.org/displayCompany.php?name=CITYBANK" TargetMode="External"/><Relationship Id="rId78" Type="http://schemas.openxmlformats.org/officeDocument/2006/relationships/hyperlink" Target="https://www.dsebd.org/displayCompany.php?name=CITYBANK" TargetMode="External"/><Relationship Id="rId94" Type="http://schemas.openxmlformats.org/officeDocument/2006/relationships/hyperlink" Target="https://www.dsebd.org/displayCompany.php?name=CITYBANK" TargetMode="External"/><Relationship Id="rId99" Type="http://schemas.openxmlformats.org/officeDocument/2006/relationships/hyperlink" Target="https://www.dsebd.org/displayCompany.php?name=CITYBANK" TargetMode="External"/><Relationship Id="rId101" Type="http://schemas.openxmlformats.org/officeDocument/2006/relationships/hyperlink" Target="https://www.dsebd.org/displayCompany.php?name=CITYBANK" TargetMode="External"/><Relationship Id="rId122" Type="http://schemas.openxmlformats.org/officeDocument/2006/relationships/hyperlink" Target="https://www.dsebd.org/displayCompany.php?name=CITYBANK" TargetMode="External"/><Relationship Id="rId143" Type="http://schemas.openxmlformats.org/officeDocument/2006/relationships/hyperlink" Target="https://www.dsebd.org/displayCompany.php?name=CITYBANK" TargetMode="External"/><Relationship Id="rId148" Type="http://schemas.openxmlformats.org/officeDocument/2006/relationships/hyperlink" Target="https://www.dsebd.org/displayCompany.php?name=CITYBANK" TargetMode="External"/><Relationship Id="rId164" Type="http://schemas.openxmlformats.org/officeDocument/2006/relationships/hyperlink" Target="https://www.dsebd.org/displayCompany.php?name=CITYBANK" TargetMode="External"/><Relationship Id="rId169" Type="http://schemas.openxmlformats.org/officeDocument/2006/relationships/hyperlink" Target="https://www.dsebd.org/displayCompany.php?name=CITYBANK" TargetMode="External"/><Relationship Id="rId185" Type="http://schemas.openxmlformats.org/officeDocument/2006/relationships/hyperlink" Target="https://www.dsebd.org/displayCompany.php?name=CITYBANK" TargetMode="External"/><Relationship Id="rId4" Type="http://schemas.openxmlformats.org/officeDocument/2006/relationships/hyperlink" Target="https://www.dsebd.org/displayCompany.php?name=CITYBANK" TargetMode="External"/><Relationship Id="rId9" Type="http://schemas.openxmlformats.org/officeDocument/2006/relationships/hyperlink" Target="https://www.dsebd.org/displayCompany.php?name=CITYBANK" TargetMode="External"/><Relationship Id="rId180" Type="http://schemas.openxmlformats.org/officeDocument/2006/relationships/hyperlink" Target="https://www.dsebd.org/displayCompany.php?name=CITYBANK" TargetMode="External"/><Relationship Id="rId210" Type="http://schemas.openxmlformats.org/officeDocument/2006/relationships/hyperlink" Target="https://www.dsebd.org/displayCompany.php?name=CITYBANK" TargetMode="External"/><Relationship Id="rId215" Type="http://schemas.openxmlformats.org/officeDocument/2006/relationships/hyperlink" Target="https://www.dsebd.org/displayCompany.php?name=CITYBANK" TargetMode="External"/><Relationship Id="rId236" Type="http://schemas.openxmlformats.org/officeDocument/2006/relationships/hyperlink" Target="https://www.dsebd.org/displayCompany.php?name=CITYBANK" TargetMode="External"/><Relationship Id="rId26" Type="http://schemas.openxmlformats.org/officeDocument/2006/relationships/hyperlink" Target="https://www.dsebd.org/displayCompany.php?name=CITYBANK" TargetMode="External"/><Relationship Id="rId231" Type="http://schemas.openxmlformats.org/officeDocument/2006/relationships/hyperlink" Target="https://www.dsebd.org/displayCompany.php?name=CITYBANK" TargetMode="External"/><Relationship Id="rId47" Type="http://schemas.openxmlformats.org/officeDocument/2006/relationships/hyperlink" Target="https://www.dsebd.org/displayCompany.php?name=CITYBANK" TargetMode="External"/><Relationship Id="rId68" Type="http://schemas.openxmlformats.org/officeDocument/2006/relationships/hyperlink" Target="https://www.dsebd.org/displayCompany.php?name=CITYBANK" TargetMode="External"/><Relationship Id="rId89" Type="http://schemas.openxmlformats.org/officeDocument/2006/relationships/hyperlink" Target="https://www.dsebd.org/displayCompany.php?name=CITYBANK" TargetMode="External"/><Relationship Id="rId112" Type="http://schemas.openxmlformats.org/officeDocument/2006/relationships/hyperlink" Target="https://www.dsebd.org/displayCompany.php?name=CITYBANK" TargetMode="External"/><Relationship Id="rId133" Type="http://schemas.openxmlformats.org/officeDocument/2006/relationships/hyperlink" Target="https://www.dsebd.org/displayCompany.php?name=CITYBANK" TargetMode="External"/><Relationship Id="rId154" Type="http://schemas.openxmlformats.org/officeDocument/2006/relationships/hyperlink" Target="https://www.dsebd.org/displayCompany.php?name=CITYBANK" TargetMode="External"/><Relationship Id="rId175" Type="http://schemas.openxmlformats.org/officeDocument/2006/relationships/hyperlink" Target="https://www.dsebd.org/displayCompany.php?name=CITYBANK" TargetMode="External"/><Relationship Id="rId196" Type="http://schemas.openxmlformats.org/officeDocument/2006/relationships/hyperlink" Target="https://www.dsebd.org/displayCompany.php?name=CITYBANK" TargetMode="External"/><Relationship Id="rId200" Type="http://schemas.openxmlformats.org/officeDocument/2006/relationships/hyperlink" Target="https://www.dsebd.org/displayCompany.php?name=CITYBANK" TargetMode="External"/><Relationship Id="rId16" Type="http://schemas.openxmlformats.org/officeDocument/2006/relationships/hyperlink" Target="https://www.dsebd.org/displayCompany.php?name=CITYBANK" TargetMode="External"/><Relationship Id="rId221" Type="http://schemas.openxmlformats.org/officeDocument/2006/relationships/hyperlink" Target="https://www.dsebd.org/displayCompany.php?name=CITYBANK" TargetMode="External"/><Relationship Id="rId37" Type="http://schemas.openxmlformats.org/officeDocument/2006/relationships/hyperlink" Target="https://www.dsebd.org/displayCompany.php?name=CITYBANK" TargetMode="External"/><Relationship Id="rId58" Type="http://schemas.openxmlformats.org/officeDocument/2006/relationships/hyperlink" Target="https://www.dsebd.org/displayCompany.php?name=CITYBANK" TargetMode="External"/><Relationship Id="rId79" Type="http://schemas.openxmlformats.org/officeDocument/2006/relationships/hyperlink" Target="https://www.dsebd.org/displayCompany.php?name=CITYBANK" TargetMode="External"/><Relationship Id="rId102" Type="http://schemas.openxmlformats.org/officeDocument/2006/relationships/hyperlink" Target="https://www.dsebd.org/displayCompany.php?name=CITYBANK" TargetMode="External"/><Relationship Id="rId123" Type="http://schemas.openxmlformats.org/officeDocument/2006/relationships/hyperlink" Target="https://www.dsebd.org/displayCompany.php?name=CITYBANK" TargetMode="External"/><Relationship Id="rId144" Type="http://schemas.openxmlformats.org/officeDocument/2006/relationships/hyperlink" Target="https://www.dsebd.org/displayCompany.php?name=CITYBANK" TargetMode="External"/><Relationship Id="rId90" Type="http://schemas.openxmlformats.org/officeDocument/2006/relationships/hyperlink" Target="https://www.dsebd.org/displayCompany.php?name=CITYBANK" TargetMode="External"/><Relationship Id="rId165" Type="http://schemas.openxmlformats.org/officeDocument/2006/relationships/hyperlink" Target="https://www.dsebd.org/displayCompany.php?name=CITYBANK" TargetMode="External"/><Relationship Id="rId186" Type="http://schemas.openxmlformats.org/officeDocument/2006/relationships/hyperlink" Target="https://www.dsebd.org/displayCompany.php?name=CITYBANK" TargetMode="External"/><Relationship Id="rId211" Type="http://schemas.openxmlformats.org/officeDocument/2006/relationships/hyperlink" Target="https://www.dsebd.org/displayCompany.php?name=CITYBANK" TargetMode="External"/><Relationship Id="rId232" Type="http://schemas.openxmlformats.org/officeDocument/2006/relationships/hyperlink" Target="https://www.dsebd.org/displayCompany.php?name=CITYBANK" TargetMode="External"/><Relationship Id="rId27" Type="http://schemas.openxmlformats.org/officeDocument/2006/relationships/hyperlink" Target="https://www.dsebd.org/displayCompany.php?name=CITYBANK" TargetMode="External"/><Relationship Id="rId48" Type="http://schemas.openxmlformats.org/officeDocument/2006/relationships/hyperlink" Target="https://www.dsebd.org/displayCompany.php?name=CITYBANK" TargetMode="External"/><Relationship Id="rId69" Type="http://schemas.openxmlformats.org/officeDocument/2006/relationships/hyperlink" Target="https://www.dsebd.org/displayCompany.php?name=CITYBANK" TargetMode="External"/><Relationship Id="rId113" Type="http://schemas.openxmlformats.org/officeDocument/2006/relationships/hyperlink" Target="https://www.dsebd.org/displayCompany.php?name=CITYBANK" TargetMode="External"/><Relationship Id="rId134" Type="http://schemas.openxmlformats.org/officeDocument/2006/relationships/hyperlink" Target="https://www.dsebd.org/displayCompany.php?name=CITYBANK" TargetMode="External"/><Relationship Id="rId80" Type="http://schemas.openxmlformats.org/officeDocument/2006/relationships/hyperlink" Target="https://www.dsebd.org/displayCompany.php?name=CITYBANK" TargetMode="External"/><Relationship Id="rId155" Type="http://schemas.openxmlformats.org/officeDocument/2006/relationships/hyperlink" Target="https://www.dsebd.org/displayCompany.php?name=CITYBANK" TargetMode="External"/><Relationship Id="rId176" Type="http://schemas.openxmlformats.org/officeDocument/2006/relationships/hyperlink" Target="https://www.dsebd.org/displayCompany.php?name=CITYBANK" TargetMode="External"/><Relationship Id="rId197" Type="http://schemas.openxmlformats.org/officeDocument/2006/relationships/hyperlink" Target="https://www.dsebd.org/displayCompany.php?name=CITYBANK" TargetMode="External"/><Relationship Id="rId201" Type="http://schemas.openxmlformats.org/officeDocument/2006/relationships/hyperlink" Target="https://www.dsebd.org/displayCompany.php?name=CITYBANK" TargetMode="External"/><Relationship Id="rId222" Type="http://schemas.openxmlformats.org/officeDocument/2006/relationships/hyperlink" Target="https://www.dsebd.org/displayCompany.php?name=CITYBANK" TargetMode="External"/><Relationship Id="rId17" Type="http://schemas.openxmlformats.org/officeDocument/2006/relationships/hyperlink" Target="https://www.dsebd.org/displayCompany.php?name=CITYBANK" TargetMode="External"/><Relationship Id="rId38" Type="http://schemas.openxmlformats.org/officeDocument/2006/relationships/hyperlink" Target="https://www.dsebd.org/displayCompany.php?name=CITYBANK" TargetMode="External"/><Relationship Id="rId59" Type="http://schemas.openxmlformats.org/officeDocument/2006/relationships/hyperlink" Target="https://www.dsebd.org/displayCompany.php?name=CITYBANK" TargetMode="External"/><Relationship Id="rId103" Type="http://schemas.openxmlformats.org/officeDocument/2006/relationships/hyperlink" Target="https://www.dsebd.org/displayCompany.php?name=CITYBANK" TargetMode="External"/><Relationship Id="rId124" Type="http://schemas.openxmlformats.org/officeDocument/2006/relationships/hyperlink" Target="https://www.dsebd.org/displayCompany.php?name=CITYBANK" TargetMode="External"/><Relationship Id="rId70" Type="http://schemas.openxmlformats.org/officeDocument/2006/relationships/hyperlink" Target="https://www.dsebd.org/displayCompany.php?name=CITYBANK" TargetMode="External"/><Relationship Id="rId91" Type="http://schemas.openxmlformats.org/officeDocument/2006/relationships/hyperlink" Target="https://www.dsebd.org/displayCompany.php?name=CITYBANK" TargetMode="External"/><Relationship Id="rId145" Type="http://schemas.openxmlformats.org/officeDocument/2006/relationships/hyperlink" Target="https://www.dsebd.org/displayCompany.php?name=CITYBANK" TargetMode="External"/><Relationship Id="rId166" Type="http://schemas.openxmlformats.org/officeDocument/2006/relationships/hyperlink" Target="https://www.dsebd.org/displayCompany.php?name=CITYBANK" TargetMode="External"/><Relationship Id="rId187" Type="http://schemas.openxmlformats.org/officeDocument/2006/relationships/hyperlink" Target="https://www.dsebd.org/displayCompany.php?name=CITYBANK" TargetMode="External"/><Relationship Id="rId1" Type="http://schemas.openxmlformats.org/officeDocument/2006/relationships/hyperlink" Target="https://www.dsebd.org/displayCompany.php?name=CITYBANK" TargetMode="External"/><Relationship Id="rId212" Type="http://schemas.openxmlformats.org/officeDocument/2006/relationships/hyperlink" Target="https://www.dsebd.org/displayCompany.php?name=CITYBANK" TargetMode="External"/><Relationship Id="rId233" Type="http://schemas.openxmlformats.org/officeDocument/2006/relationships/hyperlink" Target="https://www.dsebd.org/displayCompany.php?name=CITYBANK" TargetMode="External"/><Relationship Id="rId28" Type="http://schemas.openxmlformats.org/officeDocument/2006/relationships/hyperlink" Target="https://www.dsebd.org/displayCompany.php?name=CITYBANK" TargetMode="External"/><Relationship Id="rId49" Type="http://schemas.openxmlformats.org/officeDocument/2006/relationships/hyperlink" Target="https://www.dsebd.org/displayCompany.php?name=CITYBANK" TargetMode="External"/><Relationship Id="rId114" Type="http://schemas.openxmlformats.org/officeDocument/2006/relationships/hyperlink" Target="https://www.dsebd.org/displayCompany.php?name=CITYBANK" TargetMode="External"/><Relationship Id="rId60" Type="http://schemas.openxmlformats.org/officeDocument/2006/relationships/hyperlink" Target="https://www.dsebd.org/displayCompany.php?name=CITYBANK" TargetMode="External"/><Relationship Id="rId81" Type="http://schemas.openxmlformats.org/officeDocument/2006/relationships/hyperlink" Target="https://www.dsebd.org/displayCompany.php?name=CITYBANK" TargetMode="External"/><Relationship Id="rId135" Type="http://schemas.openxmlformats.org/officeDocument/2006/relationships/hyperlink" Target="https://www.dsebd.org/displayCompany.php?name=CITYBANK" TargetMode="External"/><Relationship Id="rId156" Type="http://schemas.openxmlformats.org/officeDocument/2006/relationships/hyperlink" Target="https://www.dsebd.org/displayCompany.php?name=CITYBANK" TargetMode="External"/><Relationship Id="rId177" Type="http://schemas.openxmlformats.org/officeDocument/2006/relationships/hyperlink" Target="https://www.dsebd.org/displayCompany.php?name=CITYBANK" TargetMode="External"/><Relationship Id="rId198" Type="http://schemas.openxmlformats.org/officeDocument/2006/relationships/hyperlink" Target="https://www.dsebd.org/displayCompany.php?name=CITYBANK" TargetMode="External"/><Relationship Id="rId202" Type="http://schemas.openxmlformats.org/officeDocument/2006/relationships/hyperlink" Target="https://www.dsebd.org/displayCompany.php?name=CITYBANK" TargetMode="External"/><Relationship Id="rId223" Type="http://schemas.openxmlformats.org/officeDocument/2006/relationships/hyperlink" Target="https://www.dsebd.org/displayCompany.php?name=CITYBANK" TargetMode="External"/><Relationship Id="rId18" Type="http://schemas.openxmlformats.org/officeDocument/2006/relationships/hyperlink" Target="https://www.dsebd.org/displayCompany.php?name=CITYBANK" TargetMode="External"/><Relationship Id="rId39" Type="http://schemas.openxmlformats.org/officeDocument/2006/relationships/hyperlink" Target="https://www.dsebd.org/displayCompany.php?name=CITYBANK" TargetMode="External"/><Relationship Id="rId50" Type="http://schemas.openxmlformats.org/officeDocument/2006/relationships/hyperlink" Target="https://www.dsebd.org/displayCompany.php?name=CITYBANK" TargetMode="External"/><Relationship Id="rId104" Type="http://schemas.openxmlformats.org/officeDocument/2006/relationships/hyperlink" Target="https://www.dsebd.org/displayCompany.php?name=CITYBANK" TargetMode="External"/><Relationship Id="rId125" Type="http://schemas.openxmlformats.org/officeDocument/2006/relationships/hyperlink" Target="https://www.dsebd.org/displayCompany.php?name=CITYBANK" TargetMode="External"/><Relationship Id="rId146" Type="http://schemas.openxmlformats.org/officeDocument/2006/relationships/hyperlink" Target="https://www.dsebd.org/displayCompany.php?name=CITYBANK" TargetMode="External"/><Relationship Id="rId167" Type="http://schemas.openxmlformats.org/officeDocument/2006/relationships/hyperlink" Target="https://www.dsebd.org/displayCompany.php?name=CITYBANK" TargetMode="External"/><Relationship Id="rId188" Type="http://schemas.openxmlformats.org/officeDocument/2006/relationships/hyperlink" Target="https://www.dsebd.org/displayCompany.php?name=CITYBANK" TargetMode="External"/><Relationship Id="rId71" Type="http://schemas.openxmlformats.org/officeDocument/2006/relationships/hyperlink" Target="https://www.dsebd.org/displayCompany.php?name=CITYBANK" TargetMode="External"/><Relationship Id="rId92" Type="http://schemas.openxmlformats.org/officeDocument/2006/relationships/hyperlink" Target="https://www.dsebd.org/displayCompany.php?name=CITYBANK" TargetMode="External"/><Relationship Id="rId213" Type="http://schemas.openxmlformats.org/officeDocument/2006/relationships/hyperlink" Target="https://www.dsebd.org/displayCompany.php?name=CITYBANK" TargetMode="External"/><Relationship Id="rId234" Type="http://schemas.openxmlformats.org/officeDocument/2006/relationships/hyperlink" Target="https://www.dsebd.org/displayCompany.php?name=CITYBANK" TargetMode="External"/><Relationship Id="rId2" Type="http://schemas.openxmlformats.org/officeDocument/2006/relationships/hyperlink" Target="https://www.dsebd.org/displayCompany.php?name=CITYBANK" TargetMode="External"/><Relationship Id="rId29" Type="http://schemas.openxmlformats.org/officeDocument/2006/relationships/hyperlink" Target="https://www.dsebd.org/displayCompany.php?name=CITYBANK" TargetMode="External"/><Relationship Id="rId40" Type="http://schemas.openxmlformats.org/officeDocument/2006/relationships/hyperlink" Target="https://www.dsebd.org/displayCompany.php?name=CITYBANK" TargetMode="External"/><Relationship Id="rId115" Type="http://schemas.openxmlformats.org/officeDocument/2006/relationships/hyperlink" Target="https://www.dsebd.org/displayCompany.php?name=CITYBANK" TargetMode="External"/><Relationship Id="rId136" Type="http://schemas.openxmlformats.org/officeDocument/2006/relationships/hyperlink" Target="https://www.dsebd.org/displayCompany.php?name=CITYBANK" TargetMode="External"/><Relationship Id="rId157" Type="http://schemas.openxmlformats.org/officeDocument/2006/relationships/hyperlink" Target="https://www.dsebd.org/displayCompany.php?name=CITYBANK" TargetMode="External"/><Relationship Id="rId178" Type="http://schemas.openxmlformats.org/officeDocument/2006/relationships/hyperlink" Target="https://www.dsebd.org/displayCompany.php?name=CITYBANK" TargetMode="External"/><Relationship Id="rId61" Type="http://schemas.openxmlformats.org/officeDocument/2006/relationships/hyperlink" Target="https://www.dsebd.org/displayCompany.php?name=CITYBANK" TargetMode="External"/><Relationship Id="rId82" Type="http://schemas.openxmlformats.org/officeDocument/2006/relationships/hyperlink" Target="https://www.dsebd.org/displayCompany.php?name=CITYBANK" TargetMode="External"/><Relationship Id="rId199" Type="http://schemas.openxmlformats.org/officeDocument/2006/relationships/hyperlink" Target="https://www.dsebd.org/displayCompany.php?name=CITYBANK" TargetMode="External"/><Relationship Id="rId203" Type="http://schemas.openxmlformats.org/officeDocument/2006/relationships/hyperlink" Target="https://www.dsebd.org/displayCompany.php?name=CITYBANK" TargetMode="External"/><Relationship Id="rId19" Type="http://schemas.openxmlformats.org/officeDocument/2006/relationships/hyperlink" Target="https://www.dsebd.org/displayCompany.php?name=CITYBANK" TargetMode="External"/><Relationship Id="rId224" Type="http://schemas.openxmlformats.org/officeDocument/2006/relationships/hyperlink" Target="https://www.dsebd.org/displayCompany.php?name=CITYBANK" TargetMode="External"/><Relationship Id="rId30" Type="http://schemas.openxmlformats.org/officeDocument/2006/relationships/hyperlink" Target="https://www.dsebd.org/displayCompany.php?name=CITYBANK" TargetMode="External"/><Relationship Id="rId105" Type="http://schemas.openxmlformats.org/officeDocument/2006/relationships/hyperlink" Target="https://www.dsebd.org/displayCompany.php?name=CITYBANK" TargetMode="External"/><Relationship Id="rId126" Type="http://schemas.openxmlformats.org/officeDocument/2006/relationships/hyperlink" Target="https://www.dsebd.org/displayCompany.php?name=CITYBANK" TargetMode="External"/><Relationship Id="rId147" Type="http://schemas.openxmlformats.org/officeDocument/2006/relationships/hyperlink" Target="https://www.dsebd.org/displayCompany.php?name=CITYBANK" TargetMode="External"/><Relationship Id="rId168" Type="http://schemas.openxmlformats.org/officeDocument/2006/relationships/hyperlink" Target="https://www.dsebd.org/displayCompany.php?name=CITYBANK" TargetMode="External"/><Relationship Id="rId51" Type="http://schemas.openxmlformats.org/officeDocument/2006/relationships/hyperlink" Target="https://www.dsebd.org/displayCompany.php?name=CITYBANK" TargetMode="External"/><Relationship Id="rId72" Type="http://schemas.openxmlformats.org/officeDocument/2006/relationships/hyperlink" Target="https://www.dsebd.org/displayCompany.php?name=CITYBANK" TargetMode="External"/><Relationship Id="rId93" Type="http://schemas.openxmlformats.org/officeDocument/2006/relationships/hyperlink" Target="https://www.dsebd.org/displayCompany.php?name=CITYBANK" TargetMode="External"/><Relationship Id="rId189" Type="http://schemas.openxmlformats.org/officeDocument/2006/relationships/hyperlink" Target="https://www.dsebd.org/displayCompany.php?name=CITYBANK" TargetMode="External"/><Relationship Id="rId3" Type="http://schemas.openxmlformats.org/officeDocument/2006/relationships/hyperlink" Target="https://www.dsebd.org/displayCompany.php?name=CITYBANK" TargetMode="External"/><Relationship Id="rId214" Type="http://schemas.openxmlformats.org/officeDocument/2006/relationships/hyperlink" Target="https://www.dsebd.org/displayCompany.php?name=CITYBANK" TargetMode="External"/><Relationship Id="rId235" Type="http://schemas.openxmlformats.org/officeDocument/2006/relationships/hyperlink" Target="https://www.dsebd.org/displayCompany.php?name=CITYBANK" TargetMode="External"/><Relationship Id="rId116" Type="http://schemas.openxmlformats.org/officeDocument/2006/relationships/hyperlink" Target="https://www.dsebd.org/displayCompany.php?name=CITYBANK" TargetMode="External"/><Relationship Id="rId137" Type="http://schemas.openxmlformats.org/officeDocument/2006/relationships/hyperlink" Target="https://www.dsebd.org/displayCompany.php?name=CITYBANK" TargetMode="External"/><Relationship Id="rId158" Type="http://schemas.openxmlformats.org/officeDocument/2006/relationships/hyperlink" Target="https://www.dsebd.org/displayCompany.php?name=CITYBANK" TargetMode="External"/><Relationship Id="rId20" Type="http://schemas.openxmlformats.org/officeDocument/2006/relationships/hyperlink" Target="https://www.dsebd.org/displayCompany.php?name=CITYBANK" TargetMode="External"/><Relationship Id="rId41" Type="http://schemas.openxmlformats.org/officeDocument/2006/relationships/hyperlink" Target="https://www.dsebd.org/displayCompany.php?name=CITYBANK" TargetMode="External"/><Relationship Id="rId62" Type="http://schemas.openxmlformats.org/officeDocument/2006/relationships/hyperlink" Target="https://www.dsebd.org/displayCompany.php?name=CITYBANK" TargetMode="External"/><Relationship Id="rId83" Type="http://schemas.openxmlformats.org/officeDocument/2006/relationships/hyperlink" Target="https://www.dsebd.org/displayCompany.php?name=CITYBANK" TargetMode="External"/><Relationship Id="rId179" Type="http://schemas.openxmlformats.org/officeDocument/2006/relationships/hyperlink" Target="https://www.dsebd.org/displayCompany.php?name=CITYBAN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sebd.org/displayCompany.php?name=BATBC" TargetMode="External"/><Relationship Id="rId21" Type="http://schemas.openxmlformats.org/officeDocument/2006/relationships/hyperlink" Target="https://www.dsebd.org/displayCompany.php?name=BATBC" TargetMode="External"/><Relationship Id="rId42" Type="http://schemas.openxmlformats.org/officeDocument/2006/relationships/hyperlink" Target="https://www.dsebd.org/displayCompany.php?name=BATBC" TargetMode="External"/><Relationship Id="rId63" Type="http://schemas.openxmlformats.org/officeDocument/2006/relationships/hyperlink" Target="https://www.dsebd.org/displayCompany.php?name=BATBC" TargetMode="External"/><Relationship Id="rId84" Type="http://schemas.openxmlformats.org/officeDocument/2006/relationships/hyperlink" Target="https://www.dsebd.org/displayCompany.php?name=BATBC" TargetMode="External"/><Relationship Id="rId138" Type="http://schemas.openxmlformats.org/officeDocument/2006/relationships/hyperlink" Target="https://www.dsebd.org/displayCompany.php?name=BATBC" TargetMode="External"/><Relationship Id="rId159" Type="http://schemas.openxmlformats.org/officeDocument/2006/relationships/hyperlink" Target="https://www.dsebd.org/displayCompany.php?name=BATBC" TargetMode="External"/><Relationship Id="rId170" Type="http://schemas.openxmlformats.org/officeDocument/2006/relationships/hyperlink" Target="https://www.dsebd.org/displayCompany.php?name=BATBC" TargetMode="External"/><Relationship Id="rId191" Type="http://schemas.openxmlformats.org/officeDocument/2006/relationships/hyperlink" Target="https://www.dsebd.org/displayCompany.php?name=BATBC" TargetMode="External"/><Relationship Id="rId205" Type="http://schemas.openxmlformats.org/officeDocument/2006/relationships/hyperlink" Target="https://www.dsebd.org/displayCompany.php?name=BATBC" TargetMode="External"/><Relationship Id="rId226" Type="http://schemas.openxmlformats.org/officeDocument/2006/relationships/hyperlink" Target="https://www.dsebd.org/displayCompany.php?name=BATBC" TargetMode="External"/><Relationship Id="rId107" Type="http://schemas.openxmlformats.org/officeDocument/2006/relationships/hyperlink" Target="https://www.dsebd.org/displayCompany.php?name=BATBC" TargetMode="External"/><Relationship Id="rId11" Type="http://schemas.openxmlformats.org/officeDocument/2006/relationships/hyperlink" Target="https://www.dsebd.org/displayCompany.php?name=BATBC" TargetMode="External"/><Relationship Id="rId32" Type="http://schemas.openxmlformats.org/officeDocument/2006/relationships/hyperlink" Target="https://www.dsebd.org/displayCompany.php?name=BATBC" TargetMode="External"/><Relationship Id="rId53" Type="http://schemas.openxmlformats.org/officeDocument/2006/relationships/hyperlink" Target="https://www.dsebd.org/displayCompany.php?name=BATBC" TargetMode="External"/><Relationship Id="rId74" Type="http://schemas.openxmlformats.org/officeDocument/2006/relationships/hyperlink" Target="https://www.dsebd.org/displayCompany.php?name=BATBC" TargetMode="External"/><Relationship Id="rId128" Type="http://schemas.openxmlformats.org/officeDocument/2006/relationships/hyperlink" Target="https://www.dsebd.org/displayCompany.php?name=BATBC" TargetMode="External"/><Relationship Id="rId149" Type="http://schemas.openxmlformats.org/officeDocument/2006/relationships/hyperlink" Target="https://www.dsebd.org/displayCompany.php?name=BATBC" TargetMode="External"/><Relationship Id="rId5" Type="http://schemas.openxmlformats.org/officeDocument/2006/relationships/hyperlink" Target="https://www.dsebd.org/displayCompany.php?name=BATBC" TargetMode="External"/><Relationship Id="rId95" Type="http://schemas.openxmlformats.org/officeDocument/2006/relationships/hyperlink" Target="https://www.dsebd.org/displayCompany.php?name=BATBC" TargetMode="External"/><Relationship Id="rId160" Type="http://schemas.openxmlformats.org/officeDocument/2006/relationships/hyperlink" Target="https://www.dsebd.org/displayCompany.php?name=BATBC" TargetMode="External"/><Relationship Id="rId181" Type="http://schemas.openxmlformats.org/officeDocument/2006/relationships/hyperlink" Target="https://www.dsebd.org/displayCompany.php?name=BATBC" TargetMode="External"/><Relationship Id="rId216" Type="http://schemas.openxmlformats.org/officeDocument/2006/relationships/hyperlink" Target="https://www.dsebd.org/displayCompany.php?name=BATBC" TargetMode="External"/><Relationship Id="rId237" Type="http://schemas.openxmlformats.org/officeDocument/2006/relationships/hyperlink" Target="https://www.dsebd.org/displayCompany.php?name=BATBC" TargetMode="External"/><Relationship Id="rId22" Type="http://schemas.openxmlformats.org/officeDocument/2006/relationships/hyperlink" Target="https://www.dsebd.org/displayCompany.php?name=BATBC" TargetMode="External"/><Relationship Id="rId43" Type="http://schemas.openxmlformats.org/officeDocument/2006/relationships/hyperlink" Target="https://www.dsebd.org/displayCompany.php?name=BATBC" TargetMode="External"/><Relationship Id="rId64" Type="http://schemas.openxmlformats.org/officeDocument/2006/relationships/hyperlink" Target="https://www.dsebd.org/displayCompany.php?name=BATBC" TargetMode="External"/><Relationship Id="rId118" Type="http://schemas.openxmlformats.org/officeDocument/2006/relationships/hyperlink" Target="https://www.dsebd.org/displayCompany.php?name=BATBC" TargetMode="External"/><Relationship Id="rId139" Type="http://schemas.openxmlformats.org/officeDocument/2006/relationships/hyperlink" Target="https://www.dsebd.org/displayCompany.php?name=BATBC" TargetMode="External"/><Relationship Id="rId85" Type="http://schemas.openxmlformats.org/officeDocument/2006/relationships/hyperlink" Target="https://www.dsebd.org/displayCompany.php?name=BATBC" TargetMode="External"/><Relationship Id="rId150" Type="http://schemas.openxmlformats.org/officeDocument/2006/relationships/hyperlink" Target="https://www.dsebd.org/displayCompany.php?name=BATBC" TargetMode="External"/><Relationship Id="rId171" Type="http://schemas.openxmlformats.org/officeDocument/2006/relationships/hyperlink" Target="https://www.dsebd.org/displayCompany.php?name=BATBC" TargetMode="External"/><Relationship Id="rId192" Type="http://schemas.openxmlformats.org/officeDocument/2006/relationships/hyperlink" Target="https://www.dsebd.org/displayCompany.php?name=BATBC" TargetMode="External"/><Relationship Id="rId206" Type="http://schemas.openxmlformats.org/officeDocument/2006/relationships/hyperlink" Target="https://www.dsebd.org/displayCompany.php?name=BATBC" TargetMode="External"/><Relationship Id="rId227" Type="http://schemas.openxmlformats.org/officeDocument/2006/relationships/hyperlink" Target="https://www.dsebd.org/displayCompany.php?name=BATBC" TargetMode="External"/><Relationship Id="rId12" Type="http://schemas.openxmlformats.org/officeDocument/2006/relationships/hyperlink" Target="https://www.dsebd.org/displayCompany.php?name=BATBC" TargetMode="External"/><Relationship Id="rId33" Type="http://schemas.openxmlformats.org/officeDocument/2006/relationships/hyperlink" Target="https://www.dsebd.org/displayCompany.php?name=BATBC" TargetMode="External"/><Relationship Id="rId108" Type="http://schemas.openxmlformats.org/officeDocument/2006/relationships/hyperlink" Target="https://www.dsebd.org/displayCompany.php?name=BATBC" TargetMode="External"/><Relationship Id="rId129" Type="http://schemas.openxmlformats.org/officeDocument/2006/relationships/hyperlink" Target="https://www.dsebd.org/displayCompany.php?name=BATBC" TargetMode="External"/><Relationship Id="rId54" Type="http://schemas.openxmlformats.org/officeDocument/2006/relationships/hyperlink" Target="https://www.dsebd.org/displayCompany.php?name=BATBC" TargetMode="External"/><Relationship Id="rId75" Type="http://schemas.openxmlformats.org/officeDocument/2006/relationships/hyperlink" Target="https://www.dsebd.org/displayCompany.php?name=BATBC" TargetMode="External"/><Relationship Id="rId96" Type="http://schemas.openxmlformats.org/officeDocument/2006/relationships/hyperlink" Target="https://www.dsebd.org/displayCompany.php?name=BATBC" TargetMode="External"/><Relationship Id="rId140" Type="http://schemas.openxmlformats.org/officeDocument/2006/relationships/hyperlink" Target="https://www.dsebd.org/displayCompany.php?name=BATBC" TargetMode="External"/><Relationship Id="rId161" Type="http://schemas.openxmlformats.org/officeDocument/2006/relationships/hyperlink" Target="https://www.dsebd.org/displayCompany.php?name=BATBC" TargetMode="External"/><Relationship Id="rId182" Type="http://schemas.openxmlformats.org/officeDocument/2006/relationships/hyperlink" Target="https://www.dsebd.org/displayCompany.php?name=BATBC" TargetMode="External"/><Relationship Id="rId217" Type="http://schemas.openxmlformats.org/officeDocument/2006/relationships/hyperlink" Target="https://www.dsebd.org/displayCompany.php?name=BATBC" TargetMode="External"/><Relationship Id="rId6" Type="http://schemas.openxmlformats.org/officeDocument/2006/relationships/hyperlink" Target="https://www.dsebd.org/displayCompany.php?name=BATBC" TargetMode="External"/><Relationship Id="rId238" Type="http://schemas.openxmlformats.org/officeDocument/2006/relationships/hyperlink" Target="https://www.dsebd.org/displayCompany.php?name=BATBC" TargetMode="External"/><Relationship Id="rId23" Type="http://schemas.openxmlformats.org/officeDocument/2006/relationships/hyperlink" Target="https://www.dsebd.org/displayCompany.php?name=BATBC" TargetMode="External"/><Relationship Id="rId119" Type="http://schemas.openxmlformats.org/officeDocument/2006/relationships/hyperlink" Target="https://www.dsebd.org/displayCompany.php?name=BATBC" TargetMode="External"/><Relationship Id="rId44" Type="http://schemas.openxmlformats.org/officeDocument/2006/relationships/hyperlink" Target="https://www.dsebd.org/displayCompany.php?name=BATBC" TargetMode="External"/><Relationship Id="rId65" Type="http://schemas.openxmlformats.org/officeDocument/2006/relationships/hyperlink" Target="https://www.dsebd.org/displayCompany.php?name=BATBC" TargetMode="External"/><Relationship Id="rId86" Type="http://schemas.openxmlformats.org/officeDocument/2006/relationships/hyperlink" Target="https://www.dsebd.org/displayCompany.php?name=BATBC" TargetMode="External"/><Relationship Id="rId130" Type="http://schemas.openxmlformats.org/officeDocument/2006/relationships/hyperlink" Target="https://www.dsebd.org/displayCompany.php?name=BATBC" TargetMode="External"/><Relationship Id="rId151" Type="http://schemas.openxmlformats.org/officeDocument/2006/relationships/hyperlink" Target="https://www.dsebd.org/displayCompany.php?name=BATBC" TargetMode="External"/><Relationship Id="rId172" Type="http://schemas.openxmlformats.org/officeDocument/2006/relationships/hyperlink" Target="https://www.dsebd.org/displayCompany.php?name=BATBC" TargetMode="External"/><Relationship Id="rId193" Type="http://schemas.openxmlformats.org/officeDocument/2006/relationships/hyperlink" Target="https://www.dsebd.org/displayCompany.php?name=BATBC" TargetMode="External"/><Relationship Id="rId207" Type="http://schemas.openxmlformats.org/officeDocument/2006/relationships/hyperlink" Target="https://www.dsebd.org/displayCompany.php?name=BATBC" TargetMode="External"/><Relationship Id="rId228" Type="http://schemas.openxmlformats.org/officeDocument/2006/relationships/hyperlink" Target="https://www.dsebd.org/displayCompany.php?name=BATBC" TargetMode="External"/><Relationship Id="rId13" Type="http://schemas.openxmlformats.org/officeDocument/2006/relationships/hyperlink" Target="https://www.dsebd.org/displayCompany.php?name=BATBC" TargetMode="External"/><Relationship Id="rId109" Type="http://schemas.openxmlformats.org/officeDocument/2006/relationships/hyperlink" Target="https://www.dsebd.org/displayCompany.php?name=BATBC" TargetMode="External"/><Relationship Id="rId34" Type="http://schemas.openxmlformats.org/officeDocument/2006/relationships/hyperlink" Target="https://www.dsebd.org/displayCompany.php?name=BATBC" TargetMode="External"/><Relationship Id="rId55" Type="http://schemas.openxmlformats.org/officeDocument/2006/relationships/hyperlink" Target="https://www.dsebd.org/displayCompany.php?name=BATBC" TargetMode="External"/><Relationship Id="rId76" Type="http://schemas.openxmlformats.org/officeDocument/2006/relationships/hyperlink" Target="https://www.dsebd.org/displayCompany.php?name=BATBC" TargetMode="External"/><Relationship Id="rId97" Type="http://schemas.openxmlformats.org/officeDocument/2006/relationships/hyperlink" Target="https://www.dsebd.org/displayCompany.php?name=BATBC" TargetMode="External"/><Relationship Id="rId120" Type="http://schemas.openxmlformats.org/officeDocument/2006/relationships/hyperlink" Target="https://www.dsebd.org/displayCompany.php?name=BATBC" TargetMode="External"/><Relationship Id="rId141" Type="http://schemas.openxmlformats.org/officeDocument/2006/relationships/hyperlink" Target="https://www.dsebd.org/displayCompany.php?name=BATBC" TargetMode="External"/><Relationship Id="rId7" Type="http://schemas.openxmlformats.org/officeDocument/2006/relationships/hyperlink" Target="https://www.dsebd.org/displayCompany.php?name=BATBC" TargetMode="External"/><Relationship Id="rId162" Type="http://schemas.openxmlformats.org/officeDocument/2006/relationships/hyperlink" Target="https://www.dsebd.org/displayCompany.php?name=BATBC" TargetMode="External"/><Relationship Id="rId183" Type="http://schemas.openxmlformats.org/officeDocument/2006/relationships/hyperlink" Target="https://www.dsebd.org/displayCompany.php?name=BATBC" TargetMode="External"/><Relationship Id="rId218" Type="http://schemas.openxmlformats.org/officeDocument/2006/relationships/hyperlink" Target="https://www.dsebd.org/displayCompany.php?name=BATBC" TargetMode="External"/><Relationship Id="rId239" Type="http://schemas.openxmlformats.org/officeDocument/2006/relationships/hyperlink" Target="https://www.dsebd.org/displayCompany.php?name=BATBC" TargetMode="External"/><Relationship Id="rId24" Type="http://schemas.openxmlformats.org/officeDocument/2006/relationships/hyperlink" Target="https://www.dsebd.org/displayCompany.php?name=BATBC" TargetMode="External"/><Relationship Id="rId45" Type="http://schemas.openxmlformats.org/officeDocument/2006/relationships/hyperlink" Target="https://www.dsebd.org/displayCompany.php?name=BATBC" TargetMode="External"/><Relationship Id="rId66" Type="http://schemas.openxmlformats.org/officeDocument/2006/relationships/hyperlink" Target="https://www.dsebd.org/displayCompany.php?name=BATBC" TargetMode="External"/><Relationship Id="rId87" Type="http://schemas.openxmlformats.org/officeDocument/2006/relationships/hyperlink" Target="https://www.dsebd.org/displayCompany.php?name=BATBC" TargetMode="External"/><Relationship Id="rId110" Type="http://schemas.openxmlformats.org/officeDocument/2006/relationships/hyperlink" Target="https://www.dsebd.org/displayCompany.php?name=BATBC" TargetMode="External"/><Relationship Id="rId131" Type="http://schemas.openxmlformats.org/officeDocument/2006/relationships/hyperlink" Target="https://www.dsebd.org/displayCompany.php?name=BATBC" TargetMode="External"/><Relationship Id="rId152" Type="http://schemas.openxmlformats.org/officeDocument/2006/relationships/hyperlink" Target="https://www.dsebd.org/displayCompany.php?name=BATBC" TargetMode="External"/><Relationship Id="rId173" Type="http://schemas.openxmlformats.org/officeDocument/2006/relationships/hyperlink" Target="https://www.dsebd.org/displayCompany.php?name=BATBC" TargetMode="External"/><Relationship Id="rId194" Type="http://schemas.openxmlformats.org/officeDocument/2006/relationships/hyperlink" Target="https://www.dsebd.org/displayCompany.php?name=BATBC" TargetMode="External"/><Relationship Id="rId208" Type="http://schemas.openxmlformats.org/officeDocument/2006/relationships/hyperlink" Target="https://www.dsebd.org/displayCompany.php?name=BATBC" TargetMode="External"/><Relationship Id="rId229" Type="http://schemas.openxmlformats.org/officeDocument/2006/relationships/hyperlink" Target="https://www.dsebd.org/displayCompany.php?name=BATBC" TargetMode="External"/><Relationship Id="rId14" Type="http://schemas.openxmlformats.org/officeDocument/2006/relationships/hyperlink" Target="https://www.dsebd.org/displayCompany.php?name=BATBC" TargetMode="External"/><Relationship Id="rId35" Type="http://schemas.openxmlformats.org/officeDocument/2006/relationships/hyperlink" Target="https://www.dsebd.org/displayCompany.php?name=BATBC" TargetMode="External"/><Relationship Id="rId56" Type="http://schemas.openxmlformats.org/officeDocument/2006/relationships/hyperlink" Target="https://www.dsebd.org/displayCompany.php?name=BATBC" TargetMode="External"/><Relationship Id="rId77" Type="http://schemas.openxmlformats.org/officeDocument/2006/relationships/hyperlink" Target="https://www.dsebd.org/displayCompany.php?name=BATBC" TargetMode="External"/><Relationship Id="rId100" Type="http://schemas.openxmlformats.org/officeDocument/2006/relationships/hyperlink" Target="https://www.dsebd.org/displayCompany.php?name=BATBC" TargetMode="External"/><Relationship Id="rId8" Type="http://schemas.openxmlformats.org/officeDocument/2006/relationships/hyperlink" Target="https://www.dsebd.org/displayCompany.php?name=BATBC" TargetMode="External"/><Relationship Id="rId98" Type="http://schemas.openxmlformats.org/officeDocument/2006/relationships/hyperlink" Target="https://www.dsebd.org/displayCompany.php?name=BATBC" TargetMode="External"/><Relationship Id="rId121" Type="http://schemas.openxmlformats.org/officeDocument/2006/relationships/hyperlink" Target="https://www.dsebd.org/displayCompany.php?name=BATBC" TargetMode="External"/><Relationship Id="rId142" Type="http://schemas.openxmlformats.org/officeDocument/2006/relationships/hyperlink" Target="https://www.dsebd.org/displayCompany.php?name=BATBC" TargetMode="External"/><Relationship Id="rId163" Type="http://schemas.openxmlformats.org/officeDocument/2006/relationships/hyperlink" Target="https://www.dsebd.org/displayCompany.php?name=BATBC" TargetMode="External"/><Relationship Id="rId184" Type="http://schemas.openxmlformats.org/officeDocument/2006/relationships/hyperlink" Target="https://www.dsebd.org/displayCompany.php?name=BATBC" TargetMode="External"/><Relationship Id="rId219" Type="http://schemas.openxmlformats.org/officeDocument/2006/relationships/hyperlink" Target="https://www.dsebd.org/displayCompany.php?name=BATBC" TargetMode="External"/><Relationship Id="rId230" Type="http://schemas.openxmlformats.org/officeDocument/2006/relationships/hyperlink" Target="https://www.dsebd.org/displayCompany.php?name=BATBC" TargetMode="External"/><Relationship Id="rId25" Type="http://schemas.openxmlformats.org/officeDocument/2006/relationships/hyperlink" Target="https://www.dsebd.org/displayCompany.php?name=BATBC" TargetMode="External"/><Relationship Id="rId46" Type="http://schemas.openxmlformats.org/officeDocument/2006/relationships/hyperlink" Target="https://www.dsebd.org/displayCompany.php?name=BATBC" TargetMode="External"/><Relationship Id="rId67" Type="http://schemas.openxmlformats.org/officeDocument/2006/relationships/hyperlink" Target="https://www.dsebd.org/displayCompany.php?name=BATBC" TargetMode="External"/><Relationship Id="rId88" Type="http://schemas.openxmlformats.org/officeDocument/2006/relationships/hyperlink" Target="https://www.dsebd.org/displayCompany.php?name=BATBC" TargetMode="External"/><Relationship Id="rId111" Type="http://schemas.openxmlformats.org/officeDocument/2006/relationships/hyperlink" Target="https://www.dsebd.org/displayCompany.php?name=BATBC" TargetMode="External"/><Relationship Id="rId132" Type="http://schemas.openxmlformats.org/officeDocument/2006/relationships/hyperlink" Target="https://www.dsebd.org/displayCompany.php?name=BATBC" TargetMode="External"/><Relationship Id="rId153" Type="http://schemas.openxmlformats.org/officeDocument/2006/relationships/hyperlink" Target="https://www.dsebd.org/displayCompany.php?name=BATBC" TargetMode="External"/><Relationship Id="rId174" Type="http://schemas.openxmlformats.org/officeDocument/2006/relationships/hyperlink" Target="https://www.dsebd.org/displayCompany.php?name=BATBC" TargetMode="External"/><Relationship Id="rId195" Type="http://schemas.openxmlformats.org/officeDocument/2006/relationships/hyperlink" Target="https://www.dsebd.org/displayCompany.php?name=BATBC" TargetMode="External"/><Relationship Id="rId209" Type="http://schemas.openxmlformats.org/officeDocument/2006/relationships/hyperlink" Target="https://www.dsebd.org/displayCompany.php?name=BATBC" TargetMode="External"/><Relationship Id="rId190" Type="http://schemas.openxmlformats.org/officeDocument/2006/relationships/hyperlink" Target="https://www.dsebd.org/displayCompany.php?name=BATBC" TargetMode="External"/><Relationship Id="rId204" Type="http://schemas.openxmlformats.org/officeDocument/2006/relationships/hyperlink" Target="https://www.dsebd.org/displayCompany.php?name=BATBC" TargetMode="External"/><Relationship Id="rId220" Type="http://schemas.openxmlformats.org/officeDocument/2006/relationships/hyperlink" Target="https://www.dsebd.org/displayCompany.php?name=BATBC" TargetMode="External"/><Relationship Id="rId225" Type="http://schemas.openxmlformats.org/officeDocument/2006/relationships/hyperlink" Target="https://www.dsebd.org/displayCompany.php?name=BATBC" TargetMode="External"/><Relationship Id="rId15" Type="http://schemas.openxmlformats.org/officeDocument/2006/relationships/hyperlink" Target="https://www.dsebd.org/displayCompany.php?name=BATBC" TargetMode="External"/><Relationship Id="rId36" Type="http://schemas.openxmlformats.org/officeDocument/2006/relationships/hyperlink" Target="https://www.dsebd.org/displayCompany.php?name=BATBC" TargetMode="External"/><Relationship Id="rId57" Type="http://schemas.openxmlformats.org/officeDocument/2006/relationships/hyperlink" Target="https://www.dsebd.org/displayCompany.php?name=BATBC" TargetMode="External"/><Relationship Id="rId106" Type="http://schemas.openxmlformats.org/officeDocument/2006/relationships/hyperlink" Target="https://www.dsebd.org/displayCompany.php?name=BATBC" TargetMode="External"/><Relationship Id="rId127" Type="http://schemas.openxmlformats.org/officeDocument/2006/relationships/hyperlink" Target="https://www.dsebd.org/displayCompany.php?name=BATBC" TargetMode="External"/><Relationship Id="rId10" Type="http://schemas.openxmlformats.org/officeDocument/2006/relationships/hyperlink" Target="https://www.dsebd.org/displayCompany.php?name=BATBC" TargetMode="External"/><Relationship Id="rId31" Type="http://schemas.openxmlformats.org/officeDocument/2006/relationships/hyperlink" Target="https://www.dsebd.org/displayCompany.php?name=BATBC" TargetMode="External"/><Relationship Id="rId52" Type="http://schemas.openxmlformats.org/officeDocument/2006/relationships/hyperlink" Target="https://www.dsebd.org/displayCompany.php?name=BATBC" TargetMode="External"/><Relationship Id="rId73" Type="http://schemas.openxmlformats.org/officeDocument/2006/relationships/hyperlink" Target="https://www.dsebd.org/displayCompany.php?name=BATBC" TargetMode="External"/><Relationship Id="rId78" Type="http://schemas.openxmlformats.org/officeDocument/2006/relationships/hyperlink" Target="https://www.dsebd.org/displayCompany.php?name=BATBC" TargetMode="External"/><Relationship Id="rId94" Type="http://schemas.openxmlformats.org/officeDocument/2006/relationships/hyperlink" Target="https://www.dsebd.org/displayCompany.php?name=BATBC" TargetMode="External"/><Relationship Id="rId99" Type="http://schemas.openxmlformats.org/officeDocument/2006/relationships/hyperlink" Target="https://www.dsebd.org/displayCompany.php?name=BATBC" TargetMode="External"/><Relationship Id="rId101" Type="http://schemas.openxmlformats.org/officeDocument/2006/relationships/hyperlink" Target="https://www.dsebd.org/displayCompany.php?name=BATBC" TargetMode="External"/><Relationship Id="rId122" Type="http://schemas.openxmlformats.org/officeDocument/2006/relationships/hyperlink" Target="https://www.dsebd.org/displayCompany.php?name=BATBC" TargetMode="External"/><Relationship Id="rId143" Type="http://schemas.openxmlformats.org/officeDocument/2006/relationships/hyperlink" Target="https://www.dsebd.org/displayCompany.php?name=BATBC" TargetMode="External"/><Relationship Id="rId148" Type="http://schemas.openxmlformats.org/officeDocument/2006/relationships/hyperlink" Target="https://www.dsebd.org/displayCompany.php?name=BATBC" TargetMode="External"/><Relationship Id="rId164" Type="http://schemas.openxmlformats.org/officeDocument/2006/relationships/hyperlink" Target="https://www.dsebd.org/displayCompany.php?name=BATBC" TargetMode="External"/><Relationship Id="rId169" Type="http://schemas.openxmlformats.org/officeDocument/2006/relationships/hyperlink" Target="https://www.dsebd.org/displayCompany.php?name=BATBC" TargetMode="External"/><Relationship Id="rId185" Type="http://schemas.openxmlformats.org/officeDocument/2006/relationships/hyperlink" Target="https://www.dsebd.org/displayCompany.php?name=BATBC" TargetMode="External"/><Relationship Id="rId4" Type="http://schemas.openxmlformats.org/officeDocument/2006/relationships/hyperlink" Target="https://www.dsebd.org/displayCompany.php?name=BATBC" TargetMode="External"/><Relationship Id="rId9" Type="http://schemas.openxmlformats.org/officeDocument/2006/relationships/hyperlink" Target="https://www.dsebd.org/displayCompany.php?name=BATBC" TargetMode="External"/><Relationship Id="rId180" Type="http://schemas.openxmlformats.org/officeDocument/2006/relationships/hyperlink" Target="https://www.dsebd.org/displayCompany.php?name=BATBC" TargetMode="External"/><Relationship Id="rId210" Type="http://schemas.openxmlformats.org/officeDocument/2006/relationships/hyperlink" Target="https://www.dsebd.org/displayCompany.php?name=BATBC" TargetMode="External"/><Relationship Id="rId215" Type="http://schemas.openxmlformats.org/officeDocument/2006/relationships/hyperlink" Target="https://www.dsebd.org/displayCompany.php?name=BATBC" TargetMode="External"/><Relationship Id="rId236" Type="http://schemas.openxmlformats.org/officeDocument/2006/relationships/hyperlink" Target="https://www.dsebd.org/displayCompany.php?name=BATBC" TargetMode="External"/><Relationship Id="rId26" Type="http://schemas.openxmlformats.org/officeDocument/2006/relationships/hyperlink" Target="https://www.dsebd.org/displayCompany.php?name=BATBC" TargetMode="External"/><Relationship Id="rId231" Type="http://schemas.openxmlformats.org/officeDocument/2006/relationships/hyperlink" Target="https://www.dsebd.org/displayCompany.php?name=BATBC" TargetMode="External"/><Relationship Id="rId47" Type="http://schemas.openxmlformats.org/officeDocument/2006/relationships/hyperlink" Target="https://www.dsebd.org/displayCompany.php?name=BATBC" TargetMode="External"/><Relationship Id="rId68" Type="http://schemas.openxmlformats.org/officeDocument/2006/relationships/hyperlink" Target="https://www.dsebd.org/displayCompany.php?name=BATBC" TargetMode="External"/><Relationship Id="rId89" Type="http://schemas.openxmlformats.org/officeDocument/2006/relationships/hyperlink" Target="https://www.dsebd.org/displayCompany.php?name=BATBC" TargetMode="External"/><Relationship Id="rId112" Type="http://schemas.openxmlformats.org/officeDocument/2006/relationships/hyperlink" Target="https://www.dsebd.org/displayCompany.php?name=BATBC" TargetMode="External"/><Relationship Id="rId133" Type="http://schemas.openxmlformats.org/officeDocument/2006/relationships/hyperlink" Target="https://www.dsebd.org/displayCompany.php?name=BATBC" TargetMode="External"/><Relationship Id="rId154" Type="http://schemas.openxmlformats.org/officeDocument/2006/relationships/hyperlink" Target="https://www.dsebd.org/displayCompany.php?name=BATBC" TargetMode="External"/><Relationship Id="rId175" Type="http://schemas.openxmlformats.org/officeDocument/2006/relationships/hyperlink" Target="https://www.dsebd.org/displayCompany.php?name=BATBC" TargetMode="External"/><Relationship Id="rId196" Type="http://schemas.openxmlformats.org/officeDocument/2006/relationships/hyperlink" Target="https://www.dsebd.org/displayCompany.php?name=BATBC" TargetMode="External"/><Relationship Id="rId200" Type="http://schemas.openxmlformats.org/officeDocument/2006/relationships/hyperlink" Target="https://www.dsebd.org/displayCompany.php?name=BATBC" TargetMode="External"/><Relationship Id="rId16" Type="http://schemas.openxmlformats.org/officeDocument/2006/relationships/hyperlink" Target="https://www.dsebd.org/displayCompany.php?name=BATBC" TargetMode="External"/><Relationship Id="rId221" Type="http://schemas.openxmlformats.org/officeDocument/2006/relationships/hyperlink" Target="https://www.dsebd.org/displayCompany.php?name=BATBC" TargetMode="External"/><Relationship Id="rId37" Type="http://schemas.openxmlformats.org/officeDocument/2006/relationships/hyperlink" Target="https://www.dsebd.org/displayCompany.php?name=BATBC" TargetMode="External"/><Relationship Id="rId58" Type="http://schemas.openxmlformats.org/officeDocument/2006/relationships/hyperlink" Target="https://www.dsebd.org/displayCompany.php?name=BATBC" TargetMode="External"/><Relationship Id="rId79" Type="http://schemas.openxmlformats.org/officeDocument/2006/relationships/hyperlink" Target="https://www.dsebd.org/displayCompany.php?name=BATBC" TargetMode="External"/><Relationship Id="rId102" Type="http://schemas.openxmlformats.org/officeDocument/2006/relationships/hyperlink" Target="https://www.dsebd.org/displayCompany.php?name=BATBC" TargetMode="External"/><Relationship Id="rId123" Type="http://schemas.openxmlformats.org/officeDocument/2006/relationships/hyperlink" Target="https://www.dsebd.org/displayCompany.php?name=BATBC" TargetMode="External"/><Relationship Id="rId144" Type="http://schemas.openxmlformats.org/officeDocument/2006/relationships/hyperlink" Target="https://www.dsebd.org/displayCompany.php?name=BATBC" TargetMode="External"/><Relationship Id="rId90" Type="http://schemas.openxmlformats.org/officeDocument/2006/relationships/hyperlink" Target="https://www.dsebd.org/displayCompany.php?name=BATBC" TargetMode="External"/><Relationship Id="rId165" Type="http://schemas.openxmlformats.org/officeDocument/2006/relationships/hyperlink" Target="https://www.dsebd.org/displayCompany.php?name=BATBC" TargetMode="External"/><Relationship Id="rId186" Type="http://schemas.openxmlformats.org/officeDocument/2006/relationships/hyperlink" Target="https://www.dsebd.org/displayCompany.php?name=BATBC" TargetMode="External"/><Relationship Id="rId211" Type="http://schemas.openxmlformats.org/officeDocument/2006/relationships/hyperlink" Target="https://www.dsebd.org/displayCompany.php?name=BATBC" TargetMode="External"/><Relationship Id="rId232" Type="http://schemas.openxmlformats.org/officeDocument/2006/relationships/hyperlink" Target="https://www.dsebd.org/displayCompany.php?name=BATBC" TargetMode="External"/><Relationship Id="rId27" Type="http://schemas.openxmlformats.org/officeDocument/2006/relationships/hyperlink" Target="https://www.dsebd.org/displayCompany.php?name=BATBC" TargetMode="External"/><Relationship Id="rId48" Type="http://schemas.openxmlformats.org/officeDocument/2006/relationships/hyperlink" Target="https://www.dsebd.org/displayCompany.php?name=BATBC" TargetMode="External"/><Relationship Id="rId69" Type="http://schemas.openxmlformats.org/officeDocument/2006/relationships/hyperlink" Target="https://www.dsebd.org/displayCompany.php?name=BATBC" TargetMode="External"/><Relationship Id="rId113" Type="http://schemas.openxmlformats.org/officeDocument/2006/relationships/hyperlink" Target="https://www.dsebd.org/displayCompany.php?name=BATBC" TargetMode="External"/><Relationship Id="rId134" Type="http://schemas.openxmlformats.org/officeDocument/2006/relationships/hyperlink" Target="https://www.dsebd.org/displayCompany.php?name=BATBC" TargetMode="External"/><Relationship Id="rId80" Type="http://schemas.openxmlformats.org/officeDocument/2006/relationships/hyperlink" Target="https://www.dsebd.org/displayCompany.php?name=BATBC" TargetMode="External"/><Relationship Id="rId155" Type="http://schemas.openxmlformats.org/officeDocument/2006/relationships/hyperlink" Target="https://www.dsebd.org/displayCompany.php?name=BATBC" TargetMode="External"/><Relationship Id="rId176" Type="http://schemas.openxmlformats.org/officeDocument/2006/relationships/hyperlink" Target="https://www.dsebd.org/displayCompany.php?name=BATBC" TargetMode="External"/><Relationship Id="rId197" Type="http://schemas.openxmlformats.org/officeDocument/2006/relationships/hyperlink" Target="https://www.dsebd.org/displayCompany.php?name=BATBC" TargetMode="External"/><Relationship Id="rId201" Type="http://schemas.openxmlformats.org/officeDocument/2006/relationships/hyperlink" Target="https://www.dsebd.org/displayCompany.php?name=BATBC" TargetMode="External"/><Relationship Id="rId222" Type="http://schemas.openxmlformats.org/officeDocument/2006/relationships/hyperlink" Target="https://www.dsebd.org/displayCompany.php?name=BATBC" TargetMode="External"/><Relationship Id="rId17" Type="http://schemas.openxmlformats.org/officeDocument/2006/relationships/hyperlink" Target="https://www.dsebd.org/displayCompany.php?name=BATBC" TargetMode="External"/><Relationship Id="rId38" Type="http://schemas.openxmlformats.org/officeDocument/2006/relationships/hyperlink" Target="https://www.dsebd.org/displayCompany.php?name=BATBC" TargetMode="External"/><Relationship Id="rId59" Type="http://schemas.openxmlformats.org/officeDocument/2006/relationships/hyperlink" Target="https://www.dsebd.org/displayCompany.php?name=BATBC" TargetMode="External"/><Relationship Id="rId103" Type="http://schemas.openxmlformats.org/officeDocument/2006/relationships/hyperlink" Target="https://www.dsebd.org/displayCompany.php?name=BATBC" TargetMode="External"/><Relationship Id="rId124" Type="http://schemas.openxmlformats.org/officeDocument/2006/relationships/hyperlink" Target="https://www.dsebd.org/displayCompany.php?name=BATBC" TargetMode="External"/><Relationship Id="rId70" Type="http://schemas.openxmlformats.org/officeDocument/2006/relationships/hyperlink" Target="https://www.dsebd.org/displayCompany.php?name=BATBC" TargetMode="External"/><Relationship Id="rId91" Type="http://schemas.openxmlformats.org/officeDocument/2006/relationships/hyperlink" Target="https://www.dsebd.org/displayCompany.php?name=BATBC" TargetMode="External"/><Relationship Id="rId145" Type="http://schemas.openxmlformats.org/officeDocument/2006/relationships/hyperlink" Target="https://www.dsebd.org/displayCompany.php?name=BATBC" TargetMode="External"/><Relationship Id="rId166" Type="http://schemas.openxmlformats.org/officeDocument/2006/relationships/hyperlink" Target="https://www.dsebd.org/displayCompany.php?name=BATBC" TargetMode="External"/><Relationship Id="rId187" Type="http://schemas.openxmlformats.org/officeDocument/2006/relationships/hyperlink" Target="https://www.dsebd.org/displayCompany.php?name=BATBC" TargetMode="External"/><Relationship Id="rId1" Type="http://schemas.openxmlformats.org/officeDocument/2006/relationships/hyperlink" Target="https://www.dsebd.org/displayCompany.php?name=BATBC" TargetMode="External"/><Relationship Id="rId212" Type="http://schemas.openxmlformats.org/officeDocument/2006/relationships/hyperlink" Target="https://www.dsebd.org/displayCompany.php?name=BATBC" TargetMode="External"/><Relationship Id="rId233" Type="http://schemas.openxmlformats.org/officeDocument/2006/relationships/hyperlink" Target="https://www.dsebd.org/displayCompany.php?name=BATBC" TargetMode="External"/><Relationship Id="rId28" Type="http://schemas.openxmlformats.org/officeDocument/2006/relationships/hyperlink" Target="https://www.dsebd.org/displayCompany.php?name=BATBC" TargetMode="External"/><Relationship Id="rId49" Type="http://schemas.openxmlformats.org/officeDocument/2006/relationships/hyperlink" Target="https://www.dsebd.org/displayCompany.php?name=BATBC" TargetMode="External"/><Relationship Id="rId114" Type="http://schemas.openxmlformats.org/officeDocument/2006/relationships/hyperlink" Target="https://www.dsebd.org/displayCompany.php?name=BATBC" TargetMode="External"/><Relationship Id="rId60" Type="http://schemas.openxmlformats.org/officeDocument/2006/relationships/hyperlink" Target="https://www.dsebd.org/displayCompany.php?name=BATBC" TargetMode="External"/><Relationship Id="rId81" Type="http://schemas.openxmlformats.org/officeDocument/2006/relationships/hyperlink" Target="https://www.dsebd.org/displayCompany.php?name=BATBC" TargetMode="External"/><Relationship Id="rId135" Type="http://schemas.openxmlformats.org/officeDocument/2006/relationships/hyperlink" Target="https://www.dsebd.org/displayCompany.php?name=BATBC" TargetMode="External"/><Relationship Id="rId156" Type="http://schemas.openxmlformats.org/officeDocument/2006/relationships/hyperlink" Target="https://www.dsebd.org/displayCompany.php?name=BATBC" TargetMode="External"/><Relationship Id="rId177" Type="http://schemas.openxmlformats.org/officeDocument/2006/relationships/hyperlink" Target="https://www.dsebd.org/displayCompany.php?name=BATBC" TargetMode="External"/><Relationship Id="rId198" Type="http://schemas.openxmlformats.org/officeDocument/2006/relationships/hyperlink" Target="https://www.dsebd.org/displayCompany.php?name=BATBC" TargetMode="External"/><Relationship Id="rId202" Type="http://schemas.openxmlformats.org/officeDocument/2006/relationships/hyperlink" Target="https://www.dsebd.org/displayCompany.php?name=BATBC" TargetMode="External"/><Relationship Id="rId223" Type="http://schemas.openxmlformats.org/officeDocument/2006/relationships/hyperlink" Target="https://www.dsebd.org/displayCompany.php?name=BATBC" TargetMode="External"/><Relationship Id="rId18" Type="http://schemas.openxmlformats.org/officeDocument/2006/relationships/hyperlink" Target="https://www.dsebd.org/displayCompany.php?name=BATBC" TargetMode="External"/><Relationship Id="rId39" Type="http://schemas.openxmlformats.org/officeDocument/2006/relationships/hyperlink" Target="https://www.dsebd.org/displayCompany.php?name=BATBC" TargetMode="External"/><Relationship Id="rId50" Type="http://schemas.openxmlformats.org/officeDocument/2006/relationships/hyperlink" Target="https://www.dsebd.org/displayCompany.php?name=BATBC" TargetMode="External"/><Relationship Id="rId104" Type="http://schemas.openxmlformats.org/officeDocument/2006/relationships/hyperlink" Target="https://www.dsebd.org/displayCompany.php?name=BATBC" TargetMode="External"/><Relationship Id="rId125" Type="http://schemas.openxmlformats.org/officeDocument/2006/relationships/hyperlink" Target="https://www.dsebd.org/displayCompany.php?name=BATBC" TargetMode="External"/><Relationship Id="rId146" Type="http://schemas.openxmlformats.org/officeDocument/2006/relationships/hyperlink" Target="https://www.dsebd.org/displayCompany.php?name=BATBC" TargetMode="External"/><Relationship Id="rId167" Type="http://schemas.openxmlformats.org/officeDocument/2006/relationships/hyperlink" Target="https://www.dsebd.org/displayCompany.php?name=BATBC" TargetMode="External"/><Relationship Id="rId188" Type="http://schemas.openxmlformats.org/officeDocument/2006/relationships/hyperlink" Target="https://www.dsebd.org/displayCompany.php?name=BATBC" TargetMode="External"/><Relationship Id="rId71" Type="http://schemas.openxmlformats.org/officeDocument/2006/relationships/hyperlink" Target="https://www.dsebd.org/displayCompany.php?name=BATBC" TargetMode="External"/><Relationship Id="rId92" Type="http://schemas.openxmlformats.org/officeDocument/2006/relationships/hyperlink" Target="https://www.dsebd.org/displayCompany.php?name=BATBC" TargetMode="External"/><Relationship Id="rId213" Type="http://schemas.openxmlformats.org/officeDocument/2006/relationships/hyperlink" Target="https://www.dsebd.org/displayCompany.php?name=BATBC" TargetMode="External"/><Relationship Id="rId234" Type="http://schemas.openxmlformats.org/officeDocument/2006/relationships/hyperlink" Target="https://www.dsebd.org/displayCompany.php?name=BATBC" TargetMode="External"/><Relationship Id="rId2" Type="http://schemas.openxmlformats.org/officeDocument/2006/relationships/hyperlink" Target="https://www.dsebd.org/displayCompany.php?name=BATBC" TargetMode="External"/><Relationship Id="rId29" Type="http://schemas.openxmlformats.org/officeDocument/2006/relationships/hyperlink" Target="https://www.dsebd.org/displayCompany.php?name=BATBC" TargetMode="External"/><Relationship Id="rId40" Type="http://schemas.openxmlformats.org/officeDocument/2006/relationships/hyperlink" Target="https://www.dsebd.org/displayCompany.php?name=BATBC" TargetMode="External"/><Relationship Id="rId115" Type="http://schemas.openxmlformats.org/officeDocument/2006/relationships/hyperlink" Target="https://www.dsebd.org/displayCompany.php?name=BATBC" TargetMode="External"/><Relationship Id="rId136" Type="http://schemas.openxmlformats.org/officeDocument/2006/relationships/hyperlink" Target="https://www.dsebd.org/displayCompany.php?name=BATBC" TargetMode="External"/><Relationship Id="rId157" Type="http://schemas.openxmlformats.org/officeDocument/2006/relationships/hyperlink" Target="https://www.dsebd.org/displayCompany.php?name=BATBC" TargetMode="External"/><Relationship Id="rId178" Type="http://schemas.openxmlformats.org/officeDocument/2006/relationships/hyperlink" Target="https://www.dsebd.org/displayCompany.php?name=BATBC" TargetMode="External"/><Relationship Id="rId61" Type="http://schemas.openxmlformats.org/officeDocument/2006/relationships/hyperlink" Target="https://www.dsebd.org/displayCompany.php?name=BATBC" TargetMode="External"/><Relationship Id="rId82" Type="http://schemas.openxmlformats.org/officeDocument/2006/relationships/hyperlink" Target="https://www.dsebd.org/displayCompany.php?name=BATBC" TargetMode="External"/><Relationship Id="rId199" Type="http://schemas.openxmlformats.org/officeDocument/2006/relationships/hyperlink" Target="https://www.dsebd.org/displayCompany.php?name=BATBC" TargetMode="External"/><Relationship Id="rId203" Type="http://schemas.openxmlformats.org/officeDocument/2006/relationships/hyperlink" Target="https://www.dsebd.org/displayCompany.php?name=BATBC" TargetMode="External"/><Relationship Id="rId19" Type="http://schemas.openxmlformats.org/officeDocument/2006/relationships/hyperlink" Target="https://www.dsebd.org/displayCompany.php?name=BATBC" TargetMode="External"/><Relationship Id="rId224" Type="http://schemas.openxmlformats.org/officeDocument/2006/relationships/hyperlink" Target="https://www.dsebd.org/displayCompany.php?name=BATBC" TargetMode="External"/><Relationship Id="rId30" Type="http://schemas.openxmlformats.org/officeDocument/2006/relationships/hyperlink" Target="https://www.dsebd.org/displayCompany.php?name=BATBC" TargetMode="External"/><Relationship Id="rId105" Type="http://schemas.openxmlformats.org/officeDocument/2006/relationships/hyperlink" Target="https://www.dsebd.org/displayCompany.php?name=BATBC" TargetMode="External"/><Relationship Id="rId126" Type="http://schemas.openxmlformats.org/officeDocument/2006/relationships/hyperlink" Target="https://www.dsebd.org/displayCompany.php?name=BATBC" TargetMode="External"/><Relationship Id="rId147" Type="http://schemas.openxmlformats.org/officeDocument/2006/relationships/hyperlink" Target="https://www.dsebd.org/displayCompany.php?name=BATBC" TargetMode="External"/><Relationship Id="rId168" Type="http://schemas.openxmlformats.org/officeDocument/2006/relationships/hyperlink" Target="https://www.dsebd.org/displayCompany.php?name=BATBC" TargetMode="External"/><Relationship Id="rId51" Type="http://schemas.openxmlformats.org/officeDocument/2006/relationships/hyperlink" Target="https://www.dsebd.org/displayCompany.php?name=BATBC" TargetMode="External"/><Relationship Id="rId72" Type="http://schemas.openxmlformats.org/officeDocument/2006/relationships/hyperlink" Target="https://www.dsebd.org/displayCompany.php?name=BATBC" TargetMode="External"/><Relationship Id="rId93" Type="http://schemas.openxmlformats.org/officeDocument/2006/relationships/hyperlink" Target="https://www.dsebd.org/displayCompany.php?name=BATBC" TargetMode="External"/><Relationship Id="rId189" Type="http://schemas.openxmlformats.org/officeDocument/2006/relationships/hyperlink" Target="https://www.dsebd.org/displayCompany.php?name=BATBC" TargetMode="External"/><Relationship Id="rId3" Type="http://schemas.openxmlformats.org/officeDocument/2006/relationships/hyperlink" Target="https://www.dsebd.org/displayCompany.php?name=BATBC" TargetMode="External"/><Relationship Id="rId214" Type="http://schemas.openxmlformats.org/officeDocument/2006/relationships/hyperlink" Target="https://www.dsebd.org/displayCompany.php?name=BATBC" TargetMode="External"/><Relationship Id="rId235" Type="http://schemas.openxmlformats.org/officeDocument/2006/relationships/hyperlink" Target="https://www.dsebd.org/displayCompany.php?name=BATBC" TargetMode="External"/><Relationship Id="rId116" Type="http://schemas.openxmlformats.org/officeDocument/2006/relationships/hyperlink" Target="https://www.dsebd.org/displayCompany.php?name=BATBC" TargetMode="External"/><Relationship Id="rId137" Type="http://schemas.openxmlformats.org/officeDocument/2006/relationships/hyperlink" Target="https://www.dsebd.org/displayCompany.php?name=BATBC" TargetMode="External"/><Relationship Id="rId158" Type="http://schemas.openxmlformats.org/officeDocument/2006/relationships/hyperlink" Target="https://www.dsebd.org/displayCompany.php?name=BATBC" TargetMode="External"/><Relationship Id="rId20" Type="http://schemas.openxmlformats.org/officeDocument/2006/relationships/hyperlink" Target="https://www.dsebd.org/displayCompany.php?name=BATBC" TargetMode="External"/><Relationship Id="rId41" Type="http://schemas.openxmlformats.org/officeDocument/2006/relationships/hyperlink" Target="https://www.dsebd.org/displayCompany.php?name=BATBC" TargetMode="External"/><Relationship Id="rId62" Type="http://schemas.openxmlformats.org/officeDocument/2006/relationships/hyperlink" Target="https://www.dsebd.org/displayCompany.php?name=BATBC" TargetMode="External"/><Relationship Id="rId83" Type="http://schemas.openxmlformats.org/officeDocument/2006/relationships/hyperlink" Target="https://www.dsebd.org/displayCompany.php?name=BATBC" TargetMode="External"/><Relationship Id="rId179" Type="http://schemas.openxmlformats.org/officeDocument/2006/relationships/hyperlink" Target="https://www.dsebd.org/displayCompany.php?name=BATBC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sebd.org/displayCompany.php?name=RAHIMAFOOD" TargetMode="External"/><Relationship Id="rId21" Type="http://schemas.openxmlformats.org/officeDocument/2006/relationships/hyperlink" Target="https://www.dsebd.org/displayCompany.php?name=RAHIMAFOOD" TargetMode="External"/><Relationship Id="rId42" Type="http://schemas.openxmlformats.org/officeDocument/2006/relationships/hyperlink" Target="https://www.dsebd.org/displayCompany.php?name=RAHIMAFOOD" TargetMode="External"/><Relationship Id="rId63" Type="http://schemas.openxmlformats.org/officeDocument/2006/relationships/hyperlink" Target="https://www.dsebd.org/displayCompany.php?name=RAHIMAFOOD" TargetMode="External"/><Relationship Id="rId84" Type="http://schemas.openxmlformats.org/officeDocument/2006/relationships/hyperlink" Target="https://www.dsebd.org/displayCompany.php?name=RAHIMAFOOD" TargetMode="External"/><Relationship Id="rId138" Type="http://schemas.openxmlformats.org/officeDocument/2006/relationships/hyperlink" Target="https://www.dsebd.org/displayCompany.php?name=RAHIMAFOOD" TargetMode="External"/><Relationship Id="rId159" Type="http://schemas.openxmlformats.org/officeDocument/2006/relationships/hyperlink" Target="https://www.dsebd.org/displayCompany.php?name=RAHIMAFOOD" TargetMode="External"/><Relationship Id="rId170" Type="http://schemas.openxmlformats.org/officeDocument/2006/relationships/hyperlink" Target="https://www.dsebd.org/displayCompany.php?name=RAHIMAFOOD" TargetMode="External"/><Relationship Id="rId191" Type="http://schemas.openxmlformats.org/officeDocument/2006/relationships/hyperlink" Target="https://www.dsebd.org/displayCompany.php?name=RAHIMAFOOD" TargetMode="External"/><Relationship Id="rId205" Type="http://schemas.openxmlformats.org/officeDocument/2006/relationships/hyperlink" Target="https://www.dsebd.org/displayCompany.php?name=RAHIMAFOOD" TargetMode="External"/><Relationship Id="rId226" Type="http://schemas.openxmlformats.org/officeDocument/2006/relationships/hyperlink" Target="https://www.dsebd.org/displayCompany.php?name=RAHIMAFOOD" TargetMode="External"/><Relationship Id="rId107" Type="http://schemas.openxmlformats.org/officeDocument/2006/relationships/hyperlink" Target="https://www.dsebd.org/displayCompany.php?name=RAHIMAFOOD" TargetMode="External"/><Relationship Id="rId11" Type="http://schemas.openxmlformats.org/officeDocument/2006/relationships/hyperlink" Target="https://www.dsebd.org/displayCompany.php?name=RAHIMAFOOD" TargetMode="External"/><Relationship Id="rId32" Type="http://schemas.openxmlformats.org/officeDocument/2006/relationships/hyperlink" Target="https://www.dsebd.org/displayCompany.php?name=RAHIMAFOOD" TargetMode="External"/><Relationship Id="rId53" Type="http://schemas.openxmlformats.org/officeDocument/2006/relationships/hyperlink" Target="https://www.dsebd.org/displayCompany.php?name=RAHIMAFOOD" TargetMode="External"/><Relationship Id="rId74" Type="http://schemas.openxmlformats.org/officeDocument/2006/relationships/hyperlink" Target="https://www.dsebd.org/displayCompany.php?name=RAHIMAFOOD" TargetMode="External"/><Relationship Id="rId128" Type="http://schemas.openxmlformats.org/officeDocument/2006/relationships/hyperlink" Target="https://www.dsebd.org/displayCompany.php?name=RAHIMAFOOD" TargetMode="External"/><Relationship Id="rId149" Type="http://schemas.openxmlformats.org/officeDocument/2006/relationships/hyperlink" Target="https://www.dsebd.org/displayCompany.php?name=RAHIMAFOOD" TargetMode="External"/><Relationship Id="rId5" Type="http://schemas.openxmlformats.org/officeDocument/2006/relationships/hyperlink" Target="https://www.dsebd.org/displayCompany.php?name=RAHIMAFOOD" TargetMode="External"/><Relationship Id="rId95" Type="http://schemas.openxmlformats.org/officeDocument/2006/relationships/hyperlink" Target="https://www.dsebd.org/displayCompany.php?name=RAHIMAFOOD" TargetMode="External"/><Relationship Id="rId160" Type="http://schemas.openxmlformats.org/officeDocument/2006/relationships/hyperlink" Target="https://www.dsebd.org/displayCompany.php?name=RAHIMAFOOD" TargetMode="External"/><Relationship Id="rId181" Type="http://schemas.openxmlformats.org/officeDocument/2006/relationships/hyperlink" Target="https://www.dsebd.org/displayCompany.php?name=RAHIMAFOOD" TargetMode="External"/><Relationship Id="rId216" Type="http://schemas.openxmlformats.org/officeDocument/2006/relationships/hyperlink" Target="https://www.dsebd.org/displayCompany.php?name=RAHIMAFOOD" TargetMode="External"/><Relationship Id="rId237" Type="http://schemas.openxmlformats.org/officeDocument/2006/relationships/hyperlink" Target="https://www.dsebd.org/displayCompany.php?name=RAHIMAFOOD" TargetMode="External"/><Relationship Id="rId22" Type="http://schemas.openxmlformats.org/officeDocument/2006/relationships/hyperlink" Target="https://www.dsebd.org/displayCompany.php?name=RAHIMAFOOD" TargetMode="External"/><Relationship Id="rId43" Type="http://schemas.openxmlformats.org/officeDocument/2006/relationships/hyperlink" Target="https://www.dsebd.org/displayCompany.php?name=RAHIMAFOOD" TargetMode="External"/><Relationship Id="rId64" Type="http://schemas.openxmlformats.org/officeDocument/2006/relationships/hyperlink" Target="https://www.dsebd.org/displayCompany.php?name=RAHIMAFOOD" TargetMode="External"/><Relationship Id="rId118" Type="http://schemas.openxmlformats.org/officeDocument/2006/relationships/hyperlink" Target="https://www.dsebd.org/displayCompany.php?name=RAHIMAFOOD" TargetMode="External"/><Relationship Id="rId139" Type="http://schemas.openxmlformats.org/officeDocument/2006/relationships/hyperlink" Target="https://www.dsebd.org/displayCompany.php?name=RAHIMAFOOD" TargetMode="External"/><Relationship Id="rId85" Type="http://schemas.openxmlformats.org/officeDocument/2006/relationships/hyperlink" Target="https://www.dsebd.org/displayCompany.php?name=RAHIMAFOOD" TargetMode="External"/><Relationship Id="rId150" Type="http://schemas.openxmlformats.org/officeDocument/2006/relationships/hyperlink" Target="https://www.dsebd.org/displayCompany.php?name=RAHIMAFOOD" TargetMode="External"/><Relationship Id="rId171" Type="http://schemas.openxmlformats.org/officeDocument/2006/relationships/hyperlink" Target="https://www.dsebd.org/displayCompany.php?name=RAHIMAFOOD" TargetMode="External"/><Relationship Id="rId192" Type="http://schemas.openxmlformats.org/officeDocument/2006/relationships/hyperlink" Target="https://www.dsebd.org/displayCompany.php?name=RAHIMAFOOD" TargetMode="External"/><Relationship Id="rId206" Type="http://schemas.openxmlformats.org/officeDocument/2006/relationships/hyperlink" Target="https://www.dsebd.org/displayCompany.php?name=RAHIMAFOOD" TargetMode="External"/><Relationship Id="rId227" Type="http://schemas.openxmlformats.org/officeDocument/2006/relationships/hyperlink" Target="https://www.dsebd.org/displayCompany.php?name=RAHIMAFOOD" TargetMode="External"/><Relationship Id="rId12" Type="http://schemas.openxmlformats.org/officeDocument/2006/relationships/hyperlink" Target="https://www.dsebd.org/displayCompany.php?name=RAHIMAFOOD" TargetMode="External"/><Relationship Id="rId33" Type="http://schemas.openxmlformats.org/officeDocument/2006/relationships/hyperlink" Target="https://www.dsebd.org/displayCompany.php?name=RAHIMAFOOD" TargetMode="External"/><Relationship Id="rId108" Type="http://schemas.openxmlformats.org/officeDocument/2006/relationships/hyperlink" Target="https://www.dsebd.org/displayCompany.php?name=RAHIMAFOOD" TargetMode="External"/><Relationship Id="rId129" Type="http://schemas.openxmlformats.org/officeDocument/2006/relationships/hyperlink" Target="https://www.dsebd.org/displayCompany.php?name=RAHIMAFOOD" TargetMode="External"/><Relationship Id="rId54" Type="http://schemas.openxmlformats.org/officeDocument/2006/relationships/hyperlink" Target="https://www.dsebd.org/displayCompany.php?name=RAHIMAFOOD" TargetMode="External"/><Relationship Id="rId75" Type="http://schemas.openxmlformats.org/officeDocument/2006/relationships/hyperlink" Target="https://www.dsebd.org/displayCompany.php?name=RAHIMAFOOD" TargetMode="External"/><Relationship Id="rId96" Type="http://schemas.openxmlformats.org/officeDocument/2006/relationships/hyperlink" Target="https://www.dsebd.org/displayCompany.php?name=RAHIMAFOOD" TargetMode="External"/><Relationship Id="rId140" Type="http://schemas.openxmlformats.org/officeDocument/2006/relationships/hyperlink" Target="https://www.dsebd.org/displayCompany.php?name=RAHIMAFOOD" TargetMode="External"/><Relationship Id="rId161" Type="http://schemas.openxmlformats.org/officeDocument/2006/relationships/hyperlink" Target="https://www.dsebd.org/displayCompany.php?name=RAHIMAFOOD" TargetMode="External"/><Relationship Id="rId182" Type="http://schemas.openxmlformats.org/officeDocument/2006/relationships/hyperlink" Target="https://www.dsebd.org/displayCompany.php?name=RAHIMAFOOD" TargetMode="External"/><Relationship Id="rId217" Type="http://schemas.openxmlformats.org/officeDocument/2006/relationships/hyperlink" Target="https://www.dsebd.org/displayCompany.php?name=RAHIMAFOOD" TargetMode="External"/><Relationship Id="rId6" Type="http://schemas.openxmlformats.org/officeDocument/2006/relationships/hyperlink" Target="https://www.dsebd.org/displayCompany.php?name=RAHIMAFOOD" TargetMode="External"/><Relationship Id="rId238" Type="http://schemas.openxmlformats.org/officeDocument/2006/relationships/hyperlink" Target="https://www.dsebd.org/displayCompany.php?name=RAHIMAFOOD" TargetMode="External"/><Relationship Id="rId23" Type="http://schemas.openxmlformats.org/officeDocument/2006/relationships/hyperlink" Target="https://www.dsebd.org/displayCompany.php?name=RAHIMAFOOD" TargetMode="External"/><Relationship Id="rId119" Type="http://schemas.openxmlformats.org/officeDocument/2006/relationships/hyperlink" Target="https://www.dsebd.org/displayCompany.php?name=RAHIMAFOOD" TargetMode="External"/><Relationship Id="rId44" Type="http://schemas.openxmlformats.org/officeDocument/2006/relationships/hyperlink" Target="https://www.dsebd.org/displayCompany.php?name=RAHIMAFOOD" TargetMode="External"/><Relationship Id="rId65" Type="http://schemas.openxmlformats.org/officeDocument/2006/relationships/hyperlink" Target="https://www.dsebd.org/displayCompany.php?name=RAHIMAFOOD" TargetMode="External"/><Relationship Id="rId86" Type="http://schemas.openxmlformats.org/officeDocument/2006/relationships/hyperlink" Target="https://www.dsebd.org/displayCompany.php?name=RAHIMAFOOD" TargetMode="External"/><Relationship Id="rId130" Type="http://schemas.openxmlformats.org/officeDocument/2006/relationships/hyperlink" Target="https://www.dsebd.org/displayCompany.php?name=RAHIMAFOOD" TargetMode="External"/><Relationship Id="rId151" Type="http://schemas.openxmlformats.org/officeDocument/2006/relationships/hyperlink" Target="https://www.dsebd.org/displayCompany.php?name=RAHIMAFOOD" TargetMode="External"/><Relationship Id="rId172" Type="http://schemas.openxmlformats.org/officeDocument/2006/relationships/hyperlink" Target="https://www.dsebd.org/displayCompany.php?name=RAHIMAFOOD" TargetMode="External"/><Relationship Id="rId193" Type="http://schemas.openxmlformats.org/officeDocument/2006/relationships/hyperlink" Target="https://www.dsebd.org/displayCompany.php?name=RAHIMAFOOD" TargetMode="External"/><Relationship Id="rId207" Type="http://schemas.openxmlformats.org/officeDocument/2006/relationships/hyperlink" Target="https://www.dsebd.org/displayCompany.php?name=RAHIMAFOOD" TargetMode="External"/><Relationship Id="rId228" Type="http://schemas.openxmlformats.org/officeDocument/2006/relationships/hyperlink" Target="https://www.dsebd.org/displayCompany.php?name=RAHIMAFOOD" TargetMode="External"/><Relationship Id="rId13" Type="http://schemas.openxmlformats.org/officeDocument/2006/relationships/hyperlink" Target="https://www.dsebd.org/displayCompany.php?name=RAHIMAFOOD" TargetMode="External"/><Relationship Id="rId109" Type="http://schemas.openxmlformats.org/officeDocument/2006/relationships/hyperlink" Target="https://www.dsebd.org/displayCompany.php?name=RAHIMAFOOD" TargetMode="External"/><Relationship Id="rId34" Type="http://schemas.openxmlformats.org/officeDocument/2006/relationships/hyperlink" Target="https://www.dsebd.org/displayCompany.php?name=RAHIMAFOOD" TargetMode="External"/><Relationship Id="rId55" Type="http://schemas.openxmlformats.org/officeDocument/2006/relationships/hyperlink" Target="https://www.dsebd.org/displayCompany.php?name=RAHIMAFOOD" TargetMode="External"/><Relationship Id="rId76" Type="http://schemas.openxmlformats.org/officeDocument/2006/relationships/hyperlink" Target="https://www.dsebd.org/displayCompany.php?name=RAHIMAFOOD" TargetMode="External"/><Relationship Id="rId97" Type="http://schemas.openxmlformats.org/officeDocument/2006/relationships/hyperlink" Target="https://www.dsebd.org/displayCompany.php?name=RAHIMAFOOD" TargetMode="External"/><Relationship Id="rId120" Type="http://schemas.openxmlformats.org/officeDocument/2006/relationships/hyperlink" Target="https://www.dsebd.org/displayCompany.php?name=RAHIMAFOOD" TargetMode="External"/><Relationship Id="rId141" Type="http://schemas.openxmlformats.org/officeDocument/2006/relationships/hyperlink" Target="https://www.dsebd.org/displayCompany.php?name=RAHIMAFOOD" TargetMode="External"/><Relationship Id="rId7" Type="http://schemas.openxmlformats.org/officeDocument/2006/relationships/hyperlink" Target="https://www.dsebd.org/displayCompany.php?name=RAHIMAFOOD" TargetMode="External"/><Relationship Id="rId162" Type="http://schemas.openxmlformats.org/officeDocument/2006/relationships/hyperlink" Target="https://www.dsebd.org/displayCompany.php?name=RAHIMAFOOD" TargetMode="External"/><Relationship Id="rId183" Type="http://schemas.openxmlformats.org/officeDocument/2006/relationships/hyperlink" Target="https://www.dsebd.org/displayCompany.php?name=RAHIMAFOOD" TargetMode="External"/><Relationship Id="rId218" Type="http://schemas.openxmlformats.org/officeDocument/2006/relationships/hyperlink" Target="https://www.dsebd.org/displayCompany.php?name=RAHIMAFOOD" TargetMode="External"/><Relationship Id="rId239" Type="http://schemas.openxmlformats.org/officeDocument/2006/relationships/hyperlink" Target="https://www.dsebd.org/displayCompany.php?name=RAHIMAFOOD" TargetMode="External"/><Relationship Id="rId24" Type="http://schemas.openxmlformats.org/officeDocument/2006/relationships/hyperlink" Target="https://www.dsebd.org/displayCompany.php?name=RAHIMAFOOD" TargetMode="External"/><Relationship Id="rId45" Type="http://schemas.openxmlformats.org/officeDocument/2006/relationships/hyperlink" Target="https://www.dsebd.org/displayCompany.php?name=RAHIMAFOOD" TargetMode="External"/><Relationship Id="rId66" Type="http://schemas.openxmlformats.org/officeDocument/2006/relationships/hyperlink" Target="https://www.dsebd.org/displayCompany.php?name=RAHIMAFOOD" TargetMode="External"/><Relationship Id="rId87" Type="http://schemas.openxmlformats.org/officeDocument/2006/relationships/hyperlink" Target="https://www.dsebd.org/displayCompany.php?name=RAHIMAFOOD" TargetMode="External"/><Relationship Id="rId110" Type="http://schemas.openxmlformats.org/officeDocument/2006/relationships/hyperlink" Target="https://www.dsebd.org/displayCompany.php?name=RAHIMAFOOD" TargetMode="External"/><Relationship Id="rId131" Type="http://schemas.openxmlformats.org/officeDocument/2006/relationships/hyperlink" Target="https://www.dsebd.org/displayCompany.php?name=RAHIMAFOOD" TargetMode="External"/><Relationship Id="rId152" Type="http://schemas.openxmlformats.org/officeDocument/2006/relationships/hyperlink" Target="https://www.dsebd.org/displayCompany.php?name=RAHIMAFOOD" TargetMode="External"/><Relationship Id="rId173" Type="http://schemas.openxmlformats.org/officeDocument/2006/relationships/hyperlink" Target="https://www.dsebd.org/displayCompany.php?name=RAHIMAFOOD" TargetMode="External"/><Relationship Id="rId194" Type="http://schemas.openxmlformats.org/officeDocument/2006/relationships/hyperlink" Target="https://www.dsebd.org/displayCompany.php?name=RAHIMAFOOD" TargetMode="External"/><Relationship Id="rId208" Type="http://schemas.openxmlformats.org/officeDocument/2006/relationships/hyperlink" Target="https://www.dsebd.org/displayCompany.php?name=RAHIMAFOOD" TargetMode="External"/><Relationship Id="rId229" Type="http://schemas.openxmlformats.org/officeDocument/2006/relationships/hyperlink" Target="https://www.dsebd.org/displayCompany.php?name=RAHIMAFOOD" TargetMode="External"/><Relationship Id="rId14" Type="http://schemas.openxmlformats.org/officeDocument/2006/relationships/hyperlink" Target="https://www.dsebd.org/displayCompany.php?name=RAHIMAFOOD" TargetMode="External"/><Relationship Id="rId35" Type="http://schemas.openxmlformats.org/officeDocument/2006/relationships/hyperlink" Target="https://www.dsebd.org/displayCompany.php?name=RAHIMAFOOD" TargetMode="External"/><Relationship Id="rId56" Type="http://schemas.openxmlformats.org/officeDocument/2006/relationships/hyperlink" Target="https://www.dsebd.org/displayCompany.php?name=RAHIMAFOOD" TargetMode="External"/><Relationship Id="rId77" Type="http://schemas.openxmlformats.org/officeDocument/2006/relationships/hyperlink" Target="https://www.dsebd.org/displayCompany.php?name=RAHIMAFOOD" TargetMode="External"/><Relationship Id="rId100" Type="http://schemas.openxmlformats.org/officeDocument/2006/relationships/hyperlink" Target="https://www.dsebd.org/displayCompany.php?name=RAHIMAFOOD" TargetMode="External"/><Relationship Id="rId8" Type="http://schemas.openxmlformats.org/officeDocument/2006/relationships/hyperlink" Target="https://www.dsebd.org/displayCompany.php?name=RAHIMAFOOD" TargetMode="External"/><Relationship Id="rId98" Type="http://schemas.openxmlformats.org/officeDocument/2006/relationships/hyperlink" Target="https://www.dsebd.org/displayCompany.php?name=RAHIMAFOOD" TargetMode="External"/><Relationship Id="rId121" Type="http://schemas.openxmlformats.org/officeDocument/2006/relationships/hyperlink" Target="https://www.dsebd.org/displayCompany.php?name=RAHIMAFOOD" TargetMode="External"/><Relationship Id="rId142" Type="http://schemas.openxmlformats.org/officeDocument/2006/relationships/hyperlink" Target="https://www.dsebd.org/displayCompany.php?name=RAHIMAFOOD" TargetMode="External"/><Relationship Id="rId163" Type="http://schemas.openxmlformats.org/officeDocument/2006/relationships/hyperlink" Target="https://www.dsebd.org/displayCompany.php?name=RAHIMAFOOD" TargetMode="External"/><Relationship Id="rId184" Type="http://schemas.openxmlformats.org/officeDocument/2006/relationships/hyperlink" Target="https://www.dsebd.org/displayCompany.php?name=RAHIMAFOOD" TargetMode="External"/><Relationship Id="rId219" Type="http://schemas.openxmlformats.org/officeDocument/2006/relationships/hyperlink" Target="https://www.dsebd.org/displayCompany.php?name=RAHIMAFOOD" TargetMode="External"/><Relationship Id="rId230" Type="http://schemas.openxmlformats.org/officeDocument/2006/relationships/hyperlink" Target="https://www.dsebd.org/displayCompany.php?name=RAHIMAFOOD" TargetMode="External"/><Relationship Id="rId25" Type="http://schemas.openxmlformats.org/officeDocument/2006/relationships/hyperlink" Target="https://www.dsebd.org/displayCompany.php?name=RAHIMAFOOD" TargetMode="External"/><Relationship Id="rId46" Type="http://schemas.openxmlformats.org/officeDocument/2006/relationships/hyperlink" Target="https://www.dsebd.org/displayCompany.php?name=RAHIMAFOOD" TargetMode="External"/><Relationship Id="rId67" Type="http://schemas.openxmlformats.org/officeDocument/2006/relationships/hyperlink" Target="https://www.dsebd.org/displayCompany.php?name=RAHIMAFOOD" TargetMode="External"/><Relationship Id="rId88" Type="http://schemas.openxmlformats.org/officeDocument/2006/relationships/hyperlink" Target="https://www.dsebd.org/displayCompany.php?name=RAHIMAFOOD" TargetMode="External"/><Relationship Id="rId111" Type="http://schemas.openxmlformats.org/officeDocument/2006/relationships/hyperlink" Target="https://www.dsebd.org/displayCompany.php?name=RAHIMAFOOD" TargetMode="External"/><Relationship Id="rId132" Type="http://schemas.openxmlformats.org/officeDocument/2006/relationships/hyperlink" Target="https://www.dsebd.org/displayCompany.php?name=RAHIMAFOOD" TargetMode="External"/><Relationship Id="rId153" Type="http://schemas.openxmlformats.org/officeDocument/2006/relationships/hyperlink" Target="https://www.dsebd.org/displayCompany.php?name=RAHIMAFOOD" TargetMode="External"/><Relationship Id="rId174" Type="http://schemas.openxmlformats.org/officeDocument/2006/relationships/hyperlink" Target="https://www.dsebd.org/displayCompany.php?name=RAHIMAFOOD" TargetMode="External"/><Relationship Id="rId195" Type="http://schemas.openxmlformats.org/officeDocument/2006/relationships/hyperlink" Target="https://www.dsebd.org/displayCompany.php?name=RAHIMAFOOD" TargetMode="External"/><Relationship Id="rId209" Type="http://schemas.openxmlformats.org/officeDocument/2006/relationships/hyperlink" Target="https://www.dsebd.org/displayCompany.php?name=RAHIMAFOOD" TargetMode="External"/><Relationship Id="rId190" Type="http://schemas.openxmlformats.org/officeDocument/2006/relationships/hyperlink" Target="https://www.dsebd.org/displayCompany.php?name=RAHIMAFOOD" TargetMode="External"/><Relationship Id="rId204" Type="http://schemas.openxmlformats.org/officeDocument/2006/relationships/hyperlink" Target="https://www.dsebd.org/displayCompany.php?name=RAHIMAFOOD" TargetMode="External"/><Relationship Id="rId220" Type="http://schemas.openxmlformats.org/officeDocument/2006/relationships/hyperlink" Target="https://www.dsebd.org/displayCompany.php?name=RAHIMAFOOD" TargetMode="External"/><Relationship Id="rId225" Type="http://schemas.openxmlformats.org/officeDocument/2006/relationships/hyperlink" Target="https://www.dsebd.org/displayCompany.php?name=RAHIMAFOOD" TargetMode="External"/><Relationship Id="rId15" Type="http://schemas.openxmlformats.org/officeDocument/2006/relationships/hyperlink" Target="https://www.dsebd.org/displayCompany.php?name=RAHIMAFOOD" TargetMode="External"/><Relationship Id="rId36" Type="http://schemas.openxmlformats.org/officeDocument/2006/relationships/hyperlink" Target="https://www.dsebd.org/displayCompany.php?name=RAHIMAFOOD" TargetMode="External"/><Relationship Id="rId57" Type="http://schemas.openxmlformats.org/officeDocument/2006/relationships/hyperlink" Target="https://www.dsebd.org/displayCompany.php?name=RAHIMAFOOD" TargetMode="External"/><Relationship Id="rId106" Type="http://schemas.openxmlformats.org/officeDocument/2006/relationships/hyperlink" Target="https://www.dsebd.org/displayCompany.php?name=RAHIMAFOOD" TargetMode="External"/><Relationship Id="rId127" Type="http://schemas.openxmlformats.org/officeDocument/2006/relationships/hyperlink" Target="https://www.dsebd.org/displayCompany.php?name=RAHIMAFOOD" TargetMode="External"/><Relationship Id="rId10" Type="http://schemas.openxmlformats.org/officeDocument/2006/relationships/hyperlink" Target="https://www.dsebd.org/displayCompany.php?name=RAHIMAFOOD" TargetMode="External"/><Relationship Id="rId31" Type="http://schemas.openxmlformats.org/officeDocument/2006/relationships/hyperlink" Target="https://www.dsebd.org/displayCompany.php?name=RAHIMAFOOD" TargetMode="External"/><Relationship Id="rId52" Type="http://schemas.openxmlformats.org/officeDocument/2006/relationships/hyperlink" Target="https://www.dsebd.org/displayCompany.php?name=RAHIMAFOOD" TargetMode="External"/><Relationship Id="rId73" Type="http://schemas.openxmlformats.org/officeDocument/2006/relationships/hyperlink" Target="https://www.dsebd.org/displayCompany.php?name=RAHIMAFOOD" TargetMode="External"/><Relationship Id="rId78" Type="http://schemas.openxmlformats.org/officeDocument/2006/relationships/hyperlink" Target="https://www.dsebd.org/displayCompany.php?name=RAHIMAFOOD" TargetMode="External"/><Relationship Id="rId94" Type="http://schemas.openxmlformats.org/officeDocument/2006/relationships/hyperlink" Target="https://www.dsebd.org/displayCompany.php?name=RAHIMAFOOD" TargetMode="External"/><Relationship Id="rId99" Type="http://schemas.openxmlformats.org/officeDocument/2006/relationships/hyperlink" Target="https://www.dsebd.org/displayCompany.php?name=RAHIMAFOOD" TargetMode="External"/><Relationship Id="rId101" Type="http://schemas.openxmlformats.org/officeDocument/2006/relationships/hyperlink" Target="https://www.dsebd.org/displayCompany.php?name=RAHIMAFOOD" TargetMode="External"/><Relationship Id="rId122" Type="http://schemas.openxmlformats.org/officeDocument/2006/relationships/hyperlink" Target="https://www.dsebd.org/displayCompany.php?name=RAHIMAFOOD" TargetMode="External"/><Relationship Id="rId143" Type="http://schemas.openxmlformats.org/officeDocument/2006/relationships/hyperlink" Target="https://www.dsebd.org/displayCompany.php?name=RAHIMAFOOD" TargetMode="External"/><Relationship Id="rId148" Type="http://schemas.openxmlformats.org/officeDocument/2006/relationships/hyperlink" Target="https://www.dsebd.org/displayCompany.php?name=RAHIMAFOOD" TargetMode="External"/><Relationship Id="rId164" Type="http://schemas.openxmlformats.org/officeDocument/2006/relationships/hyperlink" Target="https://www.dsebd.org/displayCompany.php?name=RAHIMAFOOD" TargetMode="External"/><Relationship Id="rId169" Type="http://schemas.openxmlformats.org/officeDocument/2006/relationships/hyperlink" Target="https://www.dsebd.org/displayCompany.php?name=RAHIMAFOOD" TargetMode="External"/><Relationship Id="rId185" Type="http://schemas.openxmlformats.org/officeDocument/2006/relationships/hyperlink" Target="https://www.dsebd.org/displayCompany.php?name=RAHIMAFOOD" TargetMode="External"/><Relationship Id="rId4" Type="http://schemas.openxmlformats.org/officeDocument/2006/relationships/hyperlink" Target="https://www.dsebd.org/displayCompany.php?name=RAHIMAFOOD" TargetMode="External"/><Relationship Id="rId9" Type="http://schemas.openxmlformats.org/officeDocument/2006/relationships/hyperlink" Target="https://www.dsebd.org/displayCompany.php?name=RAHIMAFOOD" TargetMode="External"/><Relationship Id="rId180" Type="http://schemas.openxmlformats.org/officeDocument/2006/relationships/hyperlink" Target="https://www.dsebd.org/displayCompany.php?name=RAHIMAFOOD" TargetMode="External"/><Relationship Id="rId210" Type="http://schemas.openxmlformats.org/officeDocument/2006/relationships/hyperlink" Target="https://www.dsebd.org/displayCompany.php?name=RAHIMAFOOD" TargetMode="External"/><Relationship Id="rId215" Type="http://schemas.openxmlformats.org/officeDocument/2006/relationships/hyperlink" Target="https://www.dsebd.org/displayCompany.php?name=RAHIMAFOOD" TargetMode="External"/><Relationship Id="rId236" Type="http://schemas.openxmlformats.org/officeDocument/2006/relationships/hyperlink" Target="https://www.dsebd.org/displayCompany.php?name=RAHIMAFOOD" TargetMode="External"/><Relationship Id="rId26" Type="http://schemas.openxmlformats.org/officeDocument/2006/relationships/hyperlink" Target="https://www.dsebd.org/displayCompany.php?name=RAHIMAFOOD" TargetMode="External"/><Relationship Id="rId231" Type="http://schemas.openxmlformats.org/officeDocument/2006/relationships/hyperlink" Target="https://www.dsebd.org/displayCompany.php?name=RAHIMAFOOD" TargetMode="External"/><Relationship Id="rId47" Type="http://schemas.openxmlformats.org/officeDocument/2006/relationships/hyperlink" Target="https://www.dsebd.org/displayCompany.php?name=RAHIMAFOOD" TargetMode="External"/><Relationship Id="rId68" Type="http://schemas.openxmlformats.org/officeDocument/2006/relationships/hyperlink" Target="https://www.dsebd.org/displayCompany.php?name=RAHIMAFOOD" TargetMode="External"/><Relationship Id="rId89" Type="http://schemas.openxmlformats.org/officeDocument/2006/relationships/hyperlink" Target="https://www.dsebd.org/displayCompany.php?name=RAHIMAFOOD" TargetMode="External"/><Relationship Id="rId112" Type="http://schemas.openxmlformats.org/officeDocument/2006/relationships/hyperlink" Target="https://www.dsebd.org/displayCompany.php?name=RAHIMAFOOD" TargetMode="External"/><Relationship Id="rId133" Type="http://schemas.openxmlformats.org/officeDocument/2006/relationships/hyperlink" Target="https://www.dsebd.org/displayCompany.php?name=RAHIMAFOOD" TargetMode="External"/><Relationship Id="rId154" Type="http://schemas.openxmlformats.org/officeDocument/2006/relationships/hyperlink" Target="https://www.dsebd.org/displayCompany.php?name=RAHIMAFOOD" TargetMode="External"/><Relationship Id="rId175" Type="http://schemas.openxmlformats.org/officeDocument/2006/relationships/hyperlink" Target="https://www.dsebd.org/displayCompany.php?name=RAHIMAFOOD" TargetMode="External"/><Relationship Id="rId196" Type="http://schemas.openxmlformats.org/officeDocument/2006/relationships/hyperlink" Target="https://www.dsebd.org/displayCompany.php?name=RAHIMAFOOD" TargetMode="External"/><Relationship Id="rId200" Type="http://schemas.openxmlformats.org/officeDocument/2006/relationships/hyperlink" Target="https://www.dsebd.org/displayCompany.php?name=RAHIMAFOOD" TargetMode="External"/><Relationship Id="rId16" Type="http://schemas.openxmlformats.org/officeDocument/2006/relationships/hyperlink" Target="https://www.dsebd.org/displayCompany.php?name=RAHIMAFOOD" TargetMode="External"/><Relationship Id="rId221" Type="http://schemas.openxmlformats.org/officeDocument/2006/relationships/hyperlink" Target="https://www.dsebd.org/displayCompany.php?name=RAHIMAFOOD" TargetMode="External"/><Relationship Id="rId37" Type="http://schemas.openxmlformats.org/officeDocument/2006/relationships/hyperlink" Target="https://www.dsebd.org/displayCompany.php?name=RAHIMAFOOD" TargetMode="External"/><Relationship Id="rId58" Type="http://schemas.openxmlformats.org/officeDocument/2006/relationships/hyperlink" Target="https://www.dsebd.org/displayCompany.php?name=RAHIMAFOOD" TargetMode="External"/><Relationship Id="rId79" Type="http://schemas.openxmlformats.org/officeDocument/2006/relationships/hyperlink" Target="https://www.dsebd.org/displayCompany.php?name=RAHIMAFOOD" TargetMode="External"/><Relationship Id="rId102" Type="http://schemas.openxmlformats.org/officeDocument/2006/relationships/hyperlink" Target="https://www.dsebd.org/displayCompany.php?name=RAHIMAFOOD" TargetMode="External"/><Relationship Id="rId123" Type="http://schemas.openxmlformats.org/officeDocument/2006/relationships/hyperlink" Target="https://www.dsebd.org/displayCompany.php?name=RAHIMAFOOD" TargetMode="External"/><Relationship Id="rId144" Type="http://schemas.openxmlformats.org/officeDocument/2006/relationships/hyperlink" Target="https://www.dsebd.org/displayCompany.php?name=RAHIMAFOOD" TargetMode="External"/><Relationship Id="rId90" Type="http://schemas.openxmlformats.org/officeDocument/2006/relationships/hyperlink" Target="https://www.dsebd.org/displayCompany.php?name=RAHIMAFOOD" TargetMode="External"/><Relationship Id="rId165" Type="http://schemas.openxmlformats.org/officeDocument/2006/relationships/hyperlink" Target="https://www.dsebd.org/displayCompany.php?name=RAHIMAFOOD" TargetMode="External"/><Relationship Id="rId186" Type="http://schemas.openxmlformats.org/officeDocument/2006/relationships/hyperlink" Target="https://www.dsebd.org/displayCompany.php?name=RAHIMAFOOD" TargetMode="External"/><Relationship Id="rId211" Type="http://schemas.openxmlformats.org/officeDocument/2006/relationships/hyperlink" Target="https://www.dsebd.org/displayCompany.php?name=RAHIMAFOOD" TargetMode="External"/><Relationship Id="rId232" Type="http://schemas.openxmlformats.org/officeDocument/2006/relationships/hyperlink" Target="https://www.dsebd.org/displayCompany.php?name=RAHIMAFOOD" TargetMode="External"/><Relationship Id="rId27" Type="http://schemas.openxmlformats.org/officeDocument/2006/relationships/hyperlink" Target="https://www.dsebd.org/displayCompany.php?name=RAHIMAFOOD" TargetMode="External"/><Relationship Id="rId48" Type="http://schemas.openxmlformats.org/officeDocument/2006/relationships/hyperlink" Target="https://www.dsebd.org/displayCompany.php?name=RAHIMAFOOD" TargetMode="External"/><Relationship Id="rId69" Type="http://schemas.openxmlformats.org/officeDocument/2006/relationships/hyperlink" Target="https://www.dsebd.org/displayCompany.php?name=RAHIMAFOOD" TargetMode="External"/><Relationship Id="rId113" Type="http://schemas.openxmlformats.org/officeDocument/2006/relationships/hyperlink" Target="https://www.dsebd.org/displayCompany.php?name=RAHIMAFOOD" TargetMode="External"/><Relationship Id="rId134" Type="http://schemas.openxmlformats.org/officeDocument/2006/relationships/hyperlink" Target="https://www.dsebd.org/displayCompany.php?name=RAHIMAFOOD" TargetMode="External"/><Relationship Id="rId80" Type="http://schemas.openxmlformats.org/officeDocument/2006/relationships/hyperlink" Target="https://www.dsebd.org/displayCompany.php?name=RAHIMAFOOD" TargetMode="External"/><Relationship Id="rId155" Type="http://schemas.openxmlformats.org/officeDocument/2006/relationships/hyperlink" Target="https://www.dsebd.org/displayCompany.php?name=RAHIMAFOOD" TargetMode="External"/><Relationship Id="rId176" Type="http://schemas.openxmlformats.org/officeDocument/2006/relationships/hyperlink" Target="https://www.dsebd.org/displayCompany.php?name=RAHIMAFOOD" TargetMode="External"/><Relationship Id="rId197" Type="http://schemas.openxmlformats.org/officeDocument/2006/relationships/hyperlink" Target="https://www.dsebd.org/displayCompany.php?name=RAHIMAFOOD" TargetMode="External"/><Relationship Id="rId201" Type="http://schemas.openxmlformats.org/officeDocument/2006/relationships/hyperlink" Target="https://www.dsebd.org/displayCompany.php?name=RAHIMAFOOD" TargetMode="External"/><Relationship Id="rId222" Type="http://schemas.openxmlformats.org/officeDocument/2006/relationships/hyperlink" Target="https://www.dsebd.org/displayCompany.php?name=RAHIMAFOOD" TargetMode="External"/><Relationship Id="rId17" Type="http://schemas.openxmlformats.org/officeDocument/2006/relationships/hyperlink" Target="https://www.dsebd.org/displayCompany.php?name=RAHIMAFOOD" TargetMode="External"/><Relationship Id="rId38" Type="http://schemas.openxmlformats.org/officeDocument/2006/relationships/hyperlink" Target="https://www.dsebd.org/displayCompany.php?name=RAHIMAFOOD" TargetMode="External"/><Relationship Id="rId59" Type="http://schemas.openxmlformats.org/officeDocument/2006/relationships/hyperlink" Target="https://www.dsebd.org/displayCompany.php?name=RAHIMAFOOD" TargetMode="External"/><Relationship Id="rId103" Type="http://schemas.openxmlformats.org/officeDocument/2006/relationships/hyperlink" Target="https://www.dsebd.org/displayCompany.php?name=RAHIMAFOOD" TargetMode="External"/><Relationship Id="rId124" Type="http://schemas.openxmlformats.org/officeDocument/2006/relationships/hyperlink" Target="https://www.dsebd.org/displayCompany.php?name=RAHIMAFOOD" TargetMode="External"/><Relationship Id="rId70" Type="http://schemas.openxmlformats.org/officeDocument/2006/relationships/hyperlink" Target="https://www.dsebd.org/displayCompany.php?name=RAHIMAFOOD" TargetMode="External"/><Relationship Id="rId91" Type="http://schemas.openxmlformats.org/officeDocument/2006/relationships/hyperlink" Target="https://www.dsebd.org/displayCompany.php?name=RAHIMAFOOD" TargetMode="External"/><Relationship Id="rId145" Type="http://schemas.openxmlformats.org/officeDocument/2006/relationships/hyperlink" Target="https://www.dsebd.org/displayCompany.php?name=RAHIMAFOOD" TargetMode="External"/><Relationship Id="rId166" Type="http://schemas.openxmlformats.org/officeDocument/2006/relationships/hyperlink" Target="https://www.dsebd.org/displayCompany.php?name=RAHIMAFOOD" TargetMode="External"/><Relationship Id="rId187" Type="http://schemas.openxmlformats.org/officeDocument/2006/relationships/hyperlink" Target="https://www.dsebd.org/displayCompany.php?name=RAHIMAFOOD" TargetMode="External"/><Relationship Id="rId1" Type="http://schemas.openxmlformats.org/officeDocument/2006/relationships/hyperlink" Target="https://www.dsebd.org/displayCompany.php?name=RAHIMAFOOD" TargetMode="External"/><Relationship Id="rId212" Type="http://schemas.openxmlformats.org/officeDocument/2006/relationships/hyperlink" Target="https://www.dsebd.org/displayCompany.php?name=RAHIMAFOOD" TargetMode="External"/><Relationship Id="rId233" Type="http://schemas.openxmlformats.org/officeDocument/2006/relationships/hyperlink" Target="https://www.dsebd.org/displayCompany.php?name=RAHIMAFOOD" TargetMode="External"/><Relationship Id="rId28" Type="http://schemas.openxmlformats.org/officeDocument/2006/relationships/hyperlink" Target="https://www.dsebd.org/displayCompany.php?name=RAHIMAFOOD" TargetMode="External"/><Relationship Id="rId49" Type="http://schemas.openxmlformats.org/officeDocument/2006/relationships/hyperlink" Target="https://www.dsebd.org/displayCompany.php?name=RAHIMAFOOD" TargetMode="External"/><Relationship Id="rId114" Type="http://schemas.openxmlformats.org/officeDocument/2006/relationships/hyperlink" Target="https://www.dsebd.org/displayCompany.php?name=RAHIMAFOOD" TargetMode="External"/><Relationship Id="rId60" Type="http://schemas.openxmlformats.org/officeDocument/2006/relationships/hyperlink" Target="https://www.dsebd.org/displayCompany.php?name=RAHIMAFOOD" TargetMode="External"/><Relationship Id="rId81" Type="http://schemas.openxmlformats.org/officeDocument/2006/relationships/hyperlink" Target="https://www.dsebd.org/displayCompany.php?name=RAHIMAFOOD" TargetMode="External"/><Relationship Id="rId135" Type="http://schemas.openxmlformats.org/officeDocument/2006/relationships/hyperlink" Target="https://www.dsebd.org/displayCompany.php?name=RAHIMAFOOD" TargetMode="External"/><Relationship Id="rId156" Type="http://schemas.openxmlformats.org/officeDocument/2006/relationships/hyperlink" Target="https://www.dsebd.org/displayCompany.php?name=RAHIMAFOOD" TargetMode="External"/><Relationship Id="rId177" Type="http://schemas.openxmlformats.org/officeDocument/2006/relationships/hyperlink" Target="https://www.dsebd.org/displayCompany.php?name=RAHIMAFOOD" TargetMode="External"/><Relationship Id="rId198" Type="http://schemas.openxmlformats.org/officeDocument/2006/relationships/hyperlink" Target="https://www.dsebd.org/displayCompany.php?name=RAHIMAFOOD" TargetMode="External"/><Relationship Id="rId202" Type="http://schemas.openxmlformats.org/officeDocument/2006/relationships/hyperlink" Target="https://www.dsebd.org/displayCompany.php?name=RAHIMAFOOD" TargetMode="External"/><Relationship Id="rId223" Type="http://schemas.openxmlformats.org/officeDocument/2006/relationships/hyperlink" Target="https://www.dsebd.org/displayCompany.php?name=RAHIMAFOOD" TargetMode="External"/><Relationship Id="rId18" Type="http://schemas.openxmlformats.org/officeDocument/2006/relationships/hyperlink" Target="https://www.dsebd.org/displayCompany.php?name=RAHIMAFOOD" TargetMode="External"/><Relationship Id="rId39" Type="http://schemas.openxmlformats.org/officeDocument/2006/relationships/hyperlink" Target="https://www.dsebd.org/displayCompany.php?name=RAHIMAFOOD" TargetMode="External"/><Relationship Id="rId50" Type="http://schemas.openxmlformats.org/officeDocument/2006/relationships/hyperlink" Target="https://www.dsebd.org/displayCompany.php?name=RAHIMAFOOD" TargetMode="External"/><Relationship Id="rId104" Type="http://schemas.openxmlformats.org/officeDocument/2006/relationships/hyperlink" Target="https://www.dsebd.org/displayCompany.php?name=RAHIMAFOOD" TargetMode="External"/><Relationship Id="rId125" Type="http://schemas.openxmlformats.org/officeDocument/2006/relationships/hyperlink" Target="https://www.dsebd.org/displayCompany.php?name=RAHIMAFOOD" TargetMode="External"/><Relationship Id="rId146" Type="http://schemas.openxmlformats.org/officeDocument/2006/relationships/hyperlink" Target="https://www.dsebd.org/displayCompany.php?name=RAHIMAFOOD" TargetMode="External"/><Relationship Id="rId167" Type="http://schemas.openxmlformats.org/officeDocument/2006/relationships/hyperlink" Target="https://www.dsebd.org/displayCompany.php?name=RAHIMAFOOD" TargetMode="External"/><Relationship Id="rId188" Type="http://schemas.openxmlformats.org/officeDocument/2006/relationships/hyperlink" Target="https://www.dsebd.org/displayCompany.php?name=RAHIMAFOOD" TargetMode="External"/><Relationship Id="rId71" Type="http://schemas.openxmlformats.org/officeDocument/2006/relationships/hyperlink" Target="https://www.dsebd.org/displayCompany.php?name=RAHIMAFOOD" TargetMode="External"/><Relationship Id="rId92" Type="http://schemas.openxmlformats.org/officeDocument/2006/relationships/hyperlink" Target="https://www.dsebd.org/displayCompany.php?name=RAHIMAFOOD" TargetMode="External"/><Relationship Id="rId213" Type="http://schemas.openxmlformats.org/officeDocument/2006/relationships/hyperlink" Target="https://www.dsebd.org/displayCompany.php?name=RAHIMAFOOD" TargetMode="External"/><Relationship Id="rId234" Type="http://schemas.openxmlformats.org/officeDocument/2006/relationships/hyperlink" Target="https://www.dsebd.org/displayCompany.php?name=RAHIMAFOOD" TargetMode="External"/><Relationship Id="rId2" Type="http://schemas.openxmlformats.org/officeDocument/2006/relationships/hyperlink" Target="https://www.dsebd.org/displayCompany.php?name=RAHIMAFOOD" TargetMode="External"/><Relationship Id="rId29" Type="http://schemas.openxmlformats.org/officeDocument/2006/relationships/hyperlink" Target="https://www.dsebd.org/displayCompany.php?name=RAHIMAFOOD" TargetMode="External"/><Relationship Id="rId40" Type="http://schemas.openxmlformats.org/officeDocument/2006/relationships/hyperlink" Target="https://www.dsebd.org/displayCompany.php?name=RAHIMAFOOD" TargetMode="External"/><Relationship Id="rId115" Type="http://schemas.openxmlformats.org/officeDocument/2006/relationships/hyperlink" Target="https://www.dsebd.org/displayCompany.php?name=RAHIMAFOOD" TargetMode="External"/><Relationship Id="rId136" Type="http://schemas.openxmlformats.org/officeDocument/2006/relationships/hyperlink" Target="https://www.dsebd.org/displayCompany.php?name=RAHIMAFOOD" TargetMode="External"/><Relationship Id="rId157" Type="http://schemas.openxmlformats.org/officeDocument/2006/relationships/hyperlink" Target="https://www.dsebd.org/displayCompany.php?name=RAHIMAFOOD" TargetMode="External"/><Relationship Id="rId178" Type="http://schemas.openxmlformats.org/officeDocument/2006/relationships/hyperlink" Target="https://www.dsebd.org/displayCompany.php?name=RAHIMAFOOD" TargetMode="External"/><Relationship Id="rId61" Type="http://schemas.openxmlformats.org/officeDocument/2006/relationships/hyperlink" Target="https://www.dsebd.org/displayCompany.php?name=RAHIMAFOOD" TargetMode="External"/><Relationship Id="rId82" Type="http://schemas.openxmlformats.org/officeDocument/2006/relationships/hyperlink" Target="https://www.dsebd.org/displayCompany.php?name=RAHIMAFOOD" TargetMode="External"/><Relationship Id="rId199" Type="http://schemas.openxmlformats.org/officeDocument/2006/relationships/hyperlink" Target="https://www.dsebd.org/displayCompany.php?name=RAHIMAFOOD" TargetMode="External"/><Relationship Id="rId203" Type="http://schemas.openxmlformats.org/officeDocument/2006/relationships/hyperlink" Target="https://www.dsebd.org/displayCompany.php?name=RAHIMAFOOD" TargetMode="External"/><Relationship Id="rId19" Type="http://schemas.openxmlformats.org/officeDocument/2006/relationships/hyperlink" Target="https://www.dsebd.org/displayCompany.php?name=RAHIMAFOOD" TargetMode="External"/><Relationship Id="rId224" Type="http://schemas.openxmlformats.org/officeDocument/2006/relationships/hyperlink" Target="https://www.dsebd.org/displayCompany.php?name=RAHIMAFOOD" TargetMode="External"/><Relationship Id="rId30" Type="http://schemas.openxmlformats.org/officeDocument/2006/relationships/hyperlink" Target="https://www.dsebd.org/displayCompany.php?name=RAHIMAFOOD" TargetMode="External"/><Relationship Id="rId105" Type="http://schemas.openxmlformats.org/officeDocument/2006/relationships/hyperlink" Target="https://www.dsebd.org/displayCompany.php?name=RAHIMAFOOD" TargetMode="External"/><Relationship Id="rId126" Type="http://schemas.openxmlformats.org/officeDocument/2006/relationships/hyperlink" Target="https://www.dsebd.org/displayCompany.php?name=RAHIMAFOOD" TargetMode="External"/><Relationship Id="rId147" Type="http://schemas.openxmlformats.org/officeDocument/2006/relationships/hyperlink" Target="https://www.dsebd.org/displayCompany.php?name=RAHIMAFOOD" TargetMode="External"/><Relationship Id="rId168" Type="http://schemas.openxmlformats.org/officeDocument/2006/relationships/hyperlink" Target="https://www.dsebd.org/displayCompany.php?name=RAHIMAFOOD" TargetMode="External"/><Relationship Id="rId51" Type="http://schemas.openxmlformats.org/officeDocument/2006/relationships/hyperlink" Target="https://www.dsebd.org/displayCompany.php?name=RAHIMAFOOD" TargetMode="External"/><Relationship Id="rId72" Type="http://schemas.openxmlformats.org/officeDocument/2006/relationships/hyperlink" Target="https://www.dsebd.org/displayCompany.php?name=RAHIMAFOOD" TargetMode="External"/><Relationship Id="rId93" Type="http://schemas.openxmlformats.org/officeDocument/2006/relationships/hyperlink" Target="https://www.dsebd.org/displayCompany.php?name=RAHIMAFOOD" TargetMode="External"/><Relationship Id="rId189" Type="http://schemas.openxmlformats.org/officeDocument/2006/relationships/hyperlink" Target="https://www.dsebd.org/displayCompany.php?name=RAHIMAFOOD" TargetMode="External"/><Relationship Id="rId3" Type="http://schemas.openxmlformats.org/officeDocument/2006/relationships/hyperlink" Target="https://www.dsebd.org/displayCompany.php?name=RAHIMAFOOD" TargetMode="External"/><Relationship Id="rId214" Type="http://schemas.openxmlformats.org/officeDocument/2006/relationships/hyperlink" Target="https://www.dsebd.org/displayCompany.php?name=RAHIMAFOOD" TargetMode="External"/><Relationship Id="rId235" Type="http://schemas.openxmlformats.org/officeDocument/2006/relationships/hyperlink" Target="https://www.dsebd.org/displayCompany.php?name=RAHIMAFOOD" TargetMode="External"/><Relationship Id="rId116" Type="http://schemas.openxmlformats.org/officeDocument/2006/relationships/hyperlink" Target="https://www.dsebd.org/displayCompany.php?name=RAHIMAFOOD" TargetMode="External"/><Relationship Id="rId137" Type="http://schemas.openxmlformats.org/officeDocument/2006/relationships/hyperlink" Target="https://www.dsebd.org/displayCompany.php?name=RAHIMAFOOD" TargetMode="External"/><Relationship Id="rId158" Type="http://schemas.openxmlformats.org/officeDocument/2006/relationships/hyperlink" Target="https://www.dsebd.org/displayCompany.php?name=RAHIMAFOOD" TargetMode="External"/><Relationship Id="rId20" Type="http://schemas.openxmlformats.org/officeDocument/2006/relationships/hyperlink" Target="https://www.dsebd.org/displayCompany.php?name=RAHIMAFOOD" TargetMode="External"/><Relationship Id="rId41" Type="http://schemas.openxmlformats.org/officeDocument/2006/relationships/hyperlink" Target="https://www.dsebd.org/displayCompany.php?name=RAHIMAFOOD" TargetMode="External"/><Relationship Id="rId62" Type="http://schemas.openxmlformats.org/officeDocument/2006/relationships/hyperlink" Target="https://www.dsebd.org/displayCompany.php?name=RAHIMAFOOD" TargetMode="External"/><Relationship Id="rId83" Type="http://schemas.openxmlformats.org/officeDocument/2006/relationships/hyperlink" Target="https://www.dsebd.org/displayCompany.php?name=RAHIMAFOOD" TargetMode="External"/><Relationship Id="rId179" Type="http://schemas.openxmlformats.org/officeDocument/2006/relationships/hyperlink" Target="https://www.dsebd.org/displayCompany.php?name=RAHIMAFOOD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sebd.org/displayCompany.php?name=ROBI" TargetMode="External"/><Relationship Id="rId21" Type="http://schemas.openxmlformats.org/officeDocument/2006/relationships/hyperlink" Target="https://www.dsebd.org/displayCompany.php?name=ROBI" TargetMode="External"/><Relationship Id="rId42" Type="http://schemas.openxmlformats.org/officeDocument/2006/relationships/hyperlink" Target="https://www.dsebd.org/displayCompany.php?name=ROBI" TargetMode="External"/><Relationship Id="rId63" Type="http://schemas.openxmlformats.org/officeDocument/2006/relationships/hyperlink" Target="https://www.dsebd.org/displayCompany.php?name=ROBI" TargetMode="External"/><Relationship Id="rId84" Type="http://schemas.openxmlformats.org/officeDocument/2006/relationships/hyperlink" Target="https://www.dsebd.org/displayCompany.php?name=ROBI" TargetMode="External"/><Relationship Id="rId138" Type="http://schemas.openxmlformats.org/officeDocument/2006/relationships/hyperlink" Target="https://www.dsebd.org/displayCompany.php?name=ROBI" TargetMode="External"/><Relationship Id="rId159" Type="http://schemas.openxmlformats.org/officeDocument/2006/relationships/hyperlink" Target="https://www.dsebd.org/displayCompany.php?name=ROBI" TargetMode="External"/><Relationship Id="rId170" Type="http://schemas.openxmlformats.org/officeDocument/2006/relationships/hyperlink" Target="https://www.dsebd.org/displayCompany.php?name=ROBI" TargetMode="External"/><Relationship Id="rId191" Type="http://schemas.openxmlformats.org/officeDocument/2006/relationships/hyperlink" Target="https://www.dsebd.org/displayCompany.php?name=ROBI" TargetMode="External"/><Relationship Id="rId205" Type="http://schemas.openxmlformats.org/officeDocument/2006/relationships/hyperlink" Target="https://www.dsebd.org/displayCompany.php?name=ROBI" TargetMode="External"/><Relationship Id="rId226" Type="http://schemas.openxmlformats.org/officeDocument/2006/relationships/hyperlink" Target="https://www.dsebd.org/displayCompany.php?name=ROBI" TargetMode="External"/><Relationship Id="rId107" Type="http://schemas.openxmlformats.org/officeDocument/2006/relationships/hyperlink" Target="https://www.dsebd.org/displayCompany.php?name=ROBI" TargetMode="External"/><Relationship Id="rId11" Type="http://schemas.openxmlformats.org/officeDocument/2006/relationships/hyperlink" Target="https://www.dsebd.org/displayCompany.php?name=ROBI" TargetMode="External"/><Relationship Id="rId32" Type="http://schemas.openxmlformats.org/officeDocument/2006/relationships/hyperlink" Target="https://www.dsebd.org/displayCompany.php?name=ROBI" TargetMode="External"/><Relationship Id="rId53" Type="http://schemas.openxmlformats.org/officeDocument/2006/relationships/hyperlink" Target="https://www.dsebd.org/displayCompany.php?name=ROBI" TargetMode="External"/><Relationship Id="rId74" Type="http://schemas.openxmlformats.org/officeDocument/2006/relationships/hyperlink" Target="https://www.dsebd.org/displayCompany.php?name=ROBI" TargetMode="External"/><Relationship Id="rId128" Type="http://schemas.openxmlformats.org/officeDocument/2006/relationships/hyperlink" Target="https://www.dsebd.org/displayCompany.php?name=ROBI" TargetMode="External"/><Relationship Id="rId149" Type="http://schemas.openxmlformats.org/officeDocument/2006/relationships/hyperlink" Target="https://www.dsebd.org/displayCompany.php?name=ROBI" TargetMode="External"/><Relationship Id="rId5" Type="http://schemas.openxmlformats.org/officeDocument/2006/relationships/hyperlink" Target="https://www.dsebd.org/displayCompany.php?name=ROBI" TargetMode="External"/><Relationship Id="rId95" Type="http://schemas.openxmlformats.org/officeDocument/2006/relationships/hyperlink" Target="https://www.dsebd.org/displayCompany.php?name=ROBI" TargetMode="External"/><Relationship Id="rId160" Type="http://schemas.openxmlformats.org/officeDocument/2006/relationships/hyperlink" Target="https://www.dsebd.org/displayCompany.php?name=ROBI" TargetMode="External"/><Relationship Id="rId181" Type="http://schemas.openxmlformats.org/officeDocument/2006/relationships/hyperlink" Target="https://www.dsebd.org/displayCompany.php?name=ROBI" TargetMode="External"/><Relationship Id="rId216" Type="http://schemas.openxmlformats.org/officeDocument/2006/relationships/hyperlink" Target="https://www.dsebd.org/displayCompany.php?name=ROBI" TargetMode="External"/><Relationship Id="rId237" Type="http://schemas.openxmlformats.org/officeDocument/2006/relationships/hyperlink" Target="https://www.dsebd.org/displayCompany.php?name=ROBI" TargetMode="External"/><Relationship Id="rId22" Type="http://schemas.openxmlformats.org/officeDocument/2006/relationships/hyperlink" Target="https://www.dsebd.org/displayCompany.php?name=ROBI" TargetMode="External"/><Relationship Id="rId43" Type="http://schemas.openxmlformats.org/officeDocument/2006/relationships/hyperlink" Target="https://www.dsebd.org/displayCompany.php?name=ROBI" TargetMode="External"/><Relationship Id="rId64" Type="http://schemas.openxmlformats.org/officeDocument/2006/relationships/hyperlink" Target="https://www.dsebd.org/displayCompany.php?name=ROBI" TargetMode="External"/><Relationship Id="rId118" Type="http://schemas.openxmlformats.org/officeDocument/2006/relationships/hyperlink" Target="https://www.dsebd.org/displayCompany.php?name=ROBI" TargetMode="External"/><Relationship Id="rId139" Type="http://schemas.openxmlformats.org/officeDocument/2006/relationships/hyperlink" Target="https://www.dsebd.org/displayCompany.php?name=ROBI" TargetMode="External"/><Relationship Id="rId85" Type="http://schemas.openxmlformats.org/officeDocument/2006/relationships/hyperlink" Target="https://www.dsebd.org/displayCompany.php?name=ROBI" TargetMode="External"/><Relationship Id="rId150" Type="http://schemas.openxmlformats.org/officeDocument/2006/relationships/hyperlink" Target="https://www.dsebd.org/displayCompany.php?name=ROBI" TargetMode="External"/><Relationship Id="rId171" Type="http://schemas.openxmlformats.org/officeDocument/2006/relationships/hyperlink" Target="https://www.dsebd.org/displayCompany.php?name=ROBI" TargetMode="External"/><Relationship Id="rId192" Type="http://schemas.openxmlformats.org/officeDocument/2006/relationships/hyperlink" Target="https://www.dsebd.org/displayCompany.php?name=ROBI" TargetMode="External"/><Relationship Id="rId206" Type="http://schemas.openxmlformats.org/officeDocument/2006/relationships/hyperlink" Target="https://www.dsebd.org/displayCompany.php?name=ROBI" TargetMode="External"/><Relationship Id="rId227" Type="http://schemas.openxmlformats.org/officeDocument/2006/relationships/hyperlink" Target="https://www.dsebd.org/displayCompany.php?name=ROBI" TargetMode="External"/><Relationship Id="rId12" Type="http://schemas.openxmlformats.org/officeDocument/2006/relationships/hyperlink" Target="https://www.dsebd.org/displayCompany.php?name=ROBI" TargetMode="External"/><Relationship Id="rId33" Type="http://schemas.openxmlformats.org/officeDocument/2006/relationships/hyperlink" Target="https://www.dsebd.org/displayCompany.php?name=ROBI" TargetMode="External"/><Relationship Id="rId108" Type="http://schemas.openxmlformats.org/officeDocument/2006/relationships/hyperlink" Target="https://www.dsebd.org/displayCompany.php?name=ROBI" TargetMode="External"/><Relationship Id="rId129" Type="http://schemas.openxmlformats.org/officeDocument/2006/relationships/hyperlink" Target="https://www.dsebd.org/displayCompany.php?name=ROBI" TargetMode="External"/><Relationship Id="rId54" Type="http://schemas.openxmlformats.org/officeDocument/2006/relationships/hyperlink" Target="https://www.dsebd.org/displayCompany.php?name=ROBI" TargetMode="External"/><Relationship Id="rId75" Type="http://schemas.openxmlformats.org/officeDocument/2006/relationships/hyperlink" Target="https://www.dsebd.org/displayCompany.php?name=ROBI" TargetMode="External"/><Relationship Id="rId96" Type="http://schemas.openxmlformats.org/officeDocument/2006/relationships/hyperlink" Target="https://www.dsebd.org/displayCompany.php?name=ROBI" TargetMode="External"/><Relationship Id="rId140" Type="http://schemas.openxmlformats.org/officeDocument/2006/relationships/hyperlink" Target="https://www.dsebd.org/displayCompany.php?name=ROBI" TargetMode="External"/><Relationship Id="rId161" Type="http://schemas.openxmlformats.org/officeDocument/2006/relationships/hyperlink" Target="https://www.dsebd.org/displayCompany.php?name=ROBI" TargetMode="External"/><Relationship Id="rId182" Type="http://schemas.openxmlformats.org/officeDocument/2006/relationships/hyperlink" Target="https://www.dsebd.org/displayCompany.php?name=ROBI" TargetMode="External"/><Relationship Id="rId217" Type="http://schemas.openxmlformats.org/officeDocument/2006/relationships/hyperlink" Target="https://www.dsebd.org/displayCompany.php?name=ROBI" TargetMode="External"/><Relationship Id="rId6" Type="http://schemas.openxmlformats.org/officeDocument/2006/relationships/hyperlink" Target="https://www.dsebd.org/displayCompany.php?name=ROBI" TargetMode="External"/><Relationship Id="rId238" Type="http://schemas.openxmlformats.org/officeDocument/2006/relationships/hyperlink" Target="https://www.dsebd.org/displayCompany.php?name=ROBI" TargetMode="External"/><Relationship Id="rId23" Type="http://schemas.openxmlformats.org/officeDocument/2006/relationships/hyperlink" Target="https://www.dsebd.org/displayCompany.php?name=ROBI" TargetMode="External"/><Relationship Id="rId119" Type="http://schemas.openxmlformats.org/officeDocument/2006/relationships/hyperlink" Target="https://www.dsebd.org/displayCompany.php?name=ROBI" TargetMode="External"/><Relationship Id="rId44" Type="http://schemas.openxmlformats.org/officeDocument/2006/relationships/hyperlink" Target="https://www.dsebd.org/displayCompany.php?name=ROBI" TargetMode="External"/><Relationship Id="rId65" Type="http://schemas.openxmlformats.org/officeDocument/2006/relationships/hyperlink" Target="https://www.dsebd.org/displayCompany.php?name=ROBI" TargetMode="External"/><Relationship Id="rId86" Type="http://schemas.openxmlformats.org/officeDocument/2006/relationships/hyperlink" Target="https://www.dsebd.org/displayCompany.php?name=ROBI" TargetMode="External"/><Relationship Id="rId130" Type="http://schemas.openxmlformats.org/officeDocument/2006/relationships/hyperlink" Target="https://www.dsebd.org/displayCompany.php?name=ROBI" TargetMode="External"/><Relationship Id="rId151" Type="http://schemas.openxmlformats.org/officeDocument/2006/relationships/hyperlink" Target="https://www.dsebd.org/displayCompany.php?name=ROBI" TargetMode="External"/><Relationship Id="rId172" Type="http://schemas.openxmlformats.org/officeDocument/2006/relationships/hyperlink" Target="https://www.dsebd.org/displayCompany.php?name=ROBI" TargetMode="External"/><Relationship Id="rId193" Type="http://schemas.openxmlformats.org/officeDocument/2006/relationships/hyperlink" Target="https://www.dsebd.org/displayCompany.php?name=ROBI" TargetMode="External"/><Relationship Id="rId207" Type="http://schemas.openxmlformats.org/officeDocument/2006/relationships/hyperlink" Target="https://www.dsebd.org/displayCompany.php?name=ROBI" TargetMode="External"/><Relationship Id="rId228" Type="http://schemas.openxmlformats.org/officeDocument/2006/relationships/hyperlink" Target="https://www.dsebd.org/displayCompany.php?name=ROBI" TargetMode="External"/><Relationship Id="rId13" Type="http://schemas.openxmlformats.org/officeDocument/2006/relationships/hyperlink" Target="https://www.dsebd.org/displayCompany.php?name=ROBI" TargetMode="External"/><Relationship Id="rId109" Type="http://schemas.openxmlformats.org/officeDocument/2006/relationships/hyperlink" Target="https://www.dsebd.org/displayCompany.php?name=ROBI" TargetMode="External"/><Relationship Id="rId34" Type="http://schemas.openxmlformats.org/officeDocument/2006/relationships/hyperlink" Target="https://www.dsebd.org/displayCompany.php?name=ROBI" TargetMode="External"/><Relationship Id="rId55" Type="http://schemas.openxmlformats.org/officeDocument/2006/relationships/hyperlink" Target="https://www.dsebd.org/displayCompany.php?name=ROBI" TargetMode="External"/><Relationship Id="rId76" Type="http://schemas.openxmlformats.org/officeDocument/2006/relationships/hyperlink" Target="https://www.dsebd.org/displayCompany.php?name=ROBI" TargetMode="External"/><Relationship Id="rId97" Type="http://schemas.openxmlformats.org/officeDocument/2006/relationships/hyperlink" Target="https://www.dsebd.org/displayCompany.php?name=ROBI" TargetMode="External"/><Relationship Id="rId120" Type="http://schemas.openxmlformats.org/officeDocument/2006/relationships/hyperlink" Target="https://www.dsebd.org/displayCompany.php?name=ROBI" TargetMode="External"/><Relationship Id="rId141" Type="http://schemas.openxmlformats.org/officeDocument/2006/relationships/hyperlink" Target="https://www.dsebd.org/displayCompany.php?name=ROBI" TargetMode="External"/><Relationship Id="rId7" Type="http://schemas.openxmlformats.org/officeDocument/2006/relationships/hyperlink" Target="https://www.dsebd.org/displayCompany.php?name=ROBI" TargetMode="External"/><Relationship Id="rId162" Type="http://schemas.openxmlformats.org/officeDocument/2006/relationships/hyperlink" Target="https://www.dsebd.org/displayCompany.php?name=ROBI" TargetMode="External"/><Relationship Id="rId183" Type="http://schemas.openxmlformats.org/officeDocument/2006/relationships/hyperlink" Target="https://www.dsebd.org/displayCompany.php?name=ROBI" TargetMode="External"/><Relationship Id="rId218" Type="http://schemas.openxmlformats.org/officeDocument/2006/relationships/hyperlink" Target="https://www.dsebd.org/displayCompany.php?name=ROBI" TargetMode="External"/><Relationship Id="rId239" Type="http://schemas.openxmlformats.org/officeDocument/2006/relationships/hyperlink" Target="https://www.dsebd.org/displayCompany.php?name=ROBI" TargetMode="External"/><Relationship Id="rId24" Type="http://schemas.openxmlformats.org/officeDocument/2006/relationships/hyperlink" Target="https://www.dsebd.org/displayCompany.php?name=ROBI" TargetMode="External"/><Relationship Id="rId45" Type="http://schemas.openxmlformats.org/officeDocument/2006/relationships/hyperlink" Target="https://www.dsebd.org/displayCompany.php?name=ROBI" TargetMode="External"/><Relationship Id="rId66" Type="http://schemas.openxmlformats.org/officeDocument/2006/relationships/hyperlink" Target="https://www.dsebd.org/displayCompany.php?name=ROBI" TargetMode="External"/><Relationship Id="rId87" Type="http://schemas.openxmlformats.org/officeDocument/2006/relationships/hyperlink" Target="https://www.dsebd.org/displayCompany.php?name=ROBI" TargetMode="External"/><Relationship Id="rId110" Type="http://schemas.openxmlformats.org/officeDocument/2006/relationships/hyperlink" Target="https://www.dsebd.org/displayCompany.php?name=ROBI" TargetMode="External"/><Relationship Id="rId131" Type="http://schemas.openxmlformats.org/officeDocument/2006/relationships/hyperlink" Target="https://www.dsebd.org/displayCompany.php?name=ROBI" TargetMode="External"/><Relationship Id="rId152" Type="http://schemas.openxmlformats.org/officeDocument/2006/relationships/hyperlink" Target="https://www.dsebd.org/displayCompany.php?name=ROBI" TargetMode="External"/><Relationship Id="rId173" Type="http://schemas.openxmlformats.org/officeDocument/2006/relationships/hyperlink" Target="https://www.dsebd.org/displayCompany.php?name=ROBI" TargetMode="External"/><Relationship Id="rId194" Type="http://schemas.openxmlformats.org/officeDocument/2006/relationships/hyperlink" Target="https://www.dsebd.org/displayCompany.php?name=ROBI" TargetMode="External"/><Relationship Id="rId208" Type="http://schemas.openxmlformats.org/officeDocument/2006/relationships/hyperlink" Target="https://www.dsebd.org/displayCompany.php?name=ROBI" TargetMode="External"/><Relationship Id="rId229" Type="http://schemas.openxmlformats.org/officeDocument/2006/relationships/hyperlink" Target="https://www.dsebd.org/displayCompany.php?name=ROBI" TargetMode="External"/><Relationship Id="rId14" Type="http://schemas.openxmlformats.org/officeDocument/2006/relationships/hyperlink" Target="https://www.dsebd.org/displayCompany.php?name=ROBI" TargetMode="External"/><Relationship Id="rId35" Type="http://schemas.openxmlformats.org/officeDocument/2006/relationships/hyperlink" Target="https://www.dsebd.org/displayCompany.php?name=ROBI" TargetMode="External"/><Relationship Id="rId56" Type="http://schemas.openxmlformats.org/officeDocument/2006/relationships/hyperlink" Target="https://www.dsebd.org/displayCompany.php?name=ROBI" TargetMode="External"/><Relationship Id="rId77" Type="http://schemas.openxmlformats.org/officeDocument/2006/relationships/hyperlink" Target="https://www.dsebd.org/displayCompany.php?name=ROBI" TargetMode="External"/><Relationship Id="rId100" Type="http://schemas.openxmlformats.org/officeDocument/2006/relationships/hyperlink" Target="https://www.dsebd.org/displayCompany.php?name=ROBI" TargetMode="External"/><Relationship Id="rId8" Type="http://schemas.openxmlformats.org/officeDocument/2006/relationships/hyperlink" Target="https://www.dsebd.org/displayCompany.php?name=ROBI" TargetMode="External"/><Relationship Id="rId98" Type="http://schemas.openxmlformats.org/officeDocument/2006/relationships/hyperlink" Target="https://www.dsebd.org/displayCompany.php?name=ROBI" TargetMode="External"/><Relationship Id="rId121" Type="http://schemas.openxmlformats.org/officeDocument/2006/relationships/hyperlink" Target="https://www.dsebd.org/displayCompany.php?name=ROBI" TargetMode="External"/><Relationship Id="rId142" Type="http://schemas.openxmlformats.org/officeDocument/2006/relationships/hyperlink" Target="https://www.dsebd.org/displayCompany.php?name=ROBI" TargetMode="External"/><Relationship Id="rId163" Type="http://schemas.openxmlformats.org/officeDocument/2006/relationships/hyperlink" Target="https://www.dsebd.org/displayCompany.php?name=ROBI" TargetMode="External"/><Relationship Id="rId184" Type="http://schemas.openxmlformats.org/officeDocument/2006/relationships/hyperlink" Target="https://www.dsebd.org/displayCompany.php?name=ROBI" TargetMode="External"/><Relationship Id="rId219" Type="http://schemas.openxmlformats.org/officeDocument/2006/relationships/hyperlink" Target="https://www.dsebd.org/displayCompany.php?name=ROBI" TargetMode="External"/><Relationship Id="rId230" Type="http://schemas.openxmlformats.org/officeDocument/2006/relationships/hyperlink" Target="https://www.dsebd.org/displayCompany.php?name=ROBI" TargetMode="External"/><Relationship Id="rId25" Type="http://schemas.openxmlformats.org/officeDocument/2006/relationships/hyperlink" Target="https://www.dsebd.org/displayCompany.php?name=ROBI" TargetMode="External"/><Relationship Id="rId46" Type="http://schemas.openxmlformats.org/officeDocument/2006/relationships/hyperlink" Target="https://www.dsebd.org/displayCompany.php?name=ROBI" TargetMode="External"/><Relationship Id="rId67" Type="http://schemas.openxmlformats.org/officeDocument/2006/relationships/hyperlink" Target="https://www.dsebd.org/displayCompany.php?name=ROBI" TargetMode="External"/><Relationship Id="rId88" Type="http://schemas.openxmlformats.org/officeDocument/2006/relationships/hyperlink" Target="https://www.dsebd.org/displayCompany.php?name=ROBI" TargetMode="External"/><Relationship Id="rId111" Type="http://schemas.openxmlformats.org/officeDocument/2006/relationships/hyperlink" Target="https://www.dsebd.org/displayCompany.php?name=ROBI" TargetMode="External"/><Relationship Id="rId132" Type="http://schemas.openxmlformats.org/officeDocument/2006/relationships/hyperlink" Target="https://www.dsebd.org/displayCompany.php?name=ROBI" TargetMode="External"/><Relationship Id="rId153" Type="http://schemas.openxmlformats.org/officeDocument/2006/relationships/hyperlink" Target="https://www.dsebd.org/displayCompany.php?name=ROBI" TargetMode="External"/><Relationship Id="rId174" Type="http://schemas.openxmlformats.org/officeDocument/2006/relationships/hyperlink" Target="https://www.dsebd.org/displayCompany.php?name=ROBI" TargetMode="External"/><Relationship Id="rId195" Type="http://schemas.openxmlformats.org/officeDocument/2006/relationships/hyperlink" Target="https://www.dsebd.org/displayCompany.php?name=ROBI" TargetMode="External"/><Relationship Id="rId209" Type="http://schemas.openxmlformats.org/officeDocument/2006/relationships/hyperlink" Target="https://www.dsebd.org/displayCompany.php?name=ROBI" TargetMode="External"/><Relationship Id="rId190" Type="http://schemas.openxmlformats.org/officeDocument/2006/relationships/hyperlink" Target="https://www.dsebd.org/displayCompany.php?name=ROBI" TargetMode="External"/><Relationship Id="rId204" Type="http://schemas.openxmlformats.org/officeDocument/2006/relationships/hyperlink" Target="https://www.dsebd.org/displayCompany.php?name=ROBI" TargetMode="External"/><Relationship Id="rId220" Type="http://schemas.openxmlformats.org/officeDocument/2006/relationships/hyperlink" Target="https://www.dsebd.org/displayCompany.php?name=ROBI" TargetMode="External"/><Relationship Id="rId225" Type="http://schemas.openxmlformats.org/officeDocument/2006/relationships/hyperlink" Target="https://www.dsebd.org/displayCompany.php?name=ROBI" TargetMode="External"/><Relationship Id="rId15" Type="http://schemas.openxmlformats.org/officeDocument/2006/relationships/hyperlink" Target="https://www.dsebd.org/displayCompany.php?name=ROBI" TargetMode="External"/><Relationship Id="rId36" Type="http://schemas.openxmlformats.org/officeDocument/2006/relationships/hyperlink" Target="https://www.dsebd.org/displayCompany.php?name=ROBI" TargetMode="External"/><Relationship Id="rId57" Type="http://schemas.openxmlformats.org/officeDocument/2006/relationships/hyperlink" Target="https://www.dsebd.org/displayCompany.php?name=ROBI" TargetMode="External"/><Relationship Id="rId106" Type="http://schemas.openxmlformats.org/officeDocument/2006/relationships/hyperlink" Target="https://www.dsebd.org/displayCompany.php?name=ROBI" TargetMode="External"/><Relationship Id="rId127" Type="http://schemas.openxmlformats.org/officeDocument/2006/relationships/hyperlink" Target="https://www.dsebd.org/displayCompany.php?name=ROBI" TargetMode="External"/><Relationship Id="rId10" Type="http://schemas.openxmlformats.org/officeDocument/2006/relationships/hyperlink" Target="https://www.dsebd.org/displayCompany.php?name=ROBI" TargetMode="External"/><Relationship Id="rId31" Type="http://schemas.openxmlformats.org/officeDocument/2006/relationships/hyperlink" Target="https://www.dsebd.org/displayCompany.php?name=ROBI" TargetMode="External"/><Relationship Id="rId52" Type="http://schemas.openxmlformats.org/officeDocument/2006/relationships/hyperlink" Target="https://www.dsebd.org/displayCompany.php?name=ROBI" TargetMode="External"/><Relationship Id="rId73" Type="http://schemas.openxmlformats.org/officeDocument/2006/relationships/hyperlink" Target="https://www.dsebd.org/displayCompany.php?name=ROBI" TargetMode="External"/><Relationship Id="rId78" Type="http://schemas.openxmlformats.org/officeDocument/2006/relationships/hyperlink" Target="https://www.dsebd.org/displayCompany.php?name=ROBI" TargetMode="External"/><Relationship Id="rId94" Type="http://schemas.openxmlformats.org/officeDocument/2006/relationships/hyperlink" Target="https://www.dsebd.org/displayCompany.php?name=ROBI" TargetMode="External"/><Relationship Id="rId99" Type="http://schemas.openxmlformats.org/officeDocument/2006/relationships/hyperlink" Target="https://www.dsebd.org/displayCompany.php?name=ROBI" TargetMode="External"/><Relationship Id="rId101" Type="http://schemas.openxmlformats.org/officeDocument/2006/relationships/hyperlink" Target="https://www.dsebd.org/displayCompany.php?name=ROBI" TargetMode="External"/><Relationship Id="rId122" Type="http://schemas.openxmlformats.org/officeDocument/2006/relationships/hyperlink" Target="https://www.dsebd.org/displayCompany.php?name=ROBI" TargetMode="External"/><Relationship Id="rId143" Type="http://schemas.openxmlformats.org/officeDocument/2006/relationships/hyperlink" Target="https://www.dsebd.org/displayCompany.php?name=ROBI" TargetMode="External"/><Relationship Id="rId148" Type="http://schemas.openxmlformats.org/officeDocument/2006/relationships/hyperlink" Target="https://www.dsebd.org/displayCompany.php?name=ROBI" TargetMode="External"/><Relationship Id="rId164" Type="http://schemas.openxmlformats.org/officeDocument/2006/relationships/hyperlink" Target="https://www.dsebd.org/displayCompany.php?name=ROBI" TargetMode="External"/><Relationship Id="rId169" Type="http://schemas.openxmlformats.org/officeDocument/2006/relationships/hyperlink" Target="https://www.dsebd.org/displayCompany.php?name=ROBI" TargetMode="External"/><Relationship Id="rId185" Type="http://schemas.openxmlformats.org/officeDocument/2006/relationships/hyperlink" Target="https://www.dsebd.org/displayCompany.php?name=ROBI" TargetMode="External"/><Relationship Id="rId4" Type="http://schemas.openxmlformats.org/officeDocument/2006/relationships/hyperlink" Target="https://www.dsebd.org/displayCompany.php?name=ROBI" TargetMode="External"/><Relationship Id="rId9" Type="http://schemas.openxmlformats.org/officeDocument/2006/relationships/hyperlink" Target="https://www.dsebd.org/displayCompany.php?name=ROBI" TargetMode="External"/><Relationship Id="rId180" Type="http://schemas.openxmlformats.org/officeDocument/2006/relationships/hyperlink" Target="https://www.dsebd.org/displayCompany.php?name=ROBI" TargetMode="External"/><Relationship Id="rId210" Type="http://schemas.openxmlformats.org/officeDocument/2006/relationships/hyperlink" Target="https://www.dsebd.org/displayCompany.php?name=ROBI" TargetMode="External"/><Relationship Id="rId215" Type="http://schemas.openxmlformats.org/officeDocument/2006/relationships/hyperlink" Target="https://www.dsebd.org/displayCompany.php?name=ROBI" TargetMode="External"/><Relationship Id="rId236" Type="http://schemas.openxmlformats.org/officeDocument/2006/relationships/hyperlink" Target="https://www.dsebd.org/displayCompany.php?name=ROBI" TargetMode="External"/><Relationship Id="rId26" Type="http://schemas.openxmlformats.org/officeDocument/2006/relationships/hyperlink" Target="https://www.dsebd.org/displayCompany.php?name=ROBI" TargetMode="External"/><Relationship Id="rId231" Type="http://schemas.openxmlformats.org/officeDocument/2006/relationships/hyperlink" Target="https://www.dsebd.org/displayCompany.php?name=ROBI" TargetMode="External"/><Relationship Id="rId47" Type="http://schemas.openxmlformats.org/officeDocument/2006/relationships/hyperlink" Target="https://www.dsebd.org/displayCompany.php?name=ROBI" TargetMode="External"/><Relationship Id="rId68" Type="http://schemas.openxmlformats.org/officeDocument/2006/relationships/hyperlink" Target="https://www.dsebd.org/displayCompany.php?name=ROBI" TargetMode="External"/><Relationship Id="rId89" Type="http://schemas.openxmlformats.org/officeDocument/2006/relationships/hyperlink" Target="https://www.dsebd.org/displayCompany.php?name=ROBI" TargetMode="External"/><Relationship Id="rId112" Type="http://schemas.openxmlformats.org/officeDocument/2006/relationships/hyperlink" Target="https://www.dsebd.org/displayCompany.php?name=ROBI" TargetMode="External"/><Relationship Id="rId133" Type="http://schemas.openxmlformats.org/officeDocument/2006/relationships/hyperlink" Target="https://www.dsebd.org/displayCompany.php?name=ROBI" TargetMode="External"/><Relationship Id="rId154" Type="http://schemas.openxmlformats.org/officeDocument/2006/relationships/hyperlink" Target="https://www.dsebd.org/displayCompany.php?name=ROBI" TargetMode="External"/><Relationship Id="rId175" Type="http://schemas.openxmlformats.org/officeDocument/2006/relationships/hyperlink" Target="https://www.dsebd.org/displayCompany.php?name=ROBI" TargetMode="External"/><Relationship Id="rId196" Type="http://schemas.openxmlformats.org/officeDocument/2006/relationships/hyperlink" Target="https://www.dsebd.org/displayCompany.php?name=ROBI" TargetMode="External"/><Relationship Id="rId200" Type="http://schemas.openxmlformats.org/officeDocument/2006/relationships/hyperlink" Target="https://www.dsebd.org/displayCompany.php?name=ROBI" TargetMode="External"/><Relationship Id="rId16" Type="http://schemas.openxmlformats.org/officeDocument/2006/relationships/hyperlink" Target="https://www.dsebd.org/displayCompany.php?name=ROBI" TargetMode="External"/><Relationship Id="rId221" Type="http://schemas.openxmlformats.org/officeDocument/2006/relationships/hyperlink" Target="https://www.dsebd.org/displayCompany.php?name=ROBI" TargetMode="External"/><Relationship Id="rId37" Type="http://schemas.openxmlformats.org/officeDocument/2006/relationships/hyperlink" Target="https://www.dsebd.org/displayCompany.php?name=ROBI" TargetMode="External"/><Relationship Id="rId58" Type="http://schemas.openxmlformats.org/officeDocument/2006/relationships/hyperlink" Target="https://www.dsebd.org/displayCompany.php?name=ROBI" TargetMode="External"/><Relationship Id="rId79" Type="http://schemas.openxmlformats.org/officeDocument/2006/relationships/hyperlink" Target="https://www.dsebd.org/displayCompany.php?name=ROBI" TargetMode="External"/><Relationship Id="rId102" Type="http://schemas.openxmlformats.org/officeDocument/2006/relationships/hyperlink" Target="https://www.dsebd.org/displayCompany.php?name=ROBI" TargetMode="External"/><Relationship Id="rId123" Type="http://schemas.openxmlformats.org/officeDocument/2006/relationships/hyperlink" Target="https://www.dsebd.org/displayCompany.php?name=ROBI" TargetMode="External"/><Relationship Id="rId144" Type="http://schemas.openxmlformats.org/officeDocument/2006/relationships/hyperlink" Target="https://www.dsebd.org/displayCompany.php?name=ROBI" TargetMode="External"/><Relationship Id="rId90" Type="http://schemas.openxmlformats.org/officeDocument/2006/relationships/hyperlink" Target="https://www.dsebd.org/displayCompany.php?name=ROBI" TargetMode="External"/><Relationship Id="rId165" Type="http://schemas.openxmlformats.org/officeDocument/2006/relationships/hyperlink" Target="https://www.dsebd.org/displayCompany.php?name=ROBI" TargetMode="External"/><Relationship Id="rId186" Type="http://schemas.openxmlformats.org/officeDocument/2006/relationships/hyperlink" Target="https://www.dsebd.org/displayCompany.php?name=ROBI" TargetMode="External"/><Relationship Id="rId211" Type="http://schemas.openxmlformats.org/officeDocument/2006/relationships/hyperlink" Target="https://www.dsebd.org/displayCompany.php?name=ROBI" TargetMode="External"/><Relationship Id="rId232" Type="http://schemas.openxmlformats.org/officeDocument/2006/relationships/hyperlink" Target="https://www.dsebd.org/displayCompany.php?name=ROBI" TargetMode="External"/><Relationship Id="rId27" Type="http://schemas.openxmlformats.org/officeDocument/2006/relationships/hyperlink" Target="https://www.dsebd.org/displayCompany.php?name=ROBI" TargetMode="External"/><Relationship Id="rId48" Type="http://schemas.openxmlformats.org/officeDocument/2006/relationships/hyperlink" Target="https://www.dsebd.org/displayCompany.php?name=ROBI" TargetMode="External"/><Relationship Id="rId69" Type="http://schemas.openxmlformats.org/officeDocument/2006/relationships/hyperlink" Target="https://www.dsebd.org/displayCompany.php?name=ROBI" TargetMode="External"/><Relationship Id="rId113" Type="http://schemas.openxmlformats.org/officeDocument/2006/relationships/hyperlink" Target="https://www.dsebd.org/displayCompany.php?name=ROBI" TargetMode="External"/><Relationship Id="rId134" Type="http://schemas.openxmlformats.org/officeDocument/2006/relationships/hyperlink" Target="https://www.dsebd.org/displayCompany.php?name=ROBI" TargetMode="External"/><Relationship Id="rId80" Type="http://schemas.openxmlformats.org/officeDocument/2006/relationships/hyperlink" Target="https://www.dsebd.org/displayCompany.php?name=ROBI" TargetMode="External"/><Relationship Id="rId155" Type="http://schemas.openxmlformats.org/officeDocument/2006/relationships/hyperlink" Target="https://www.dsebd.org/displayCompany.php?name=ROBI" TargetMode="External"/><Relationship Id="rId176" Type="http://schemas.openxmlformats.org/officeDocument/2006/relationships/hyperlink" Target="https://www.dsebd.org/displayCompany.php?name=ROBI" TargetMode="External"/><Relationship Id="rId197" Type="http://schemas.openxmlformats.org/officeDocument/2006/relationships/hyperlink" Target="https://www.dsebd.org/displayCompany.php?name=ROBI" TargetMode="External"/><Relationship Id="rId201" Type="http://schemas.openxmlformats.org/officeDocument/2006/relationships/hyperlink" Target="https://www.dsebd.org/displayCompany.php?name=ROBI" TargetMode="External"/><Relationship Id="rId222" Type="http://schemas.openxmlformats.org/officeDocument/2006/relationships/hyperlink" Target="https://www.dsebd.org/displayCompany.php?name=ROBI" TargetMode="External"/><Relationship Id="rId17" Type="http://schemas.openxmlformats.org/officeDocument/2006/relationships/hyperlink" Target="https://www.dsebd.org/displayCompany.php?name=ROBI" TargetMode="External"/><Relationship Id="rId38" Type="http://schemas.openxmlformats.org/officeDocument/2006/relationships/hyperlink" Target="https://www.dsebd.org/displayCompany.php?name=ROBI" TargetMode="External"/><Relationship Id="rId59" Type="http://schemas.openxmlformats.org/officeDocument/2006/relationships/hyperlink" Target="https://www.dsebd.org/displayCompany.php?name=ROBI" TargetMode="External"/><Relationship Id="rId103" Type="http://schemas.openxmlformats.org/officeDocument/2006/relationships/hyperlink" Target="https://www.dsebd.org/displayCompany.php?name=ROBI" TargetMode="External"/><Relationship Id="rId124" Type="http://schemas.openxmlformats.org/officeDocument/2006/relationships/hyperlink" Target="https://www.dsebd.org/displayCompany.php?name=ROBI" TargetMode="External"/><Relationship Id="rId70" Type="http://schemas.openxmlformats.org/officeDocument/2006/relationships/hyperlink" Target="https://www.dsebd.org/displayCompany.php?name=ROBI" TargetMode="External"/><Relationship Id="rId91" Type="http://schemas.openxmlformats.org/officeDocument/2006/relationships/hyperlink" Target="https://www.dsebd.org/displayCompany.php?name=ROBI" TargetMode="External"/><Relationship Id="rId145" Type="http://schemas.openxmlformats.org/officeDocument/2006/relationships/hyperlink" Target="https://www.dsebd.org/displayCompany.php?name=ROBI" TargetMode="External"/><Relationship Id="rId166" Type="http://schemas.openxmlformats.org/officeDocument/2006/relationships/hyperlink" Target="https://www.dsebd.org/displayCompany.php?name=ROBI" TargetMode="External"/><Relationship Id="rId187" Type="http://schemas.openxmlformats.org/officeDocument/2006/relationships/hyperlink" Target="https://www.dsebd.org/displayCompany.php?name=ROBI" TargetMode="External"/><Relationship Id="rId1" Type="http://schemas.openxmlformats.org/officeDocument/2006/relationships/hyperlink" Target="https://www.dsebd.org/displayCompany.php?name=ROBI" TargetMode="External"/><Relationship Id="rId212" Type="http://schemas.openxmlformats.org/officeDocument/2006/relationships/hyperlink" Target="https://www.dsebd.org/displayCompany.php?name=ROBI" TargetMode="External"/><Relationship Id="rId233" Type="http://schemas.openxmlformats.org/officeDocument/2006/relationships/hyperlink" Target="https://www.dsebd.org/displayCompany.php?name=ROBI" TargetMode="External"/><Relationship Id="rId28" Type="http://schemas.openxmlformats.org/officeDocument/2006/relationships/hyperlink" Target="https://www.dsebd.org/displayCompany.php?name=ROBI" TargetMode="External"/><Relationship Id="rId49" Type="http://schemas.openxmlformats.org/officeDocument/2006/relationships/hyperlink" Target="https://www.dsebd.org/displayCompany.php?name=ROBI" TargetMode="External"/><Relationship Id="rId114" Type="http://schemas.openxmlformats.org/officeDocument/2006/relationships/hyperlink" Target="https://www.dsebd.org/displayCompany.php?name=ROBI" TargetMode="External"/><Relationship Id="rId60" Type="http://schemas.openxmlformats.org/officeDocument/2006/relationships/hyperlink" Target="https://www.dsebd.org/displayCompany.php?name=ROBI" TargetMode="External"/><Relationship Id="rId81" Type="http://schemas.openxmlformats.org/officeDocument/2006/relationships/hyperlink" Target="https://www.dsebd.org/displayCompany.php?name=ROBI" TargetMode="External"/><Relationship Id="rId135" Type="http://schemas.openxmlformats.org/officeDocument/2006/relationships/hyperlink" Target="https://www.dsebd.org/displayCompany.php?name=ROBI" TargetMode="External"/><Relationship Id="rId156" Type="http://schemas.openxmlformats.org/officeDocument/2006/relationships/hyperlink" Target="https://www.dsebd.org/displayCompany.php?name=ROBI" TargetMode="External"/><Relationship Id="rId177" Type="http://schemas.openxmlformats.org/officeDocument/2006/relationships/hyperlink" Target="https://www.dsebd.org/displayCompany.php?name=ROBI" TargetMode="External"/><Relationship Id="rId198" Type="http://schemas.openxmlformats.org/officeDocument/2006/relationships/hyperlink" Target="https://www.dsebd.org/displayCompany.php?name=ROBI" TargetMode="External"/><Relationship Id="rId202" Type="http://schemas.openxmlformats.org/officeDocument/2006/relationships/hyperlink" Target="https://www.dsebd.org/displayCompany.php?name=ROBI" TargetMode="External"/><Relationship Id="rId223" Type="http://schemas.openxmlformats.org/officeDocument/2006/relationships/hyperlink" Target="https://www.dsebd.org/displayCompany.php?name=ROBI" TargetMode="External"/><Relationship Id="rId18" Type="http://schemas.openxmlformats.org/officeDocument/2006/relationships/hyperlink" Target="https://www.dsebd.org/displayCompany.php?name=ROBI" TargetMode="External"/><Relationship Id="rId39" Type="http://schemas.openxmlformats.org/officeDocument/2006/relationships/hyperlink" Target="https://www.dsebd.org/displayCompany.php?name=ROBI" TargetMode="External"/><Relationship Id="rId50" Type="http://schemas.openxmlformats.org/officeDocument/2006/relationships/hyperlink" Target="https://www.dsebd.org/displayCompany.php?name=ROBI" TargetMode="External"/><Relationship Id="rId104" Type="http://schemas.openxmlformats.org/officeDocument/2006/relationships/hyperlink" Target="https://www.dsebd.org/displayCompany.php?name=ROBI" TargetMode="External"/><Relationship Id="rId125" Type="http://schemas.openxmlformats.org/officeDocument/2006/relationships/hyperlink" Target="https://www.dsebd.org/displayCompany.php?name=ROBI" TargetMode="External"/><Relationship Id="rId146" Type="http://schemas.openxmlformats.org/officeDocument/2006/relationships/hyperlink" Target="https://www.dsebd.org/displayCompany.php?name=ROBI" TargetMode="External"/><Relationship Id="rId167" Type="http://schemas.openxmlformats.org/officeDocument/2006/relationships/hyperlink" Target="https://www.dsebd.org/displayCompany.php?name=ROBI" TargetMode="External"/><Relationship Id="rId188" Type="http://schemas.openxmlformats.org/officeDocument/2006/relationships/hyperlink" Target="https://www.dsebd.org/displayCompany.php?name=ROBI" TargetMode="External"/><Relationship Id="rId71" Type="http://schemas.openxmlformats.org/officeDocument/2006/relationships/hyperlink" Target="https://www.dsebd.org/displayCompany.php?name=ROBI" TargetMode="External"/><Relationship Id="rId92" Type="http://schemas.openxmlformats.org/officeDocument/2006/relationships/hyperlink" Target="https://www.dsebd.org/displayCompany.php?name=ROBI" TargetMode="External"/><Relationship Id="rId213" Type="http://schemas.openxmlformats.org/officeDocument/2006/relationships/hyperlink" Target="https://www.dsebd.org/displayCompany.php?name=ROBI" TargetMode="External"/><Relationship Id="rId234" Type="http://schemas.openxmlformats.org/officeDocument/2006/relationships/hyperlink" Target="https://www.dsebd.org/displayCompany.php?name=ROBI" TargetMode="External"/><Relationship Id="rId2" Type="http://schemas.openxmlformats.org/officeDocument/2006/relationships/hyperlink" Target="https://www.dsebd.org/displayCompany.php?name=ROBI" TargetMode="External"/><Relationship Id="rId29" Type="http://schemas.openxmlformats.org/officeDocument/2006/relationships/hyperlink" Target="https://www.dsebd.org/displayCompany.php?name=ROBI" TargetMode="External"/><Relationship Id="rId40" Type="http://schemas.openxmlformats.org/officeDocument/2006/relationships/hyperlink" Target="https://www.dsebd.org/displayCompany.php?name=ROBI" TargetMode="External"/><Relationship Id="rId115" Type="http://schemas.openxmlformats.org/officeDocument/2006/relationships/hyperlink" Target="https://www.dsebd.org/displayCompany.php?name=ROBI" TargetMode="External"/><Relationship Id="rId136" Type="http://schemas.openxmlformats.org/officeDocument/2006/relationships/hyperlink" Target="https://www.dsebd.org/displayCompany.php?name=ROBI" TargetMode="External"/><Relationship Id="rId157" Type="http://schemas.openxmlformats.org/officeDocument/2006/relationships/hyperlink" Target="https://www.dsebd.org/displayCompany.php?name=ROBI" TargetMode="External"/><Relationship Id="rId178" Type="http://schemas.openxmlformats.org/officeDocument/2006/relationships/hyperlink" Target="https://www.dsebd.org/displayCompany.php?name=ROBI" TargetMode="External"/><Relationship Id="rId61" Type="http://schemas.openxmlformats.org/officeDocument/2006/relationships/hyperlink" Target="https://www.dsebd.org/displayCompany.php?name=ROBI" TargetMode="External"/><Relationship Id="rId82" Type="http://schemas.openxmlformats.org/officeDocument/2006/relationships/hyperlink" Target="https://www.dsebd.org/displayCompany.php?name=ROBI" TargetMode="External"/><Relationship Id="rId199" Type="http://schemas.openxmlformats.org/officeDocument/2006/relationships/hyperlink" Target="https://www.dsebd.org/displayCompany.php?name=ROBI" TargetMode="External"/><Relationship Id="rId203" Type="http://schemas.openxmlformats.org/officeDocument/2006/relationships/hyperlink" Target="https://www.dsebd.org/displayCompany.php?name=ROBI" TargetMode="External"/><Relationship Id="rId19" Type="http://schemas.openxmlformats.org/officeDocument/2006/relationships/hyperlink" Target="https://www.dsebd.org/displayCompany.php?name=ROBI" TargetMode="External"/><Relationship Id="rId224" Type="http://schemas.openxmlformats.org/officeDocument/2006/relationships/hyperlink" Target="https://www.dsebd.org/displayCompany.php?name=ROBI" TargetMode="External"/><Relationship Id="rId30" Type="http://schemas.openxmlformats.org/officeDocument/2006/relationships/hyperlink" Target="https://www.dsebd.org/displayCompany.php?name=ROBI" TargetMode="External"/><Relationship Id="rId105" Type="http://schemas.openxmlformats.org/officeDocument/2006/relationships/hyperlink" Target="https://www.dsebd.org/displayCompany.php?name=ROBI" TargetMode="External"/><Relationship Id="rId126" Type="http://schemas.openxmlformats.org/officeDocument/2006/relationships/hyperlink" Target="https://www.dsebd.org/displayCompany.php?name=ROBI" TargetMode="External"/><Relationship Id="rId147" Type="http://schemas.openxmlformats.org/officeDocument/2006/relationships/hyperlink" Target="https://www.dsebd.org/displayCompany.php?name=ROBI" TargetMode="External"/><Relationship Id="rId168" Type="http://schemas.openxmlformats.org/officeDocument/2006/relationships/hyperlink" Target="https://www.dsebd.org/displayCompany.php?name=ROBI" TargetMode="External"/><Relationship Id="rId51" Type="http://schemas.openxmlformats.org/officeDocument/2006/relationships/hyperlink" Target="https://www.dsebd.org/displayCompany.php?name=ROBI" TargetMode="External"/><Relationship Id="rId72" Type="http://schemas.openxmlformats.org/officeDocument/2006/relationships/hyperlink" Target="https://www.dsebd.org/displayCompany.php?name=ROBI" TargetMode="External"/><Relationship Id="rId93" Type="http://schemas.openxmlformats.org/officeDocument/2006/relationships/hyperlink" Target="https://www.dsebd.org/displayCompany.php?name=ROBI" TargetMode="External"/><Relationship Id="rId189" Type="http://schemas.openxmlformats.org/officeDocument/2006/relationships/hyperlink" Target="https://www.dsebd.org/displayCompany.php?name=ROBI" TargetMode="External"/><Relationship Id="rId3" Type="http://schemas.openxmlformats.org/officeDocument/2006/relationships/hyperlink" Target="https://www.dsebd.org/displayCompany.php?name=ROBI" TargetMode="External"/><Relationship Id="rId214" Type="http://schemas.openxmlformats.org/officeDocument/2006/relationships/hyperlink" Target="https://www.dsebd.org/displayCompany.php?name=ROBI" TargetMode="External"/><Relationship Id="rId235" Type="http://schemas.openxmlformats.org/officeDocument/2006/relationships/hyperlink" Target="https://www.dsebd.org/displayCompany.php?name=ROBI" TargetMode="External"/><Relationship Id="rId116" Type="http://schemas.openxmlformats.org/officeDocument/2006/relationships/hyperlink" Target="https://www.dsebd.org/displayCompany.php?name=ROBI" TargetMode="External"/><Relationship Id="rId137" Type="http://schemas.openxmlformats.org/officeDocument/2006/relationships/hyperlink" Target="https://www.dsebd.org/displayCompany.php?name=ROBI" TargetMode="External"/><Relationship Id="rId158" Type="http://schemas.openxmlformats.org/officeDocument/2006/relationships/hyperlink" Target="https://www.dsebd.org/displayCompany.php?name=ROBI" TargetMode="External"/><Relationship Id="rId20" Type="http://schemas.openxmlformats.org/officeDocument/2006/relationships/hyperlink" Target="https://www.dsebd.org/displayCompany.php?name=ROBI" TargetMode="External"/><Relationship Id="rId41" Type="http://schemas.openxmlformats.org/officeDocument/2006/relationships/hyperlink" Target="https://www.dsebd.org/displayCompany.php?name=ROBI" TargetMode="External"/><Relationship Id="rId62" Type="http://schemas.openxmlformats.org/officeDocument/2006/relationships/hyperlink" Target="https://www.dsebd.org/displayCompany.php?name=ROBI" TargetMode="External"/><Relationship Id="rId83" Type="http://schemas.openxmlformats.org/officeDocument/2006/relationships/hyperlink" Target="https://www.dsebd.org/displayCompany.php?name=ROBI" TargetMode="External"/><Relationship Id="rId179" Type="http://schemas.openxmlformats.org/officeDocument/2006/relationships/hyperlink" Target="https://www.dsebd.org/displayCompany.php?name=RO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6EB1-3985-4241-A293-5C9DD587054A}">
  <dimension ref="A1:C32"/>
  <sheetViews>
    <sheetView workbookViewId="0">
      <selection activeCell="F16" sqref="F16"/>
    </sheetView>
  </sheetViews>
  <sheetFormatPr defaultColWidth="9" defaultRowHeight="14.25"/>
  <cols>
    <col min="1" max="1" width="21.125" style="11" customWidth="1"/>
    <col min="2" max="2" width="29.375" style="11" customWidth="1"/>
    <col min="3" max="3" width="39.375" style="11" customWidth="1"/>
    <col min="4" max="16384" width="9" style="11"/>
  </cols>
  <sheetData>
    <row r="1" spans="1:3" ht="18" customHeight="1">
      <c r="A1" s="10"/>
    </row>
    <row r="2" spans="1:3" ht="18" customHeight="1">
      <c r="A2" s="10"/>
    </row>
    <row r="3" spans="1:3" ht="18" customHeight="1">
      <c r="A3" s="10"/>
    </row>
    <row r="4" spans="1:3" ht="18" customHeight="1">
      <c r="A4" s="10"/>
    </row>
    <row r="5" spans="1:3" ht="18" customHeight="1">
      <c r="A5" s="10"/>
    </row>
    <row r="6" spans="1:3" ht="18" customHeight="1">
      <c r="A6" s="10"/>
    </row>
    <row r="7" spans="1:3" ht="18" customHeight="1">
      <c r="A7" s="10"/>
    </row>
    <row r="8" spans="1:3" ht="18" customHeight="1">
      <c r="A8" s="12"/>
    </row>
    <row r="9" spans="1:3" ht="18" customHeight="1">
      <c r="A9" s="25" t="s">
        <v>64</v>
      </c>
      <c r="B9" s="25"/>
      <c r="C9" s="25"/>
    </row>
    <row r="10" spans="1:3" ht="18" customHeight="1">
      <c r="A10" s="25" t="s">
        <v>65</v>
      </c>
      <c r="B10" s="25"/>
      <c r="C10" s="25"/>
    </row>
    <row r="11" spans="1:3" ht="18" customHeight="1">
      <c r="A11" s="26" t="s">
        <v>66</v>
      </c>
      <c r="B11" s="26"/>
      <c r="C11" s="26"/>
    </row>
    <row r="12" spans="1:3" ht="18" customHeight="1">
      <c r="A12" s="26"/>
      <c r="B12" s="26"/>
      <c r="C12" s="26"/>
    </row>
    <row r="13" spans="1:3" ht="18" customHeight="1">
      <c r="A13" s="23" t="s">
        <v>67</v>
      </c>
      <c r="B13" s="23"/>
      <c r="C13" s="23"/>
    </row>
    <row r="14" spans="1:3" ht="18" customHeight="1">
      <c r="A14" s="23" t="s">
        <v>68</v>
      </c>
      <c r="B14" s="23"/>
      <c r="C14" s="23"/>
    </row>
    <row r="15" spans="1:3" ht="18" customHeight="1">
      <c r="A15" s="23" t="s">
        <v>69</v>
      </c>
      <c r="B15" s="23"/>
      <c r="C15" s="23"/>
    </row>
    <row r="16" spans="1:3" ht="18" customHeight="1">
      <c r="A16" s="23" t="s">
        <v>70</v>
      </c>
      <c r="B16" s="23"/>
      <c r="C16" s="23"/>
    </row>
    <row r="17" spans="1:3" ht="18" customHeight="1">
      <c r="A17" s="23" t="s">
        <v>71</v>
      </c>
      <c r="B17" s="23"/>
      <c r="C17" s="23"/>
    </row>
    <row r="18" spans="1:3" ht="18" customHeight="1">
      <c r="A18" s="23" t="s">
        <v>72</v>
      </c>
      <c r="B18" s="23"/>
      <c r="C18" s="23"/>
    </row>
    <row r="19" spans="1:3" ht="18" customHeight="1">
      <c r="A19" s="13"/>
    </row>
    <row r="20" spans="1:3" ht="18" customHeight="1" thickBot="1">
      <c r="A20" s="24" t="s">
        <v>73</v>
      </c>
      <c r="B20" s="24"/>
      <c r="C20" s="24"/>
    </row>
    <row r="21" spans="1:3" ht="18" customHeight="1" thickBot="1">
      <c r="A21" s="14" t="s">
        <v>74</v>
      </c>
      <c r="B21" s="15" t="s">
        <v>75</v>
      </c>
      <c r="C21" s="15" t="s">
        <v>76</v>
      </c>
    </row>
    <row r="22" spans="1:3" ht="18" customHeight="1" thickBot="1">
      <c r="A22" s="16">
        <v>1</v>
      </c>
      <c r="B22" s="17" t="s">
        <v>77</v>
      </c>
      <c r="C22" s="17">
        <v>2131564030</v>
      </c>
    </row>
    <row r="23" spans="1:3" ht="18" customHeight="1" thickBot="1">
      <c r="A23" s="16">
        <v>2</v>
      </c>
      <c r="B23" s="17" t="s">
        <v>78</v>
      </c>
      <c r="C23" s="17">
        <v>2132445630</v>
      </c>
    </row>
    <row r="24" spans="1:3" ht="18" customHeight="1" thickBot="1">
      <c r="A24" s="16">
        <v>3</v>
      </c>
      <c r="B24" s="17" t="s">
        <v>79</v>
      </c>
      <c r="C24" s="17">
        <v>2212391630</v>
      </c>
    </row>
    <row r="25" spans="1:3" ht="18" customHeight="1" thickBot="1">
      <c r="A25" s="16">
        <v>4</v>
      </c>
      <c r="B25" s="17" t="s">
        <v>80</v>
      </c>
      <c r="C25" s="17">
        <v>2212821030</v>
      </c>
    </row>
    <row r="26" spans="1:3" ht="18" customHeight="1"/>
    <row r="27" spans="1:3" ht="18" customHeight="1"/>
    <row r="28" spans="1:3" ht="18" customHeight="1"/>
    <row r="29" spans="1:3" ht="18" customHeight="1"/>
    <row r="30" spans="1:3" ht="18" customHeight="1"/>
    <row r="31" spans="1:3" ht="18" customHeight="1"/>
    <row r="32" spans="1:3" ht="18" customHeight="1"/>
  </sheetData>
  <mergeCells count="10">
    <mergeCell ref="A16:C16"/>
    <mergeCell ref="A17:C17"/>
    <mergeCell ref="A18:C18"/>
    <mergeCell ref="A20:C20"/>
    <mergeCell ref="A9:C9"/>
    <mergeCell ref="A10:C10"/>
    <mergeCell ref="A11:C12"/>
    <mergeCell ref="A13:C13"/>
    <mergeCell ref="A14:C14"/>
    <mergeCell ref="A15:C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8B91-454E-4A59-99C4-5B9A38112695}">
  <dimension ref="A1:AY236"/>
  <sheetViews>
    <sheetView tabSelected="1" topLeftCell="AF1" workbookViewId="0">
      <selection activeCell="AT18" sqref="AT18"/>
    </sheetView>
  </sheetViews>
  <sheetFormatPr defaultColWidth="9" defaultRowHeight="15"/>
  <cols>
    <col min="1" max="4" width="9" style="18"/>
    <col min="5" max="5" width="11.375" style="18" bestFit="1" customWidth="1"/>
    <col min="6" max="6" width="12.375" style="18" bestFit="1" customWidth="1"/>
    <col min="7" max="9" width="11.125" style="18" bestFit="1" customWidth="1"/>
    <col min="10" max="10" width="11.75" style="18" customWidth="1"/>
    <col min="11" max="12" width="9" style="18"/>
    <col min="13" max="13" width="12.625" style="18" bestFit="1" customWidth="1"/>
    <col min="14" max="16" width="9" style="18"/>
    <col min="17" max="17" width="12" style="18" bestFit="1" customWidth="1"/>
    <col min="18" max="18" width="13.25" style="18" customWidth="1"/>
    <col min="19" max="19" width="12" style="18" bestFit="1" customWidth="1"/>
    <col min="20" max="20" width="11" style="18" bestFit="1" customWidth="1"/>
    <col min="21" max="21" width="12" style="18" bestFit="1" customWidth="1"/>
    <col min="22" max="27" width="9" style="18"/>
    <col min="28" max="28" width="10.75" style="18" bestFit="1" customWidth="1"/>
    <col min="29" max="33" width="9" style="18"/>
    <col min="34" max="34" width="16.25" style="18" customWidth="1"/>
    <col min="35" max="35" width="15.375" style="18" bestFit="1" customWidth="1"/>
    <col min="36" max="36" width="13.375" style="18" bestFit="1" customWidth="1"/>
    <col min="37" max="37" width="11.125" style="18" bestFit="1" customWidth="1"/>
    <col min="38" max="38" width="13.375" style="18" bestFit="1" customWidth="1"/>
    <col min="39" max="39" width="15.375" style="18" bestFit="1" customWidth="1"/>
    <col min="40" max="44" width="9" style="18"/>
    <col min="45" max="45" width="19.125" style="18" bestFit="1" customWidth="1"/>
    <col min="46" max="46" width="13.625" style="18" customWidth="1"/>
    <col min="47" max="16384" width="9" style="18"/>
  </cols>
  <sheetData>
    <row r="1" spans="1: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22</v>
      </c>
      <c r="G1" s="18" t="s">
        <v>23</v>
      </c>
      <c r="H1" s="18" t="s">
        <v>24</v>
      </c>
      <c r="I1" s="18" t="s">
        <v>25</v>
      </c>
      <c r="J1" s="18" t="s">
        <v>26</v>
      </c>
      <c r="K1" s="19" t="s">
        <v>22</v>
      </c>
      <c r="L1" s="18" t="s">
        <v>23</v>
      </c>
      <c r="M1" s="18" t="s">
        <v>24</v>
      </c>
      <c r="N1" s="18" t="s">
        <v>25</v>
      </c>
      <c r="O1" s="18" t="s">
        <v>26</v>
      </c>
      <c r="P1" s="19"/>
      <c r="Q1" s="18" t="s">
        <v>27</v>
      </c>
      <c r="R1" s="18" t="s">
        <v>28</v>
      </c>
      <c r="S1" s="18" t="s">
        <v>29</v>
      </c>
      <c r="T1" s="18" t="s">
        <v>30</v>
      </c>
      <c r="U1" s="18" t="s">
        <v>31</v>
      </c>
      <c r="V1" s="19"/>
      <c r="W1" s="18" t="s">
        <v>33</v>
      </c>
      <c r="X1" s="18" t="s">
        <v>34</v>
      </c>
      <c r="Y1" s="18" t="s">
        <v>35</v>
      </c>
      <c r="Z1" s="18" t="s">
        <v>36</v>
      </c>
      <c r="AA1" s="18" t="s">
        <v>37</v>
      </c>
      <c r="AB1" s="18" t="s">
        <v>38</v>
      </c>
      <c r="AC1" s="18" t="s">
        <v>39</v>
      </c>
      <c r="AD1" s="18" t="s">
        <v>40</v>
      </c>
      <c r="AE1" s="18" t="s">
        <v>41</v>
      </c>
      <c r="AF1" s="18" t="s">
        <v>42</v>
      </c>
      <c r="AG1" s="18" t="s">
        <v>43</v>
      </c>
      <c r="AH1" s="19" t="s">
        <v>44</v>
      </c>
      <c r="AI1" s="18" t="s">
        <v>45</v>
      </c>
      <c r="AJ1" s="18" t="s">
        <v>46</v>
      </c>
      <c r="AK1" s="18" t="s">
        <v>47</v>
      </c>
      <c r="AL1" s="18" t="s">
        <v>46</v>
      </c>
      <c r="AM1" s="18" t="s">
        <v>45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9"/>
    </row>
    <row r="2" spans="1:51">
      <c r="A2" s="20">
        <v>28.2</v>
      </c>
      <c r="B2" s="20">
        <v>24.6</v>
      </c>
      <c r="C2" s="20">
        <v>249.5</v>
      </c>
      <c r="D2" s="21">
        <v>45.7</v>
      </c>
      <c r="E2" s="20">
        <v>160.5</v>
      </c>
      <c r="K2" s="18">
        <f>9.75%/236</f>
        <v>4.1313559322033898E-4</v>
      </c>
      <c r="L2" s="18">
        <f t="shared" ref="L2:O2" si="0">9.75%/236</f>
        <v>4.1313559322033898E-4</v>
      </c>
      <c r="M2" s="18">
        <f t="shared" si="0"/>
        <v>4.1313559322033898E-4</v>
      </c>
      <c r="N2" s="18">
        <f t="shared" si="0"/>
        <v>4.1313559322033898E-4</v>
      </c>
      <c r="O2" s="18">
        <f t="shared" si="0"/>
        <v>4.1313559322033898E-4</v>
      </c>
      <c r="P2" s="18" t="s">
        <v>27</v>
      </c>
      <c r="Q2" s="18">
        <f>_xlfn.VAR.S(K3:K235)</f>
        <v>2.1997871696023393E-4</v>
      </c>
      <c r="R2" s="18">
        <f>_xlfn.COVARIANCE.S($K$3:$K$235,L3:L235)</f>
        <v>8.4141462495956239E-5</v>
      </c>
      <c r="S2" s="18">
        <f t="shared" ref="S2:U2" si="1">_xlfn.COVARIANCE.S($K$3:$K$235,M3:M235)</f>
        <v>7.0915698789421992E-5</v>
      </c>
      <c r="T2" s="18">
        <f t="shared" si="1"/>
        <v>1.7531523359120863E-4</v>
      </c>
      <c r="U2" s="18">
        <f t="shared" si="1"/>
        <v>8.9797902551716979E-5</v>
      </c>
      <c r="W2" s="18">
        <f ca="1">RANDBETWEEN(1,100)/100</f>
        <v>0.96</v>
      </c>
      <c r="X2" s="18">
        <f t="shared" ref="X2:AA17" ca="1" si="2">RANDBETWEEN(1,100)/100</f>
        <v>0.53</v>
      </c>
      <c r="Y2" s="18">
        <f t="shared" ca="1" si="2"/>
        <v>0.66</v>
      </c>
      <c r="Z2" s="18">
        <f t="shared" ca="1" si="2"/>
        <v>0.77</v>
      </c>
      <c r="AA2" s="18">
        <f t="shared" ca="1" si="2"/>
        <v>0.28000000000000003</v>
      </c>
      <c r="AB2" s="18">
        <f ca="1">SUM(W2:AA2)</f>
        <v>3.2</v>
      </c>
      <c r="AC2" s="18">
        <f ca="1">W2/$AB2</f>
        <v>0.3</v>
      </c>
      <c r="AD2" s="18">
        <f ca="1">X2/$AB2</f>
        <v>0.16562499999999999</v>
      </c>
      <c r="AE2" s="18">
        <f ca="1">Y2/$AB2</f>
        <v>0.20624999999999999</v>
      </c>
      <c r="AF2" s="18">
        <f ca="1">Z2/$AB2</f>
        <v>0.24062500000000001</v>
      </c>
      <c r="AG2" s="18">
        <f ca="1">AA2/$AB2</f>
        <v>8.7500000000000008E-2</v>
      </c>
      <c r="AH2" s="18">
        <f ca="1">SUM(AC2:AG2)</f>
        <v>1</v>
      </c>
      <c r="AI2" s="18" cm="1">
        <f t="array" aca="1" ref="AI2" ca="1">MMULT(MMULT(AC2:AG2,$Q$2:$U$6),TRANSPOSE(AC2:AG2))</f>
        <v>1.853563193943005E-4</v>
      </c>
      <c r="AJ2" s="18">
        <f ca="1">SUMPRODUCT(AC2:AG2,$F$235:$J$235)</f>
        <v>-1.3049881848625044E-3</v>
      </c>
      <c r="AK2" s="18">
        <f ca="1">(AJ2-$K$2)/SQRT(AI2)</f>
        <v>-0.1261974994878175</v>
      </c>
      <c r="AL2" s="18">
        <f ca="1">AJ2</f>
        <v>-1.3049881848625044E-3</v>
      </c>
      <c r="AM2" s="18">
        <f ca="1">AI2</f>
        <v>1.853563193943005E-4</v>
      </c>
      <c r="AN2" s="18">
        <f ca="1">AC2</f>
        <v>0.3</v>
      </c>
      <c r="AO2" s="18">
        <f ca="1">AD2</f>
        <v>0.16562499999999999</v>
      </c>
      <c r="AP2" s="18">
        <f ca="1">AE2</f>
        <v>0.20624999999999999</v>
      </c>
      <c r="AQ2" s="18">
        <f ca="1">AF2</f>
        <v>0.24062500000000001</v>
      </c>
      <c r="AR2" s="18">
        <f ca="1">AG2</f>
        <v>8.7500000000000008E-2</v>
      </c>
      <c r="AS2" s="18" t="s">
        <v>48</v>
      </c>
      <c r="AT2" s="18">
        <f ca="1">MAX(AK2:AK235)</f>
        <v>0.20014783782818721</v>
      </c>
      <c r="AU2" s="18">
        <v>4.5416778242643499E-5</v>
      </c>
      <c r="AV2" s="18">
        <v>-4.5995207903266601E-4</v>
      </c>
      <c r="AW2" s="18">
        <v>1.5890546049872115E-3</v>
      </c>
      <c r="AX2" s="18">
        <v>-1.3456755275429396E-3</v>
      </c>
      <c r="AY2" s="18">
        <v>-2.8044948957650735E-3</v>
      </c>
    </row>
    <row r="3" spans="1:51">
      <c r="A3" s="20">
        <v>28</v>
      </c>
      <c r="B3" s="20">
        <v>24.1</v>
      </c>
      <c r="C3" s="20">
        <v>249.6</v>
      </c>
      <c r="D3" s="21">
        <v>46.1</v>
      </c>
      <c r="E3" s="20">
        <v>150.69999999999999</v>
      </c>
      <c r="F3" s="18">
        <f>LN(A3/A2)</f>
        <v>-7.1174677688639896E-3</v>
      </c>
      <c r="G3" s="18">
        <f>LN(B3/B2)</f>
        <v>-2.0534602441707753E-2</v>
      </c>
      <c r="H3" s="18">
        <f>LN(C3/C2)</f>
        <v>4.0072130369926668E-4</v>
      </c>
      <c r="I3" s="18">
        <f>LN(D3/D2)</f>
        <v>8.7146521024436888E-3</v>
      </c>
      <c r="J3" s="18">
        <f>LN(E3/E2)</f>
        <v>-6.3002836937620807E-2</v>
      </c>
      <c r="K3" s="18">
        <f>F3-$K$2</f>
        <v>-7.5306033620843281E-3</v>
      </c>
      <c r="L3" s="18">
        <f>G3-$L$2</f>
        <v>-2.0947738034928092E-2</v>
      </c>
      <c r="M3" s="18">
        <f>H3-$M$2</f>
        <v>-1.2414289521072298E-5</v>
      </c>
      <c r="N3" s="18">
        <f>I3-$N$2</f>
        <v>8.3015165092233494E-3</v>
      </c>
      <c r="O3" s="18">
        <f>J3-$O$2</f>
        <v>-6.341597253084115E-2</v>
      </c>
      <c r="P3" s="18" t="s">
        <v>28</v>
      </c>
      <c r="Q3" s="18">
        <f>_xlfn.COVARIANCE.S(L3:L235,K3:K235)</f>
        <v>8.4141462495956239E-5</v>
      </c>
      <c r="R3" s="18">
        <f>_xlfn.VAR.S(L3:L235)</f>
        <v>3.1507489036138302E-4</v>
      </c>
      <c r="S3" s="18">
        <f>_xlfn.COVARIANCE.S(L3:L235,M3:M235)</f>
        <v>6.5840082249520705E-5</v>
      </c>
      <c r="T3" s="18">
        <f>_xlfn.COVARIANCE.S(L3:L235,N3:N235)</f>
        <v>1.1818744434852161E-4</v>
      </c>
      <c r="U3" s="18">
        <f>_xlfn.COVARIANCE.S(L3:L235,O3:O235)</f>
        <v>5.078493473811406E-5</v>
      </c>
      <c r="W3" s="18">
        <f ca="1">RANDBETWEEN(1,100)/100</f>
        <v>0.25</v>
      </c>
      <c r="X3" s="18">
        <f t="shared" ca="1" si="2"/>
        <v>0.42</v>
      </c>
      <c r="Y3" s="18">
        <f t="shared" ca="1" si="2"/>
        <v>0.87</v>
      </c>
      <c r="Z3" s="18">
        <f t="shared" ca="1" si="2"/>
        <v>0.66</v>
      </c>
      <c r="AA3" s="18">
        <f t="shared" ca="1" si="2"/>
        <v>0.76</v>
      </c>
      <c r="AB3" s="18">
        <f t="shared" ref="AB3:AB66" ca="1" si="3">SUM(W3:AA3)</f>
        <v>2.96</v>
      </c>
      <c r="AC3" s="18">
        <f t="shared" ref="AC3:AC66" ca="1" si="4">W3/$AB3</f>
        <v>8.4459459459459457E-2</v>
      </c>
      <c r="AD3" s="18">
        <f t="shared" ref="AD3:AD66" ca="1" si="5">X3/$AB3</f>
        <v>0.14189189189189189</v>
      </c>
      <c r="AE3" s="18">
        <f t="shared" ref="AE3:AE66" ca="1" si="6">Y3/$AB3</f>
        <v>0.29391891891891891</v>
      </c>
      <c r="AF3" s="18">
        <f t="shared" ref="AF3:AF66" ca="1" si="7">Z3/$AB3</f>
        <v>0.222972972972973</v>
      </c>
      <c r="AG3" s="18">
        <f t="shared" ref="AG3:AG66" ca="1" si="8">AA3/$AB3</f>
        <v>0.25675675675675674</v>
      </c>
      <c r="AH3" s="18">
        <f t="shared" ref="AH3:AH66" ca="1" si="9">SUM(AC3:AG3)</f>
        <v>1</v>
      </c>
      <c r="AI3" s="18" cm="1">
        <f t="array" aca="1" ref="AI3" ca="1">MMULT(MMULT(AC3:AG3,$Q$2:$U$6),TRANSPOSE(AC3:AG3))</f>
        <v>2.2017457132785998E-4</v>
      </c>
      <c r="AJ3" s="18">
        <f t="shared" ref="AJ3:AJ66" ca="1" si="10">SUMPRODUCT(AC3:AG3,$F$235:$J$235)</f>
        <v>-3.7717704577711038E-3</v>
      </c>
      <c r="AK3" s="18">
        <f t="shared" ref="AK3:AK66" ca="1" si="11">(AJ3-$K$2)/SQRT(AI3)</f>
        <v>-0.28203443257687</v>
      </c>
      <c r="AL3" s="18">
        <f t="shared" ref="AL3:AL66" ca="1" si="12">AJ3</f>
        <v>-3.7717704577711038E-3</v>
      </c>
      <c r="AM3" s="18">
        <f t="shared" ref="AM3:AM66" ca="1" si="13">AI3</f>
        <v>2.2017457132785998E-4</v>
      </c>
      <c r="AN3" s="18">
        <f t="shared" ref="AN3:AN66" ca="1" si="14">AC3</f>
        <v>8.4459459459459457E-2</v>
      </c>
      <c r="AO3" s="18">
        <f t="shared" ref="AO3:AO66" ca="1" si="15">AD3</f>
        <v>0.14189189189189189</v>
      </c>
      <c r="AP3" s="18">
        <f t="shared" ref="AP3:AP66" ca="1" si="16">AE3</f>
        <v>0.29391891891891891</v>
      </c>
      <c r="AQ3" s="18">
        <f t="shared" ref="AQ3:AQ66" ca="1" si="17">AF3</f>
        <v>0.222972972972973</v>
      </c>
      <c r="AR3" s="18">
        <f t="shared" ref="AR3:AR66" ca="1" si="18">AG3</f>
        <v>0.25675675675675674</v>
      </c>
      <c r="AS3" s="18" t="s">
        <v>49</v>
      </c>
      <c r="AT3" s="18">
        <f ca="1">VLOOKUP(AT2,AK2:AL235,2,FALSE)</f>
        <v>3.0465709438524937E-3</v>
      </c>
      <c r="AU3" s="18">
        <v>0.32258064516129037</v>
      </c>
      <c r="AV3" s="18">
        <v>3.2258064516129031E-2</v>
      </c>
      <c r="AW3" s="18">
        <v>6.8548387096774202E-2</v>
      </c>
      <c r="AX3" s="18">
        <v>0.33870967741935482</v>
      </c>
      <c r="AY3" s="18">
        <v>0.2379032258064516</v>
      </c>
    </row>
    <row r="4" spans="1:51">
      <c r="A4" s="20">
        <v>28.1</v>
      </c>
      <c r="B4" s="20">
        <v>24.1</v>
      </c>
      <c r="C4" s="20">
        <v>249.5</v>
      </c>
      <c r="D4" s="21">
        <v>43.9</v>
      </c>
      <c r="E4" s="20">
        <v>155</v>
      </c>
      <c r="F4" s="18">
        <f t="shared" ref="F4:F67" si="19">LN(A4/A3)</f>
        <v>3.5650661644961446E-3</v>
      </c>
      <c r="G4" s="18">
        <f t="shared" ref="G4:G67" si="20">LN(B4/B3)</f>
        <v>0</v>
      </c>
      <c r="H4" s="18">
        <f t="shared" ref="H4:H67" si="21">LN(C4/C3)</f>
        <v>-4.007213036991871E-4</v>
      </c>
      <c r="I4" s="18">
        <f t="shared" ref="I4:I67" si="22">LN(D4/D3)</f>
        <v>-4.8898629921477213E-2</v>
      </c>
      <c r="J4" s="18">
        <f t="shared" ref="J4:J67" si="23">LN(E4/E3)</f>
        <v>2.8134011286796979E-2</v>
      </c>
      <c r="K4" s="18">
        <f t="shared" ref="K4:K67" si="24">F4-$K$2</f>
        <v>3.1519305712758056E-3</v>
      </c>
      <c r="L4" s="18">
        <f t="shared" ref="L4:L67" si="25">G4-$L$2</f>
        <v>-4.1313559322033898E-4</v>
      </c>
      <c r="M4" s="18">
        <f t="shared" ref="M4:M67" si="26">H4-$M$2</f>
        <v>-8.1385689691952602E-4</v>
      </c>
      <c r="N4" s="18">
        <f t="shared" ref="N4:N67" si="27">I4-$N$2</f>
        <v>-4.9311765514697549E-2</v>
      </c>
      <c r="O4" s="18">
        <f t="shared" ref="O4:O67" si="28">J4-$O$2</f>
        <v>2.772087569357664E-2</v>
      </c>
      <c r="P4" s="18" t="s">
        <v>29</v>
      </c>
      <c r="Q4" s="18">
        <f>_xlfn.COVARIANCE.S(M3:M235,K3:K235)</f>
        <v>7.0915698789421992E-5</v>
      </c>
      <c r="R4" s="18">
        <f>_xlfn.COVARIANCE.S(M3:M235,L3:L235)</f>
        <v>6.5840082249520705E-5</v>
      </c>
      <c r="S4" s="18">
        <f>_xlfn.VAR.S(M3:M235)</f>
        <v>1.9696440846539057E-4</v>
      </c>
      <c r="T4" s="18">
        <f>_xlfn.COVARIANCE.S(M3:M235,N3:N235)</f>
        <v>1.150670691014241E-4</v>
      </c>
      <c r="U4" s="18">
        <f>_xlfn.COVARIANCE.S(M3:M235,O3:O235)</f>
        <v>1.858607797361134E-5</v>
      </c>
      <c r="W4" s="18">
        <f t="shared" ref="W4:AA67" ca="1" si="29">RANDBETWEEN(1,100)/100</f>
        <v>0.22</v>
      </c>
      <c r="X4" s="18">
        <f t="shared" ca="1" si="2"/>
        <v>0.82</v>
      </c>
      <c r="Y4" s="18">
        <f t="shared" ca="1" si="2"/>
        <v>0.22</v>
      </c>
      <c r="Z4" s="18">
        <f t="shared" ca="1" si="2"/>
        <v>0.22</v>
      </c>
      <c r="AA4" s="18">
        <f t="shared" ca="1" si="2"/>
        <v>0.45</v>
      </c>
      <c r="AB4" s="18">
        <f t="shared" ca="1" si="3"/>
        <v>1.93</v>
      </c>
      <c r="AC4" s="18">
        <f t="shared" ca="1" si="4"/>
        <v>0.11398963730569948</v>
      </c>
      <c r="AD4" s="18">
        <f t="shared" ca="1" si="5"/>
        <v>0.42487046632124353</v>
      </c>
      <c r="AE4" s="18">
        <f t="shared" ca="1" si="6"/>
        <v>0.11398963730569948</v>
      </c>
      <c r="AF4" s="18">
        <f t="shared" ca="1" si="7"/>
        <v>0.11398963730569948</v>
      </c>
      <c r="AG4" s="18">
        <f t="shared" ca="1" si="8"/>
        <v>0.23316062176165805</v>
      </c>
      <c r="AH4" s="18">
        <f t="shared" ca="1" si="9"/>
        <v>1</v>
      </c>
      <c r="AI4" s="18" cm="1">
        <f t="array" aca="1" ref="AI4" ca="1">MMULT(MMULT(AC4:AG4,$Q$2:$U$6),TRANSPOSE(AC4:AG4))</f>
        <v>2.0048730266717003E-4</v>
      </c>
      <c r="AJ4" s="18">
        <f t="shared" ca="1" si="10"/>
        <v>-5.30881737378479E-3</v>
      </c>
      <c r="AK4" s="18">
        <f t="shared" ca="1" si="11"/>
        <v>-0.4041111628571229</v>
      </c>
      <c r="AL4" s="18">
        <f t="shared" ca="1" si="12"/>
        <v>-5.30881737378479E-3</v>
      </c>
      <c r="AM4" s="18">
        <f t="shared" ca="1" si="13"/>
        <v>2.0048730266717003E-4</v>
      </c>
      <c r="AN4" s="18">
        <f t="shared" ca="1" si="14"/>
        <v>0.11398963730569948</v>
      </c>
      <c r="AO4" s="18">
        <f t="shared" ca="1" si="15"/>
        <v>0.42487046632124353</v>
      </c>
      <c r="AP4" s="18">
        <f t="shared" ca="1" si="16"/>
        <v>0.11398963730569948</v>
      </c>
      <c r="AQ4" s="18">
        <f t="shared" ca="1" si="17"/>
        <v>0.11398963730569948</v>
      </c>
      <c r="AR4" s="18">
        <f t="shared" ca="1" si="18"/>
        <v>0.23316062176165805</v>
      </c>
      <c r="AS4" s="18" t="s">
        <v>50</v>
      </c>
      <c r="AT4" s="18">
        <f ca="1">VLOOKUP(AT2,AK2:AM235,3,FALSE)</f>
        <v>1.7311851440503337E-4</v>
      </c>
    </row>
    <row r="5" spans="1:51">
      <c r="A5" s="20">
        <v>27.8</v>
      </c>
      <c r="B5" s="20">
        <v>24.1</v>
      </c>
      <c r="C5" s="20">
        <v>244.8</v>
      </c>
      <c r="D5" s="21">
        <v>43.6</v>
      </c>
      <c r="E5" s="20">
        <v>149.30000000000001</v>
      </c>
      <c r="F5" s="18">
        <f t="shared" si="19"/>
        <v>-1.0733555643108777E-2</v>
      </c>
      <c r="G5" s="18">
        <f t="shared" si="20"/>
        <v>0</v>
      </c>
      <c r="H5" s="18">
        <f t="shared" si="21"/>
        <v>-1.9017364553402291E-2</v>
      </c>
      <c r="I5" s="18">
        <f t="shared" si="22"/>
        <v>-6.8571697261369125E-3</v>
      </c>
      <c r="J5" s="18">
        <f t="shared" si="23"/>
        <v>-3.7467412374101887E-2</v>
      </c>
      <c r="K5" s="18">
        <f t="shared" si="24"/>
        <v>-1.1146691236329116E-2</v>
      </c>
      <c r="L5" s="18">
        <f t="shared" si="25"/>
        <v>-4.1313559322033898E-4</v>
      </c>
      <c r="M5" s="18">
        <f t="shared" si="26"/>
        <v>-1.9430500146622631E-2</v>
      </c>
      <c r="N5" s="18">
        <f t="shared" si="27"/>
        <v>-7.2703053193572519E-3</v>
      </c>
      <c r="O5" s="18">
        <f t="shared" si="28"/>
        <v>-3.7880547967322223E-2</v>
      </c>
      <c r="P5" s="18" t="s">
        <v>30</v>
      </c>
      <c r="Q5" s="18">
        <f>_xlfn.COVARIANCE.S(N3:N235,K3:K235)</f>
        <v>1.7531523359120863E-4</v>
      </c>
      <c r="R5" s="18">
        <f>_xlfn.COVARIANCE.S(N3:N235,L3:L235)</f>
        <v>1.1818744434852161E-4</v>
      </c>
      <c r="S5" s="18">
        <f>_xlfn.COVARIANCE.S(N3:N235,M3:M235)</f>
        <v>1.150670691014241E-4</v>
      </c>
      <c r="T5" s="18">
        <f>_xlfn.VAR.S(N3:N235)</f>
        <v>1.0607687099165397E-3</v>
      </c>
      <c r="U5" s="18">
        <f>_xlfn.COVARIANCE.S(N3:N235,O3:O235)</f>
        <v>6.2377950646853435E-5</v>
      </c>
      <c r="W5" s="18">
        <f t="shared" ca="1" si="29"/>
        <v>0.34</v>
      </c>
      <c r="X5" s="18">
        <f t="shared" ca="1" si="2"/>
        <v>0.28999999999999998</v>
      </c>
      <c r="Y5" s="18">
        <f t="shared" ca="1" si="2"/>
        <v>0.22</v>
      </c>
      <c r="Z5" s="18">
        <f t="shared" ca="1" si="2"/>
        <v>0.37</v>
      </c>
      <c r="AA5" s="18">
        <f t="shared" ca="1" si="2"/>
        <v>0.26</v>
      </c>
      <c r="AB5" s="18">
        <f t="shared" ca="1" si="3"/>
        <v>1.48</v>
      </c>
      <c r="AC5" s="18">
        <f t="shared" ca="1" si="4"/>
        <v>0.22972972972972974</v>
      </c>
      <c r="AD5" s="18">
        <f t="shared" ca="1" si="5"/>
        <v>0.19594594594594594</v>
      </c>
      <c r="AE5" s="18">
        <f t="shared" ca="1" si="6"/>
        <v>0.14864864864864866</v>
      </c>
      <c r="AF5" s="18">
        <f t="shared" ca="1" si="7"/>
        <v>0.25</v>
      </c>
      <c r="AG5" s="18">
        <f t="shared" ca="1" si="8"/>
        <v>0.17567567567567569</v>
      </c>
      <c r="AH5" s="18">
        <f t="shared" ca="1" si="9"/>
        <v>1</v>
      </c>
      <c r="AI5" s="18" cm="1">
        <f t="array" aca="1" ref="AI5" ca="1">MMULT(MMULT(AC5:AG5,$Q$2:$U$6),TRANSPOSE(AC5:AG5))</f>
        <v>2.0776033753714778E-4</v>
      </c>
      <c r="AJ5" s="18">
        <f t="shared" ca="1" si="10"/>
        <v>-9.1689932946613958E-4</v>
      </c>
      <c r="AK5" s="18">
        <f t="shared" ca="1" si="11"/>
        <v>-9.2274504817945968E-2</v>
      </c>
      <c r="AL5" s="18">
        <f t="shared" ca="1" si="12"/>
        <v>-9.1689932946613958E-4</v>
      </c>
      <c r="AM5" s="18">
        <f t="shared" ca="1" si="13"/>
        <v>2.0776033753714778E-4</v>
      </c>
      <c r="AN5" s="18">
        <f t="shared" ca="1" si="14"/>
        <v>0.22972972972972974</v>
      </c>
      <c r="AO5" s="18">
        <f t="shared" ca="1" si="15"/>
        <v>0.19594594594594594</v>
      </c>
      <c r="AP5" s="18">
        <f t="shared" ca="1" si="16"/>
        <v>0.14864864864864866</v>
      </c>
      <c r="AQ5" s="18">
        <f t="shared" ca="1" si="17"/>
        <v>0.25</v>
      </c>
      <c r="AR5" s="18">
        <f t="shared" ca="1" si="18"/>
        <v>0.17567567567567569</v>
      </c>
      <c r="AS5" s="18" t="s">
        <v>51</v>
      </c>
      <c r="AT5" s="18">
        <f ca="1">VLOOKUP(AT2,AK2:AN235,4,FALSE)</f>
        <v>0.63076923076923064</v>
      </c>
    </row>
    <row r="6" spans="1:51">
      <c r="A6" s="20">
        <v>28</v>
      </c>
      <c r="B6" s="20">
        <v>24</v>
      </c>
      <c r="C6" s="20">
        <v>247</v>
      </c>
      <c r="D6" s="21">
        <v>43.2</v>
      </c>
      <c r="E6" s="20">
        <v>138.30000000000001</v>
      </c>
      <c r="F6" s="18">
        <f t="shared" si="19"/>
        <v>7.168489478612497E-3</v>
      </c>
      <c r="G6" s="18">
        <f t="shared" si="20"/>
        <v>-4.1580101486637881E-3</v>
      </c>
      <c r="H6" s="18">
        <f t="shared" si="21"/>
        <v>8.9467859898061473E-3</v>
      </c>
      <c r="I6" s="18">
        <f t="shared" si="22"/>
        <v>-9.2166551049239522E-3</v>
      </c>
      <c r="J6" s="18">
        <f t="shared" si="23"/>
        <v>-7.6532465874432146E-2</v>
      </c>
      <c r="K6" s="18">
        <f t="shared" si="24"/>
        <v>6.7553538853921576E-3</v>
      </c>
      <c r="L6" s="18">
        <f t="shared" si="25"/>
        <v>-4.5711457418841275E-3</v>
      </c>
      <c r="M6" s="18">
        <f t="shared" si="26"/>
        <v>8.5336503965858079E-3</v>
      </c>
      <c r="N6" s="18">
        <f t="shared" si="27"/>
        <v>-9.6297906981442916E-3</v>
      </c>
      <c r="O6" s="18">
        <f t="shared" si="28"/>
        <v>-7.6945601467652489E-2</v>
      </c>
      <c r="P6" s="18" t="s">
        <v>31</v>
      </c>
      <c r="Q6" s="18">
        <f>_xlfn.COVARIANCE.S(O3:O235,K3:K235)</f>
        <v>8.9797902551716979E-5</v>
      </c>
      <c r="R6" s="18">
        <f>_xlfn.COVARIANCE.S(O3:O235,L3:L235)</f>
        <v>5.078493473811406E-5</v>
      </c>
      <c r="S6" s="18">
        <f>_xlfn.COVARIANCE.S(O3:O235,M3:M235)</f>
        <v>1.858607797361134E-5</v>
      </c>
      <c r="T6" s="18">
        <f>_xlfn.COVARIANCE.S(O3:O235,N3:N235)</f>
        <v>6.2377950646853435E-5</v>
      </c>
      <c r="U6" s="18">
        <f>_xlfn.VAR.S(O3:O235)</f>
        <v>1.2859179386567369E-3</v>
      </c>
      <c r="W6" s="18">
        <f t="shared" ca="1" si="29"/>
        <v>0.74</v>
      </c>
      <c r="X6" s="18">
        <f t="shared" ca="1" si="2"/>
        <v>0.75</v>
      </c>
      <c r="Y6" s="18">
        <f t="shared" ca="1" si="2"/>
        <v>0.73</v>
      </c>
      <c r="Z6" s="18">
        <f t="shared" ca="1" si="2"/>
        <v>0.18</v>
      </c>
      <c r="AA6" s="18">
        <f t="shared" ca="1" si="2"/>
        <v>0.43</v>
      </c>
      <c r="AB6" s="18">
        <f t="shared" ca="1" si="3"/>
        <v>2.83</v>
      </c>
      <c r="AC6" s="18">
        <f t="shared" ca="1" si="4"/>
        <v>0.2614840989399293</v>
      </c>
      <c r="AD6" s="18">
        <f t="shared" ca="1" si="5"/>
        <v>0.26501766784452296</v>
      </c>
      <c r="AE6" s="18">
        <f t="shared" ca="1" si="6"/>
        <v>0.25795053003533569</v>
      </c>
      <c r="AF6" s="18">
        <f t="shared" ca="1" si="7"/>
        <v>6.3604240282685506E-2</v>
      </c>
      <c r="AG6" s="18">
        <f t="shared" ca="1" si="8"/>
        <v>0.1519434628975265</v>
      </c>
      <c r="AH6" s="18">
        <f t="shared" ca="1" si="9"/>
        <v>1</v>
      </c>
      <c r="AI6" s="18" cm="1">
        <f t="array" aca="1" ref="AI6" ca="1">MMULT(MMULT(AC6:AG6,$Q$2:$U$6),TRANSPOSE(AC6:AG6))</f>
        <v>1.4196443962794875E-4</v>
      </c>
      <c r="AJ6" s="18">
        <f t="shared" ca="1" si="10"/>
        <v>-5.2527583348034269E-3</v>
      </c>
      <c r="AK6" s="18">
        <f t="shared" ca="1" si="11"/>
        <v>-0.4755308024141125</v>
      </c>
      <c r="AL6" s="18">
        <f t="shared" ca="1" si="12"/>
        <v>-5.2527583348034269E-3</v>
      </c>
      <c r="AM6" s="18">
        <f t="shared" ca="1" si="13"/>
        <v>1.4196443962794875E-4</v>
      </c>
      <c r="AN6" s="18">
        <f t="shared" ca="1" si="14"/>
        <v>0.2614840989399293</v>
      </c>
      <c r="AO6" s="18">
        <f t="shared" ca="1" si="15"/>
        <v>0.26501766784452296</v>
      </c>
      <c r="AP6" s="18">
        <f t="shared" ca="1" si="16"/>
        <v>0.25795053003533569</v>
      </c>
      <c r="AQ6" s="18">
        <f t="shared" ca="1" si="17"/>
        <v>6.3604240282685506E-2</v>
      </c>
      <c r="AR6" s="18">
        <f t="shared" ca="1" si="18"/>
        <v>0.1519434628975265</v>
      </c>
      <c r="AS6" s="18" t="s">
        <v>52</v>
      </c>
      <c r="AT6" s="18">
        <f ca="1">VLOOKUP(AT2,AK2:AO235,5,FALSE)</f>
        <v>0.11538461538461536</v>
      </c>
    </row>
    <row r="7" spans="1:51">
      <c r="A7" s="20">
        <v>28</v>
      </c>
      <c r="B7" s="20">
        <v>24</v>
      </c>
      <c r="C7" s="20">
        <v>248.2</v>
      </c>
      <c r="D7" s="21">
        <v>44.2</v>
      </c>
      <c r="E7" s="20">
        <v>139.19999999999999</v>
      </c>
      <c r="F7" s="18">
        <f t="shared" si="19"/>
        <v>0</v>
      </c>
      <c r="G7" s="18">
        <f t="shared" si="20"/>
        <v>0</v>
      </c>
      <c r="H7" s="18">
        <f t="shared" si="21"/>
        <v>4.8465361425295518E-3</v>
      </c>
      <c r="I7" s="18">
        <f t="shared" si="22"/>
        <v>2.2884293833587806E-2</v>
      </c>
      <c r="J7" s="18">
        <f t="shared" si="23"/>
        <v>6.486509229606632E-3</v>
      </c>
      <c r="K7" s="18">
        <f t="shared" si="24"/>
        <v>-4.1313559322033898E-4</v>
      </c>
      <c r="L7" s="18">
        <f t="shared" si="25"/>
        <v>-4.1313559322033898E-4</v>
      </c>
      <c r="M7" s="18">
        <f t="shared" si="26"/>
        <v>4.4334005493092132E-3</v>
      </c>
      <c r="N7" s="18">
        <f t="shared" si="27"/>
        <v>2.2471158240367467E-2</v>
      </c>
      <c r="O7" s="18">
        <f t="shared" si="28"/>
        <v>6.0733736363862926E-3</v>
      </c>
      <c r="Q7" s="18" t="s">
        <v>32</v>
      </c>
      <c r="R7" s="22">
        <v>9.7500000000000003E-2</v>
      </c>
      <c r="W7" s="18">
        <f t="shared" ca="1" si="29"/>
        <v>0.86</v>
      </c>
      <c r="X7" s="18">
        <f t="shared" ca="1" si="2"/>
        <v>0.84</v>
      </c>
      <c r="Y7" s="18">
        <f t="shared" ca="1" si="2"/>
        <v>0.47</v>
      </c>
      <c r="Z7" s="18">
        <f t="shared" ca="1" si="2"/>
        <v>0.35</v>
      </c>
      <c r="AA7" s="18">
        <f t="shared" ca="1" si="2"/>
        <v>0.41</v>
      </c>
      <c r="AB7" s="18">
        <f t="shared" ca="1" si="3"/>
        <v>2.93</v>
      </c>
      <c r="AC7" s="18">
        <f t="shared" ca="1" si="4"/>
        <v>0.29351535836177473</v>
      </c>
      <c r="AD7" s="18">
        <f t="shared" ca="1" si="5"/>
        <v>0.28668941979522183</v>
      </c>
      <c r="AE7" s="18">
        <f t="shared" ca="1" si="6"/>
        <v>0.16040955631399315</v>
      </c>
      <c r="AF7" s="18">
        <f t="shared" ca="1" si="7"/>
        <v>0.11945392491467575</v>
      </c>
      <c r="AG7" s="18">
        <f t="shared" ca="1" si="8"/>
        <v>0.13993174061433444</v>
      </c>
      <c r="AH7" s="18">
        <f t="shared" ca="1" si="9"/>
        <v>0.99999999999999989</v>
      </c>
      <c r="AI7" s="18" cm="1">
        <f t="array" aca="1" ref="AI7" ca="1">MMULT(MMULT(AC7:AG7,$Q$2:$U$6),TRANSPOSE(AC7:AG7))</f>
        <v>1.5629482238494033E-4</v>
      </c>
      <c r="AJ7" s="18">
        <f t="shared" ca="1" si="10"/>
        <v>-3.1581210782519195E-3</v>
      </c>
      <c r="AK7" s="18">
        <f t="shared" ca="1" si="11"/>
        <v>-0.28565956403833209</v>
      </c>
      <c r="AL7" s="18">
        <f t="shared" ca="1" si="12"/>
        <v>-3.1581210782519195E-3</v>
      </c>
      <c r="AM7" s="18">
        <f t="shared" ca="1" si="13"/>
        <v>1.5629482238494033E-4</v>
      </c>
      <c r="AN7" s="18">
        <f t="shared" ca="1" si="14"/>
        <v>0.29351535836177473</v>
      </c>
      <c r="AO7" s="18">
        <f t="shared" ca="1" si="15"/>
        <v>0.28668941979522183</v>
      </c>
      <c r="AP7" s="18">
        <f t="shared" ca="1" si="16"/>
        <v>0.16040955631399315</v>
      </c>
      <c r="AQ7" s="18">
        <f t="shared" ca="1" si="17"/>
        <v>0.11945392491467575</v>
      </c>
      <c r="AR7" s="18">
        <f t="shared" ca="1" si="18"/>
        <v>0.13993174061433444</v>
      </c>
      <c r="AS7" s="18" t="s">
        <v>53</v>
      </c>
      <c r="AT7" s="18">
        <f ca="1">VLOOKUP(AT2,AK2:AP235,6,FALSE)</f>
        <v>5.3846153846153842E-2</v>
      </c>
    </row>
    <row r="8" spans="1:51">
      <c r="A8" s="20">
        <v>28.1</v>
      </c>
      <c r="B8" s="20">
        <v>24.1</v>
      </c>
      <c r="C8" s="20">
        <v>250.3</v>
      </c>
      <c r="D8" s="21">
        <v>46.1</v>
      </c>
      <c r="E8" s="20">
        <v>144.80000000000001</v>
      </c>
      <c r="F8" s="18">
        <f t="shared" si="19"/>
        <v>3.5650661644961446E-3</v>
      </c>
      <c r="G8" s="18">
        <f t="shared" si="20"/>
        <v>4.158010148663677E-3</v>
      </c>
      <c r="H8" s="18">
        <f t="shared" si="21"/>
        <v>8.4253256672217284E-3</v>
      </c>
      <c r="I8" s="18">
        <f t="shared" si="22"/>
        <v>4.2088160918950457E-2</v>
      </c>
      <c r="J8" s="18">
        <f t="shared" si="23"/>
        <v>3.9441732051296835E-2</v>
      </c>
      <c r="K8" s="18">
        <f t="shared" si="24"/>
        <v>3.1519305712758056E-3</v>
      </c>
      <c r="L8" s="18">
        <f t="shared" si="25"/>
        <v>3.7448745554433381E-3</v>
      </c>
      <c r="M8" s="18">
        <f t="shared" si="26"/>
        <v>8.012190074001389E-3</v>
      </c>
      <c r="N8" s="18">
        <f t="shared" si="27"/>
        <v>4.1675025325730121E-2</v>
      </c>
      <c r="O8" s="18">
        <f t="shared" si="28"/>
        <v>3.9028596458076499E-2</v>
      </c>
      <c r="W8" s="18">
        <f t="shared" ca="1" si="29"/>
        <v>0.11</v>
      </c>
      <c r="X8" s="18">
        <f t="shared" ca="1" si="2"/>
        <v>0.72</v>
      </c>
      <c r="Y8" s="18">
        <f t="shared" ca="1" si="2"/>
        <v>0.5</v>
      </c>
      <c r="Z8" s="18">
        <f t="shared" ca="1" si="2"/>
        <v>0.34</v>
      </c>
      <c r="AA8" s="18">
        <f t="shared" ca="1" si="2"/>
        <v>0.9</v>
      </c>
      <c r="AB8" s="18">
        <f t="shared" ca="1" si="3"/>
        <v>2.5700000000000003</v>
      </c>
      <c r="AC8" s="18">
        <f t="shared" ca="1" si="4"/>
        <v>4.2801556420233457E-2</v>
      </c>
      <c r="AD8" s="18">
        <f t="shared" ca="1" si="5"/>
        <v>0.28015564202334625</v>
      </c>
      <c r="AE8" s="18">
        <f t="shared" ca="1" si="6"/>
        <v>0.19455252918287935</v>
      </c>
      <c r="AF8" s="18">
        <f t="shared" ca="1" si="7"/>
        <v>0.13229571984435798</v>
      </c>
      <c r="AG8" s="18">
        <f t="shared" ca="1" si="8"/>
        <v>0.35019455252918286</v>
      </c>
      <c r="AH8" s="18">
        <f t="shared" ca="1" si="9"/>
        <v>0.99999999999999989</v>
      </c>
      <c r="AI8" s="18" cm="1">
        <f t="array" aca="1" ref="AI8" ca="1">MMULT(MMULT(AC8:AG8,$Q$2:$U$6),TRANSPOSE(AC8:AG8))</f>
        <v>2.5686848347396171E-4</v>
      </c>
      <c r="AJ8" s="18">
        <f t="shared" ca="1" si="10"/>
        <v>-4.8057482173274766E-3</v>
      </c>
      <c r="AK8" s="18">
        <f t="shared" ca="1" si="11"/>
        <v>-0.3256283565202549</v>
      </c>
      <c r="AL8" s="18">
        <f t="shared" ca="1" si="12"/>
        <v>-4.8057482173274766E-3</v>
      </c>
      <c r="AM8" s="18">
        <f t="shared" ca="1" si="13"/>
        <v>2.5686848347396171E-4</v>
      </c>
      <c r="AN8" s="18">
        <f t="shared" ca="1" si="14"/>
        <v>4.2801556420233457E-2</v>
      </c>
      <c r="AO8" s="18">
        <f t="shared" ca="1" si="15"/>
        <v>0.28015564202334625</v>
      </c>
      <c r="AP8" s="18">
        <f t="shared" ca="1" si="16"/>
        <v>0.19455252918287935</v>
      </c>
      <c r="AQ8" s="18">
        <f t="shared" ca="1" si="17"/>
        <v>0.13229571984435798</v>
      </c>
      <c r="AR8" s="18">
        <f t="shared" ca="1" si="18"/>
        <v>0.35019455252918286</v>
      </c>
      <c r="AS8" s="18" t="s">
        <v>54</v>
      </c>
      <c r="AT8" s="18">
        <f ca="1">VLOOKUP(AT2,AK2:AQ235,7,FALSE)</f>
        <v>9.2307692307692285E-2</v>
      </c>
    </row>
    <row r="9" spans="1:51">
      <c r="A9" s="20">
        <v>28.3</v>
      </c>
      <c r="B9" s="20">
        <v>24.2</v>
      </c>
      <c r="C9" s="20">
        <v>250.8</v>
      </c>
      <c r="D9" s="21">
        <v>47.1</v>
      </c>
      <c r="E9" s="20">
        <v>144.19999999999999</v>
      </c>
      <c r="F9" s="18">
        <f t="shared" si="19"/>
        <v>7.0922283094918366E-3</v>
      </c>
      <c r="G9" s="18">
        <f t="shared" si="20"/>
        <v>4.1407926660313871E-3</v>
      </c>
      <c r="H9" s="18">
        <f t="shared" si="21"/>
        <v>1.9956103210370013E-3</v>
      </c>
      <c r="I9" s="18">
        <f t="shared" si="22"/>
        <v>2.1460051019769288E-2</v>
      </c>
      <c r="J9" s="18">
        <f t="shared" si="23"/>
        <v>-4.1522551007674184E-3</v>
      </c>
      <c r="K9" s="18">
        <f t="shared" si="24"/>
        <v>6.679092716271498E-3</v>
      </c>
      <c r="L9" s="18">
        <f t="shared" si="25"/>
        <v>3.7276570728110481E-3</v>
      </c>
      <c r="M9" s="18">
        <f t="shared" si="26"/>
        <v>1.5824747278166624E-3</v>
      </c>
      <c r="N9" s="18">
        <f t="shared" si="27"/>
        <v>2.1046915426548948E-2</v>
      </c>
      <c r="O9" s="18">
        <f t="shared" si="28"/>
        <v>-4.5653906939877569E-3</v>
      </c>
      <c r="W9" s="18">
        <f t="shared" ca="1" si="29"/>
        <v>0.19</v>
      </c>
      <c r="X9" s="18">
        <f t="shared" ca="1" si="2"/>
        <v>0.15</v>
      </c>
      <c r="Y9" s="18">
        <f t="shared" ca="1" si="2"/>
        <v>0.24</v>
      </c>
      <c r="Z9" s="18">
        <f t="shared" ca="1" si="2"/>
        <v>0.08</v>
      </c>
      <c r="AA9" s="18">
        <f t="shared" ca="1" si="2"/>
        <v>0.46</v>
      </c>
      <c r="AB9" s="18">
        <f t="shared" ca="1" si="3"/>
        <v>1.1199999999999999</v>
      </c>
      <c r="AC9" s="18">
        <f t="shared" ca="1" si="4"/>
        <v>0.16964285714285715</v>
      </c>
      <c r="AD9" s="18">
        <f t="shared" ca="1" si="5"/>
        <v>0.13392857142857142</v>
      </c>
      <c r="AE9" s="18">
        <f t="shared" ca="1" si="6"/>
        <v>0.2142857142857143</v>
      </c>
      <c r="AF9" s="18">
        <f t="shared" ca="1" si="7"/>
        <v>7.1428571428571438E-2</v>
      </c>
      <c r="AG9" s="18">
        <f t="shared" ca="1" si="8"/>
        <v>0.41071428571428575</v>
      </c>
      <c r="AH9" s="18">
        <f t="shared" ca="1" si="9"/>
        <v>1</v>
      </c>
      <c r="AI9" s="18" cm="1">
        <f t="array" aca="1" ref="AI9" ca="1">MMULT(MMULT(AC9:AG9,$Q$2:$U$6),TRANSPOSE(AC9:AG9))</f>
        <v>2.9117766101975238E-4</v>
      </c>
      <c r="AJ9" s="18">
        <f t="shared" ca="1" si="10"/>
        <v>-2.6860374712970292E-3</v>
      </c>
      <c r="AK9" s="18">
        <f t="shared" ca="1" si="11"/>
        <v>-0.1816213093615337</v>
      </c>
      <c r="AL9" s="18">
        <f t="shared" ca="1" si="12"/>
        <v>-2.6860374712970292E-3</v>
      </c>
      <c r="AM9" s="18">
        <f t="shared" ca="1" si="13"/>
        <v>2.9117766101975238E-4</v>
      </c>
      <c r="AN9" s="18">
        <f t="shared" ca="1" si="14"/>
        <v>0.16964285714285715</v>
      </c>
      <c r="AO9" s="18">
        <f t="shared" ca="1" si="15"/>
        <v>0.13392857142857142</v>
      </c>
      <c r="AP9" s="18">
        <f t="shared" ca="1" si="16"/>
        <v>0.2142857142857143</v>
      </c>
      <c r="AQ9" s="18">
        <f t="shared" ca="1" si="17"/>
        <v>7.1428571428571438E-2</v>
      </c>
      <c r="AR9" s="18">
        <f t="shared" ca="1" si="18"/>
        <v>0.41071428571428575</v>
      </c>
      <c r="AS9" s="18" t="s">
        <v>55</v>
      </c>
      <c r="AT9" s="18">
        <f ca="1">VLOOKUP(AT2,AK2:AR235,8,FALSE)</f>
        <v>0.10769230769230768</v>
      </c>
    </row>
    <row r="10" spans="1:51">
      <c r="A10" s="20">
        <v>28.5</v>
      </c>
      <c r="B10" s="20">
        <v>24.3</v>
      </c>
      <c r="C10" s="20">
        <v>251.2</v>
      </c>
      <c r="D10" s="21">
        <v>47.9</v>
      </c>
      <c r="E10" s="20">
        <v>138.30000000000001</v>
      </c>
      <c r="F10" s="18">
        <f t="shared" si="19"/>
        <v>7.042282625412951E-3</v>
      </c>
      <c r="G10" s="18">
        <f t="shared" si="20"/>
        <v>4.1237171838621562E-3</v>
      </c>
      <c r="H10" s="18">
        <f t="shared" si="21"/>
        <v>1.5936258352778044E-3</v>
      </c>
      <c r="I10" s="18">
        <f t="shared" si="22"/>
        <v>1.6842503394497482E-2</v>
      </c>
      <c r="J10" s="18">
        <f t="shared" si="23"/>
        <v>-4.1775986180136039E-2</v>
      </c>
      <c r="K10" s="18">
        <f t="shared" si="24"/>
        <v>6.6291470321926116E-3</v>
      </c>
      <c r="L10" s="18">
        <f t="shared" si="25"/>
        <v>3.7105815906418173E-3</v>
      </c>
      <c r="M10" s="18">
        <f t="shared" si="26"/>
        <v>1.1804902420574654E-3</v>
      </c>
      <c r="N10" s="18">
        <f t="shared" si="27"/>
        <v>1.6429367801277142E-2</v>
      </c>
      <c r="O10" s="18">
        <f t="shared" si="28"/>
        <v>-4.2189121773356375E-2</v>
      </c>
      <c r="W10" s="18">
        <f t="shared" ca="1" si="29"/>
        <v>0.3</v>
      </c>
      <c r="X10" s="18">
        <f t="shared" ca="1" si="2"/>
        <v>0.86</v>
      </c>
      <c r="Y10" s="18">
        <f t="shared" ca="1" si="2"/>
        <v>0.36</v>
      </c>
      <c r="Z10" s="18">
        <f t="shared" ca="1" si="2"/>
        <v>0.69</v>
      </c>
      <c r="AA10" s="18">
        <f t="shared" ca="1" si="2"/>
        <v>0.42</v>
      </c>
      <c r="AB10" s="18">
        <f t="shared" ca="1" si="3"/>
        <v>2.63</v>
      </c>
      <c r="AC10" s="18">
        <f t="shared" ca="1" si="4"/>
        <v>0.11406844106463879</v>
      </c>
      <c r="AD10" s="18">
        <f t="shared" ca="1" si="5"/>
        <v>0.3269961977186312</v>
      </c>
      <c r="AE10" s="18">
        <f t="shared" ca="1" si="6"/>
        <v>0.13688212927756654</v>
      </c>
      <c r="AF10" s="18">
        <f t="shared" ca="1" si="7"/>
        <v>0.26235741444866917</v>
      </c>
      <c r="AG10" s="18">
        <f t="shared" ca="1" si="8"/>
        <v>0.1596958174904943</v>
      </c>
      <c r="AH10" s="18">
        <f t="shared" ca="1" si="9"/>
        <v>1</v>
      </c>
      <c r="AI10" s="18" cm="1">
        <f t="array" aca="1" ref="AI10" ca="1">MMULT(MMULT(AC10:AG10,$Q$2:$U$6),TRANSPOSE(AC10:AG10))</f>
        <v>2.1408816326990633E-4</v>
      </c>
      <c r="AJ10" s="18">
        <f t="shared" ca="1" si="10"/>
        <v>-3.2218351594924611E-3</v>
      </c>
      <c r="AK10" s="18">
        <f t="shared" ca="1" si="11"/>
        <v>-0.24843031653996561</v>
      </c>
      <c r="AL10" s="18">
        <f t="shared" ca="1" si="12"/>
        <v>-3.2218351594924611E-3</v>
      </c>
      <c r="AM10" s="18">
        <f t="shared" ca="1" si="13"/>
        <v>2.1408816326990633E-4</v>
      </c>
      <c r="AN10" s="18">
        <f t="shared" ca="1" si="14"/>
        <v>0.11406844106463879</v>
      </c>
      <c r="AO10" s="18">
        <f t="shared" ca="1" si="15"/>
        <v>0.3269961977186312</v>
      </c>
      <c r="AP10" s="18">
        <f t="shared" ca="1" si="16"/>
        <v>0.13688212927756654</v>
      </c>
      <c r="AQ10" s="18">
        <f t="shared" ca="1" si="17"/>
        <v>0.26235741444866917</v>
      </c>
      <c r="AR10" s="18">
        <f t="shared" ca="1" si="18"/>
        <v>0.1596958174904943</v>
      </c>
      <c r="AS10" s="18" t="s">
        <v>56</v>
      </c>
      <c r="AT10" s="22">
        <f>R7/235</f>
        <v>4.1489361702127663E-4</v>
      </c>
    </row>
    <row r="11" spans="1:51">
      <c r="A11" s="20">
        <v>28.5</v>
      </c>
      <c r="B11" s="20">
        <v>24.4</v>
      </c>
      <c r="C11" s="20">
        <v>250.1</v>
      </c>
      <c r="D11" s="21">
        <v>48</v>
      </c>
      <c r="E11" s="20">
        <v>135.9</v>
      </c>
      <c r="F11" s="18">
        <f t="shared" si="19"/>
        <v>0</v>
      </c>
      <c r="G11" s="18">
        <f t="shared" si="20"/>
        <v>4.1067819526532812E-3</v>
      </c>
      <c r="H11" s="18">
        <f t="shared" si="21"/>
        <v>-4.3885967104702276E-3</v>
      </c>
      <c r="I11" s="18">
        <f t="shared" si="22"/>
        <v>2.0855064910213611E-3</v>
      </c>
      <c r="J11" s="18">
        <f t="shared" si="23"/>
        <v>-1.7505917513614522E-2</v>
      </c>
      <c r="K11" s="18">
        <f t="shared" si="24"/>
        <v>-4.1313559322033898E-4</v>
      </c>
      <c r="L11" s="18">
        <f t="shared" si="25"/>
        <v>3.6936463594329423E-3</v>
      </c>
      <c r="M11" s="18">
        <f t="shared" si="26"/>
        <v>-4.801732303690567E-3</v>
      </c>
      <c r="N11" s="18">
        <f t="shared" si="27"/>
        <v>1.6723708978010222E-3</v>
      </c>
      <c r="O11" s="18">
        <f t="shared" si="28"/>
        <v>-1.7919053106834861E-2</v>
      </c>
      <c r="W11" s="18">
        <f t="shared" ca="1" si="29"/>
        <v>0.65</v>
      </c>
      <c r="X11" s="18">
        <f t="shared" ca="1" si="2"/>
        <v>0.52</v>
      </c>
      <c r="Y11" s="18">
        <f t="shared" ca="1" si="2"/>
        <v>0.46</v>
      </c>
      <c r="Z11" s="18">
        <f t="shared" ca="1" si="2"/>
        <v>0.68</v>
      </c>
      <c r="AA11" s="18">
        <f t="shared" ca="1" si="2"/>
        <v>0.48</v>
      </c>
      <c r="AB11" s="18">
        <f t="shared" ca="1" si="3"/>
        <v>2.79</v>
      </c>
      <c r="AC11" s="18">
        <f t="shared" ca="1" si="4"/>
        <v>0.23297491039426524</v>
      </c>
      <c r="AD11" s="18">
        <f t="shared" ca="1" si="5"/>
        <v>0.1863799283154122</v>
      </c>
      <c r="AE11" s="18">
        <f t="shared" ca="1" si="6"/>
        <v>0.16487455197132617</v>
      </c>
      <c r="AF11" s="18">
        <f t="shared" ca="1" si="7"/>
        <v>0.24372759856630827</v>
      </c>
      <c r="AG11" s="18">
        <f t="shared" ca="1" si="8"/>
        <v>0.17204301075268816</v>
      </c>
      <c r="AH11" s="18">
        <f t="shared" ca="1" si="9"/>
        <v>1.0000000000000002</v>
      </c>
      <c r="AI11" s="18" cm="1">
        <f t="array" aca="1" ref="AI11" ca="1">MMULT(MMULT(AC11:AG11,$Q$2:$U$6),TRANSPOSE(AC11:AG11))</f>
        <v>2.0275117713041064E-4</v>
      </c>
      <c r="AJ11" s="18">
        <f t="shared" ca="1" si="10"/>
        <v>-1.1108619654632444E-3</v>
      </c>
      <c r="AK11" s="18">
        <f t="shared" ca="1" si="11"/>
        <v>-0.10702927390398925</v>
      </c>
      <c r="AL11" s="18">
        <f t="shared" ca="1" si="12"/>
        <v>-1.1108619654632444E-3</v>
      </c>
      <c r="AM11" s="18">
        <f t="shared" ca="1" si="13"/>
        <v>2.0275117713041064E-4</v>
      </c>
      <c r="AN11" s="18">
        <f t="shared" ca="1" si="14"/>
        <v>0.23297491039426524</v>
      </c>
      <c r="AO11" s="18">
        <f t="shared" ca="1" si="15"/>
        <v>0.1863799283154122</v>
      </c>
      <c r="AP11" s="18">
        <f t="shared" ca="1" si="16"/>
        <v>0.16487455197132617</v>
      </c>
      <c r="AQ11" s="18">
        <f t="shared" ca="1" si="17"/>
        <v>0.24372759856630827</v>
      </c>
      <c r="AR11" s="18">
        <f t="shared" ca="1" si="18"/>
        <v>0.17204301075268816</v>
      </c>
      <c r="AT11" s="19"/>
      <c r="AU11" s="18" t="s">
        <v>27</v>
      </c>
      <c r="AV11" s="18" t="s">
        <v>28</v>
      </c>
      <c r="AW11" s="18" t="s">
        <v>29</v>
      </c>
      <c r="AX11" s="18" t="s">
        <v>30</v>
      </c>
      <c r="AY11" s="18" t="s">
        <v>31</v>
      </c>
    </row>
    <row r="12" spans="1:51">
      <c r="A12" s="20">
        <v>28.5</v>
      </c>
      <c r="B12" s="20">
        <v>24.5</v>
      </c>
      <c r="C12" s="20">
        <v>250.9</v>
      </c>
      <c r="D12" s="21">
        <v>48.8</v>
      </c>
      <c r="E12" s="20">
        <v>139.5</v>
      </c>
      <c r="F12" s="18">
        <f t="shared" si="19"/>
        <v>0</v>
      </c>
      <c r="G12" s="18">
        <f t="shared" si="20"/>
        <v>4.0899852515250664E-3</v>
      </c>
      <c r="H12" s="18">
        <f t="shared" si="21"/>
        <v>3.1936154888033254E-3</v>
      </c>
      <c r="I12" s="18">
        <f t="shared" si="22"/>
        <v>1.6529301951210506E-2</v>
      </c>
      <c r="J12" s="18">
        <f t="shared" si="23"/>
        <v>2.6145280104322207E-2</v>
      </c>
      <c r="K12" s="18">
        <f t="shared" si="24"/>
        <v>-4.1313559322033898E-4</v>
      </c>
      <c r="L12" s="18">
        <f t="shared" si="25"/>
        <v>3.6768496583047274E-3</v>
      </c>
      <c r="M12" s="18">
        <f t="shared" si="26"/>
        <v>2.7804798955829864E-3</v>
      </c>
      <c r="N12" s="18">
        <f t="shared" si="27"/>
        <v>1.6116166357990167E-2</v>
      </c>
      <c r="O12" s="18">
        <f t="shared" si="28"/>
        <v>2.5732144511101868E-2</v>
      </c>
      <c r="W12" s="18">
        <f t="shared" ca="1" si="29"/>
        <v>0.45</v>
      </c>
      <c r="X12" s="18">
        <f t="shared" ca="1" si="2"/>
        <v>0.85</v>
      </c>
      <c r="Y12" s="18">
        <f t="shared" ca="1" si="2"/>
        <v>0.71</v>
      </c>
      <c r="Z12" s="18">
        <f t="shared" ca="1" si="2"/>
        <v>0.81</v>
      </c>
      <c r="AA12" s="18">
        <f t="shared" ca="1" si="2"/>
        <v>0.24</v>
      </c>
      <c r="AB12" s="18">
        <f t="shared" ca="1" si="3"/>
        <v>3.0599999999999996</v>
      </c>
      <c r="AC12" s="18">
        <f t="shared" ca="1" si="4"/>
        <v>0.1470588235294118</v>
      </c>
      <c r="AD12" s="18">
        <f t="shared" ca="1" si="5"/>
        <v>0.27777777777777779</v>
      </c>
      <c r="AE12" s="18">
        <f t="shared" ca="1" si="6"/>
        <v>0.23202614379084968</v>
      </c>
      <c r="AF12" s="18">
        <f t="shared" ca="1" si="7"/>
        <v>0.26470588235294124</v>
      </c>
      <c r="AG12" s="18">
        <f t="shared" ca="1" si="8"/>
        <v>7.8431372549019621E-2</v>
      </c>
      <c r="AH12" s="18">
        <f t="shared" ca="1" si="9"/>
        <v>1.0000000000000002</v>
      </c>
      <c r="AI12" s="18" cm="1">
        <f t="array" aca="1" ref="AI12" ca="1">MMULT(MMULT(AC12:AG12,$Q$2:$U$6),TRANSPOSE(AC12:AG12))</f>
        <v>1.9482580975024852E-4</v>
      </c>
      <c r="AJ12" s="18">
        <f t="shared" ca="1" si="10"/>
        <v>-4.1442989079164428E-3</v>
      </c>
      <c r="AK12" s="18">
        <f t="shared" ca="1" si="11"/>
        <v>-0.32651052916132139</v>
      </c>
      <c r="AL12" s="18">
        <f t="shared" ca="1" si="12"/>
        <v>-4.1442989079164428E-3</v>
      </c>
      <c r="AM12" s="18">
        <f t="shared" ca="1" si="13"/>
        <v>1.9482580975024852E-4</v>
      </c>
      <c r="AN12" s="18">
        <f t="shared" ca="1" si="14"/>
        <v>0.1470588235294118</v>
      </c>
      <c r="AO12" s="18">
        <f t="shared" ca="1" si="15"/>
        <v>0.27777777777777779</v>
      </c>
      <c r="AP12" s="18">
        <f t="shared" ca="1" si="16"/>
        <v>0.23202614379084968</v>
      </c>
      <c r="AQ12" s="18">
        <f t="shared" ca="1" si="17"/>
        <v>0.26470588235294124</v>
      </c>
      <c r="AR12" s="18">
        <f t="shared" ca="1" si="18"/>
        <v>7.8431372549019621E-2</v>
      </c>
      <c r="AT12" s="18" t="s">
        <v>27</v>
      </c>
      <c r="AU12" s="18">
        <v>2.1997871696023393E-4</v>
      </c>
      <c r="AV12" s="18">
        <v>8.4141462495956239E-5</v>
      </c>
      <c r="AW12" s="18">
        <v>7.0915698789421992E-5</v>
      </c>
      <c r="AX12" s="18">
        <v>1.7531523359120863E-4</v>
      </c>
      <c r="AY12" s="18">
        <v>8.9797902551716979E-5</v>
      </c>
    </row>
    <row r="13" spans="1:51">
      <c r="A13" s="20">
        <v>28.1</v>
      </c>
      <c r="B13" s="20">
        <v>24.3</v>
      </c>
      <c r="C13" s="20">
        <v>249.3</v>
      </c>
      <c r="D13" s="21">
        <v>47.8</v>
      </c>
      <c r="E13" s="20">
        <v>138.6</v>
      </c>
      <c r="F13" s="18">
        <f t="shared" si="19"/>
        <v>-1.4134510934904693E-2</v>
      </c>
      <c r="G13" s="18">
        <f t="shared" si="20"/>
        <v>-8.196767204178515E-3</v>
      </c>
      <c r="H13" s="18">
        <f t="shared" si="21"/>
        <v>-6.3974628428643595E-3</v>
      </c>
      <c r="I13" s="18">
        <f t="shared" si="22"/>
        <v>-2.0704673361691166E-2</v>
      </c>
      <c r="J13" s="18">
        <f t="shared" si="23"/>
        <v>-6.4725145056174788E-3</v>
      </c>
      <c r="K13" s="18">
        <f t="shared" si="24"/>
        <v>-1.4547646528125032E-2</v>
      </c>
      <c r="L13" s="18">
        <f t="shared" si="25"/>
        <v>-8.6099027973988544E-3</v>
      </c>
      <c r="M13" s="18">
        <f t="shared" si="26"/>
        <v>-6.8105984360846989E-3</v>
      </c>
      <c r="N13" s="18">
        <f t="shared" si="27"/>
        <v>-2.1117808954911506E-2</v>
      </c>
      <c r="O13" s="18">
        <f t="shared" si="28"/>
        <v>-6.8856500988378182E-3</v>
      </c>
      <c r="W13" s="18">
        <f t="shared" ca="1" si="29"/>
        <v>0.95</v>
      </c>
      <c r="X13" s="18">
        <f t="shared" ca="1" si="2"/>
        <v>0.34</v>
      </c>
      <c r="Y13" s="18">
        <f t="shared" ca="1" si="2"/>
        <v>0.23</v>
      </c>
      <c r="Z13" s="18">
        <f t="shared" ca="1" si="2"/>
        <v>0.49</v>
      </c>
      <c r="AA13" s="18">
        <f t="shared" ca="1" si="2"/>
        <v>0.85</v>
      </c>
      <c r="AB13" s="18">
        <f t="shared" ca="1" si="3"/>
        <v>2.86</v>
      </c>
      <c r="AC13" s="18">
        <f t="shared" ca="1" si="4"/>
        <v>0.33216783216783219</v>
      </c>
      <c r="AD13" s="18">
        <f t="shared" ca="1" si="5"/>
        <v>0.11888111888111889</v>
      </c>
      <c r="AE13" s="18">
        <f t="shared" ca="1" si="6"/>
        <v>8.041958041958043E-2</v>
      </c>
      <c r="AF13" s="18">
        <f t="shared" ca="1" si="7"/>
        <v>0.17132867132867133</v>
      </c>
      <c r="AG13" s="18">
        <f t="shared" ca="1" si="8"/>
        <v>0.29720279720279719</v>
      </c>
      <c r="AH13" s="18">
        <f t="shared" ca="1" si="9"/>
        <v>1</v>
      </c>
      <c r="AI13" s="18" cm="1">
        <f t="array" aca="1" ref="AI13" ca="1">MMULT(MMULT(AC13:AG13,$Q$2:$U$6),TRANSPOSE(AC13:AG13))</f>
        <v>2.4291188189029016E-4</v>
      </c>
      <c r="AJ13" s="18">
        <f t="shared" ca="1" si="10"/>
        <v>1.604660576668655E-3</v>
      </c>
      <c r="AK13" s="18">
        <f t="shared" ca="1" si="11"/>
        <v>7.6450226002050675E-2</v>
      </c>
      <c r="AL13" s="18">
        <f t="shared" ca="1" si="12"/>
        <v>1.604660576668655E-3</v>
      </c>
      <c r="AM13" s="18">
        <f t="shared" ca="1" si="13"/>
        <v>2.4291188189029016E-4</v>
      </c>
      <c r="AN13" s="18">
        <f t="shared" ca="1" si="14"/>
        <v>0.33216783216783219</v>
      </c>
      <c r="AO13" s="18">
        <f t="shared" ca="1" si="15"/>
        <v>0.11888111888111889</v>
      </c>
      <c r="AP13" s="18">
        <f t="shared" ca="1" si="16"/>
        <v>8.041958041958043E-2</v>
      </c>
      <c r="AQ13" s="18">
        <f t="shared" ca="1" si="17"/>
        <v>0.17132867132867133</v>
      </c>
      <c r="AR13" s="18">
        <f t="shared" ca="1" si="18"/>
        <v>0.29720279720279719</v>
      </c>
      <c r="AT13" s="18" t="s">
        <v>28</v>
      </c>
      <c r="AU13" s="18">
        <v>8.4141462495956239E-5</v>
      </c>
      <c r="AV13" s="18">
        <v>3.1507489036138302E-4</v>
      </c>
      <c r="AW13" s="18">
        <v>6.5840082249520705E-5</v>
      </c>
      <c r="AX13" s="18">
        <v>1.1818744434852161E-4</v>
      </c>
      <c r="AY13" s="18">
        <v>5.078493473811406E-5</v>
      </c>
    </row>
    <row r="14" spans="1:51">
      <c r="A14" s="20">
        <v>27.9</v>
      </c>
      <c r="B14" s="20">
        <v>24</v>
      </c>
      <c r="C14" s="20">
        <v>247.9</v>
      </c>
      <c r="D14" s="21">
        <v>46.4</v>
      </c>
      <c r="E14" s="20">
        <v>126</v>
      </c>
      <c r="F14" s="18">
        <f t="shared" si="19"/>
        <v>-7.1428875123802247E-3</v>
      </c>
      <c r="G14" s="18">
        <f t="shared" si="20"/>
        <v>-1.2422519998557209E-2</v>
      </c>
      <c r="H14" s="18">
        <f t="shared" si="21"/>
        <v>-5.6315514883673971E-3</v>
      </c>
      <c r="I14" s="18">
        <f t="shared" si="22"/>
        <v>-2.9726180265200734E-2</v>
      </c>
      <c r="J14" s="18">
        <f t="shared" si="23"/>
        <v>-9.5310179804324768E-2</v>
      </c>
      <c r="K14" s="18">
        <f t="shared" si="24"/>
        <v>-7.5560231056005633E-3</v>
      </c>
      <c r="L14" s="18">
        <f t="shared" si="25"/>
        <v>-1.2835655591777548E-2</v>
      </c>
      <c r="M14" s="18">
        <f t="shared" si="26"/>
        <v>-6.0446870815877365E-3</v>
      </c>
      <c r="N14" s="18">
        <f t="shared" si="27"/>
        <v>-3.0139315858421074E-2</v>
      </c>
      <c r="O14" s="18">
        <f t="shared" si="28"/>
        <v>-9.5723315397545111E-2</v>
      </c>
      <c r="W14" s="18">
        <f t="shared" ca="1" si="29"/>
        <v>0.01</v>
      </c>
      <c r="X14" s="18">
        <f t="shared" ca="1" si="2"/>
        <v>0.45</v>
      </c>
      <c r="Y14" s="18">
        <f t="shared" ca="1" si="2"/>
        <v>0.3</v>
      </c>
      <c r="Z14" s="18">
        <f t="shared" ca="1" si="2"/>
        <v>0.75</v>
      </c>
      <c r="AA14" s="18">
        <f t="shared" ca="1" si="2"/>
        <v>0.31</v>
      </c>
      <c r="AB14" s="18">
        <f t="shared" ca="1" si="3"/>
        <v>1.82</v>
      </c>
      <c r="AC14" s="18">
        <f t="shared" ca="1" si="4"/>
        <v>5.4945054945054941E-3</v>
      </c>
      <c r="AD14" s="18">
        <f t="shared" ca="1" si="5"/>
        <v>0.24725274725274726</v>
      </c>
      <c r="AE14" s="18">
        <f t="shared" ca="1" si="6"/>
        <v>0.16483516483516483</v>
      </c>
      <c r="AF14" s="18">
        <f t="shared" ca="1" si="7"/>
        <v>0.41208791208791207</v>
      </c>
      <c r="AG14" s="18">
        <f t="shared" ca="1" si="8"/>
        <v>0.17032967032967034</v>
      </c>
      <c r="AH14" s="18">
        <f t="shared" ca="1" si="9"/>
        <v>1</v>
      </c>
      <c r="AI14" s="18" cm="1">
        <f t="array" aca="1" ref="AI14" ca="1">MMULT(MMULT(AC14:AG14,$Q$2:$U$6),TRANSPOSE(AC14:AG14))</f>
        <v>3.0254350277855697E-4</v>
      </c>
      <c r="AJ14" s="18">
        <f t="shared" ca="1" si="10"/>
        <v>-2.0179899407330938E-3</v>
      </c>
      <c r="AK14" s="18">
        <f t="shared" ca="1" si="11"/>
        <v>-0.13976984042664092</v>
      </c>
      <c r="AL14" s="18">
        <f t="shared" ca="1" si="12"/>
        <v>-2.0179899407330938E-3</v>
      </c>
      <c r="AM14" s="18">
        <f t="shared" ca="1" si="13"/>
        <v>3.0254350277855697E-4</v>
      </c>
      <c r="AN14" s="18">
        <f t="shared" ca="1" si="14"/>
        <v>5.4945054945054941E-3</v>
      </c>
      <c r="AO14" s="18">
        <f t="shared" ca="1" si="15"/>
        <v>0.24725274725274726</v>
      </c>
      <c r="AP14" s="18">
        <f t="shared" ca="1" si="16"/>
        <v>0.16483516483516483</v>
      </c>
      <c r="AQ14" s="18">
        <f t="shared" ca="1" si="17"/>
        <v>0.41208791208791207</v>
      </c>
      <c r="AR14" s="18">
        <f t="shared" ca="1" si="18"/>
        <v>0.17032967032967034</v>
      </c>
      <c r="AT14" s="18" t="s">
        <v>29</v>
      </c>
      <c r="AU14" s="18">
        <v>7.0915698789421992E-5</v>
      </c>
      <c r="AV14" s="18">
        <v>6.5840082249520705E-5</v>
      </c>
      <c r="AW14" s="18">
        <v>1.9696440846539057E-4</v>
      </c>
      <c r="AX14" s="18">
        <v>1.150670691014241E-4</v>
      </c>
      <c r="AY14" s="18">
        <v>1.858607797361134E-5</v>
      </c>
    </row>
    <row r="15" spans="1:51">
      <c r="A15" s="20">
        <v>27.8</v>
      </c>
      <c r="B15" s="20">
        <v>23.9</v>
      </c>
      <c r="C15" s="20">
        <v>249</v>
      </c>
      <c r="D15" s="21">
        <v>48</v>
      </c>
      <c r="E15" s="20">
        <v>126.9</v>
      </c>
      <c r="F15" s="18">
        <f t="shared" si="19"/>
        <v>-3.5906681307284844E-3</v>
      </c>
      <c r="G15" s="18">
        <f t="shared" si="20"/>
        <v>-4.1753714104807334E-3</v>
      </c>
      <c r="H15" s="18">
        <f t="shared" si="21"/>
        <v>4.4274574235627301E-3</v>
      </c>
      <c r="I15" s="18">
        <f t="shared" si="22"/>
        <v>3.3901551675681416E-2</v>
      </c>
      <c r="J15" s="18">
        <f t="shared" si="23"/>
        <v>7.1174677688639549E-3</v>
      </c>
      <c r="K15" s="18">
        <f t="shared" si="24"/>
        <v>-4.003803723948823E-3</v>
      </c>
      <c r="L15" s="18">
        <f t="shared" si="25"/>
        <v>-4.5885070037010728E-3</v>
      </c>
      <c r="M15" s="18">
        <f t="shared" si="26"/>
        <v>4.0143218303423916E-3</v>
      </c>
      <c r="N15" s="18">
        <f t="shared" si="27"/>
        <v>3.348841608246108E-2</v>
      </c>
      <c r="O15" s="18">
        <f t="shared" si="28"/>
        <v>6.7043321756436163E-3</v>
      </c>
      <c r="W15" s="18">
        <f t="shared" ca="1" si="29"/>
        <v>0.19</v>
      </c>
      <c r="X15" s="18">
        <f t="shared" ca="1" si="2"/>
        <v>0.56999999999999995</v>
      </c>
      <c r="Y15" s="18">
        <f t="shared" ca="1" si="2"/>
        <v>0.97</v>
      </c>
      <c r="Z15" s="18">
        <f t="shared" ca="1" si="2"/>
        <v>0.37</v>
      </c>
      <c r="AA15" s="18">
        <f t="shared" ca="1" si="2"/>
        <v>0.41</v>
      </c>
      <c r="AB15" s="18">
        <f t="shared" ca="1" si="3"/>
        <v>2.5100000000000002</v>
      </c>
      <c r="AC15" s="18">
        <f t="shared" ca="1" si="4"/>
        <v>7.5697211155378474E-2</v>
      </c>
      <c r="AD15" s="18">
        <f t="shared" ca="1" si="5"/>
        <v>0.22709163346613542</v>
      </c>
      <c r="AE15" s="18">
        <f t="shared" ca="1" si="6"/>
        <v>0.38645418326693221</v>
      </c>
      <c r="AF15" s="18">
        <f t="shared" ca="1" si="7"/>
        <v>0.14741035856573703</v>
      </c>
      <c r="AG15" s="18">
        <f t="shared" ca="1" si="8"/>
        <v>0.1633466135458167</v>
      </c>
      <c r="AH15" s="18">
        <f t="shared" ca="1" si="9"/>
        <v>0.99999999999999978</v>
      </c>
      <c r="AI15" s="18" cm="1">
        <f t="array" aca="1" ref="AI15" ca="1">MMULT(MMULT(AC15:AG15,$Q$2:$U$6),TRANSPOSE(AC15:AG15))</f>
        <v>1.5915899812609494E-4</v>
      </c>
      <c r="AJ15" s="18">
        <f t="shared" ca="1" si="10"/>
        <v>-7.4876666690092998E-3</v>
      </c>
      <c r="AK15" s="18">
        <f t="shared" ca="1" si="11"/>
        <v>-0.62626132751903951</v>
      </c>
      <c r="AL15" s="18">
        <f t="shared" ca="1" si="12"/>
        <v>-7.4876666690092998E-3</v>
      </c>
      <c r="AM15" s="18">
        <f t="shared" ca="1" si="13"/>
        <v>1.5915899812609494E-4</v>
      </c>
      <c r="AN15" s="18">
        <f t="shared" ca="1" si="14"/>
        <v>7.5697211155378474E-2</v>
      </c>
      <c r="AO15" s="18">
        <f t="shared" ca="1" si="15"/>
        <v>0.22709163346613542</v>
      </c>
      <c r="AP15" s="18">
        <f t="shared" ca="1" si="16"/>
        <v>0.38645418326693221</v>
      </c>
      <c r="AQ15" s="18">
        <f t="shared" ca="1" si="17"/>
        <v>0.14741035856573703</v>
      </c>
      <c r="AR15" s="18">
        <f t="shared" ca="1" si="18"/>
        <v>0.1633466135458167</v>
      </c>
      <c r="AT15" s="18" t="s">
        <v>30</v>
      </c>
      <c r="AU15" s="18">
        <v>1.7531523359120863E-4</v>
      </c>
      <c r="AV15" s="18">
        <v>1.1818744434852161E-4</v>
      </c>
      <c r="AW15" s="18">
        <v>1.150670691014241E-4</v>
      </c>
      <c r="AX15" s="18">
        <v>1.0607687099165397E-3</v>
      </c>
      <c r="AY15" s="18">
        <v>6.2377950646853435E-5</v>
      </c>
    </row>
    <row r="16" spans="1:51">
      <c r="A16" s="20">
        <v>28.1</v>
      </c>
      <c r="B16" s="20">
        <v>24</v>
      </c>
      <c r="C16" s="20">
        <v>250.9</v>
      </c>
      <c r="D16" s="21">
        <v>52.7</v>
      </c>
      <c r="E16" s="20">
        <v>137.4</v>
      </c>
      <c r="F16" s="18">
        <f t="shared" si="19"/>
        <v>1.0733555643108633E-2</v>
      </c>
      <c r="G16" s="18">
        <f t="shared" si="20"/>
        <v>4.175371410480592E-3</v>
      </c>
      <c r="H16" s="18">
        <f t="shared" si="21"/>
        <v>7.6015569076690395E-3</v>
      </c>
      <c r="I16" s="18">
        <f t="shared" si="22"/>
        <v>9.3414444639425706E-2</v>
      </c>
      <c r="J16" s="18">
        <f t="shared" si="23"/>
        <v>7.9497005067906995E-2</v>
      </c>
      <c r="K16" s="18">
        <f t="shared" si="24"/>
        <v>1.0320420049888293E-2</v>
      </c>
      <c r="L16" s="18">
        <f t="shared" si="25"/>
        <v>3.762235817260253E-3</v>
      </c>
      <c r="M16" s="18">
        <f t="shared" si="26"/>
        <v>7.1884213144487001E-3</v>
      </c>
      <c r="N16" s="18">
        <f t="shared" si="27"/>
        <v>9.3001309046205363E-2</v>
      </c>
      <c r="O16" s="18">
        <f t="shared" si="28"/>
        <v>7.9083869474686652E-2</v>
      </c>
      <c r="W16" s="18">
        <f t="shared" ca="1" si="29"/>
        <v>0.73</v>
      </c>
      <c r="X16" s="18">
        <f t="shared" ca="1" si="2"/>
        <v>0.17</v>
      </c>
      <c r="Y16" s="18">
        <f t="shared" ca="1" si="2"/>
        <v>0.41</v>
      </c>
      <c r="Z16" s="18">
        <f t="shared" ca="1" si="2"/>
        <v>0.5</v>
      </c>
      <c r="AA16" s="18">
        <f t="shared" ca="1" si="2"/>
        <v>0.16</v>
      </c>
      <c r="AB16" s="18">
        <f t="shared" ca="1" si="3"/>
        <v>1.97</v>
      </c>
      <c r="AC16" s="18">
        <f t="shared" ca="1" si="4"/>
        <v>0.37055837563451777</v>
      </c>
      <c r="AD16" s="18">
        <f t="shared" ca="1" si="5"/>
        <v>8.6294416243654831E-2</v>
      </c>
      <c r="AE16" s="18">
        <f t="shared" ca="1" si="6"/>
        <v>0.2081218274111675</v>
      </c>
      <c r="AF16" s="18">
        <f t="shared" ca="1" si="7"/>
        <v>0.25380710659898476</v>
      </c>
      <c r="AG16" s="18">
        <f t="shared" ca="1" si="8"/>
        <v>8.1218274111675134E-2</v>
      </c>
      <c r="AH16" s="18">
        <f t="shared" ca="1" si="9"/>
        <v>1</v>
      </c>
      <c r="AI16" s="18" cm="1">
        <f t="array" aca="1" ref="AI16" ca="1">MMULT(MMULT(AC16:AG16,$Q$2:$U$6),TRANSPOSE(AC16:AG16))</f>
        <v>1.9621062447773541E-4</v>
      </c>
      <c r="AJ16" s="18">
        <f t="shared" ca="1" si="10"/>
        <v>3.3306108325839297E-4</v>
      </c>
      <c r="AK16" s="18">
        <f t="shared" ca="1" si="11"/>
        <v>-5.7165371417891202E-3</v>
      </c>
      <c r="AL16" s="18">
        <f t="shared" ca="1" si="12"/>
        <v>3.3306108325839297E-4</v>
      </c>
      <c r="AM16" s="18">
        <f t="shared" ca="1" si="13"/>
        <v>1.9621062447773541E-4</v>
      </c>
      <c r="AN16" s="18">
        <f t="shared" ca="1" si="14"/>
        <v>0.37055837563451777</v>
      </c>
      <c r="AO16" s="18">
        <f t="shared" ca="1" si="15"/>
        <v>8.6294416243654831E-2</v>
      </c>
      <c r="AP16" s="18">
        <f t="shared" ca="1" si="16"/>
        <v>0.2081218274111675</v>
      </c>
      <c r="AQ16" s="18">
        <f t="shared" ca="1" si="17"/>
        <v>0.25380710659898476</v>
      </c>
      <c r="AR16" s="18">
        <f t="shared" ca="1" si="18"/>
        <v>8.1218274111675134E-2</v>
      </c>
      <c r="AT16" s="18" t="s">
        <v>31</v>
      </c>
      <c r="AU16" s="18">
        <v>8.9797902551716979E-5</v>
      </c>
      <c r="AV16" s="18">
        <v>5.078493473811406E-5</v>
      </c>
      <c r="AW16" s="18">
        <v>1.858607797361134E-5</v>
      </c>
      <c r="AX16" s="18">
        <v>6.2377950646853435E-5</v>
      </c>
      <c r="AY16" s="18">
        <v>1.2859179386567369E-3</v>
      </c>
    </row>
    <row r="17" spans="1:47">
      <c r="A17" s="20">
        <v>28</v>
      </c>
      <c r="B17" s="20">
        <v>23.9</v>
      </c>
      <c r="C17" s="20">
        <v>250.2</v>
      </c>
      <c r="D17" s="21">
        <v>51.2</v>
      </c>
      <c r="E17" s="20">
        <v>139.1</v>
      </c>
      <c r="F17" s="18">
        <f t="shared" si="19"/>
        <v>-3.5650661644962569E-3</v>
      </c>
      <c r="G17" s="18">
        <f t="shared" si="20"/>
        <v>-4.1753714104807334E-3</v>
      </c>
      <c r="H17" s="18">
        <f t="shared" si="21"/>
        <v>-2.7938553395658742E-3</v>
      </c>
      <c r="I17" s="18">
        <f t="shared" si="22"/>
        <v>-2.8875923501854521E-2</v>
      </c>
      <c r="J17" s="18">
        <f t="shared" si="23"/>
        <v>1.229671914114827E-2</v>
      </c>
      <c r="K17" s="18">
        <f t="shared" si="24"/>
        <v>-3.9782017577165959E-3</v>
      </c>
      <c r="L17" s="18">
        <f t="shared" si="25"/>
        <v>-4.5885070037010728E-3</v>
      </c>
      <c r="M17" s="18">
        <f t="shared" si="26"/>
        <v>-3.2069909327862131E-3</v>
      </c>
      <c r="N17" s="18">
        <f t="shared" si="27"/>
        <v>-2.928905909507486E-2</v>
      </c>
      <c r="O17" s="18">
        <f t="shared" si="28"/>
        <v>1.188358354792793E-2</v>
      </c>
      <c r="W17" s="18">
        <f t="shared" ca="1" si="29"/>
        <v>0.18</v>
      </c>
      <c r="X17" s="18">
        <f t="shared" ca="1" si="2"/>
        <v>0.61</v>
      </c>
      <c r="Y17" s="18">
        <f t="shared" ca="1" si="2"/>
        <v>0.67</v>
      </c>
      <c r="Z17" s="18">
        <f t="shared" ca="1" si="2"/>
        <v>0.97</v>
      </c>
      <c r="AA17" s="18">
        <f t="shared" ca="1" si="2"/>
        <v>0.1</v>
      </c>
      <c r="AB17" s="18">
        <f t="shared" ca="1" si="3"/>
        <v>2.5299999999999998</v>
      </c>
      <c r="AC17" s="18">
        <f t="shared" ca="1" si="4"/>
        <v>7.1146245059288543E-2</v>
      </c>
      <c r="AD17" s="18">
        <f t="shared" ca="1" si="5"/>
        <v>0.24110671936758896</v>
      </c>
      <c r="AE17" s="18">
        <f t="shared" ca="1" si="6"/>
        <v>0.2648221343873518</v>
      </c>
      <c r="AF17" s="18">
        <f t="shared" ca="1" si="7"/>
        <v>0.38339920948616601</v>
      </c>
      <c r="AG17" s="18">
        <f t="shared" ca="1" si="8"/>
        <v>3.9525691699604751E-2</v>
      </c>
      <c r="AH17" s="18">
        <f t="shared" ca="1" si="9"/>
        <v>1</v>
      </c>
      <c r="AI17" s="18" cm="1">
        <f t="array" aca="1" ref="AI17" ca="1">MMULT(MMULT(AC17:AG17,$Q$2:$U$6),TRANSPOSE(AC17:AG17))</f>
        <v>2.6367980981065187E-4</v>
      </c>
      <c r="AJ17" s="18">
        <f t="shared" ca="1" si="10"/>
        <v>-3.7737587165372678E-3</v>
      </c>
      <c r="AK17" s="18">
        <f t="shared" ca="1" si="11"/>
        <v>-0.25784193973820613</v>
      </c>
      <c r="AL17" s="18">
        <f t="shared" ca="1" si="12"/>
        <v>-3.7737587165372678E-3</v>
      </c>
      <c r="AM17" s="18">
        <f t="shared" ca="1" si="13"/>
        <v>2.6367980981065187E-4</v>
      </c>
      <c r="AN17" s="18">
        <f t="shared" ca="1" si="14"/>
        <v>7.1146245059288543E-2</v>
      </c>
      <c r="AO17" s="18">
        <f t="shared" ca="1" si="15"/>
        <v>0.24110671936758896</v>
      </c>
      <c r="AP17" s="18">
        <f t="shared" ca="1" si="16"/>
        <v>0.2648221343873518</v>
      </c>
      <c r="AQ17" s="18">
        <f t="shared" ca="1" si="17"/>
        <v>0.38339920948616601</v>
      </c>
      <c r="AR17" s="18">
        <f t="shared" ca="1" si="18"/>
        <v>3.9525691699604751E-2</v>
      </c>
      <c r="AS17" s="18" t="s">
        <v>57</v>
      </c>
      <c r="AT17" s="18">
        <f ca="1">(AT3-AT10)/SQRT(AT4)</f>
        <v>0.20001422351237585</v>
      </c>
    </row>
    <row r="18" spans="1:47">
      <c r="A18" s="20">
        <v>28.2</v>
      </c>
      <c r="B18" s="20">
        <v>24.2</v>
      </c>
      <c r="C18" s="20">
        <v>251.2</v>
      </c>
      <c r="D18" s="21">
        <v>52.1</v>
      </c>
      <c r="E18" s="20">
        <v>142.6</v>
      </c>
      <c r="F18" s="18">
        <f t="shared" si="19"/>
        <v>7.1174677688639549E-3</v>
      </c>
      <c r="G18" s="18">
        <f t="shared" si="20"/>
        <v>1.2474174225175818E-2</v>
      </c>
      <c r="H18" s="18">
        <f t="shared" si="21"/>
        <v>3.9888365612327469E-3</v>
      </c>
      <c r="I18" s="18">
        <f t="shared" si="22"/>
        <v>1.7425416713859134E-2</v>
      </c>
      <c r="J18" s="18">
        <f t="shared" si="23"/>
        <v>2.485040905079838E-2</v>
      </c>
      <c r="K18" s="18">
        <f t="shared" si="24"/>
        <v>6.7043321756436163E-3</v>
      </c>
      <c r="L18" s="18">
        <f t="shared" si="25"/>
        <v>1.2061038631955479E-2</v>
      </c>
      <c r="M18" s="18">
        <f t="shared" si="26"/>
        <v>3.5757009680124079E-3</v>
      </c>
      <c r="N18" s="18">
        <f t="shared" si="27"/>
        <v>1.7012281120638795E-2</v>
      </c>
      <c r="O18" s="18">
        <f t="shared" si="28"/>
        <v>2.443727345757804E-2</v>
      </c>
      <c r="W18" s="18">
        <f t="shared" ca="1" si="29"/>
        <v>0.47</v>
      </c>
      <c r="X18" s="18">
        <f t="shared" ca="1" si="29"/>
        <v>0.44</v>
      </c>
      <c r="Y18" s="18">
        <f t="shared" ca="1" si="29"/>
        <v>0.56000000000000005</v>
      </c>
      <c r="Z18" s="18">
        <f t="shared" ca="1" si="29"/>
        <v>0.04</v>
      </c>
      <c r="AA18" s="18">
        <f t="shared" ca="1" si="29"/>
        <v>0.5</v>
      </c>
      <c r="AB18" s="18">
        <f t="shared" ca="1" si="3"/>
        <v>2.0099999999999998</v>
      </c>
      <c r="AC18" s="18">
        <f t="shared" ca="1" si="4"/>
        <v>0.2338308457711443</v>
      </c>
      <c r="AD18" s="18">
        <f t="shared" ca="1" si="5"/>
        <v>0.21890547263681595</v>
      </c>
      <c r="AE18" s="18">
        <f t="shared" ca="1" si="6"/>
        <v>0.27860696517412942</v>
      </c>
      <c r="AF18" s="18">
        <f t="shared" ca="1" si="7"/>
        <v>1.9900497512437814E-2</v>
      </c>
      <c r="AG18" s="18">
        <f t="shared" ca="1" si="8"/>
        <v>0.24875621890547267</v>
      </c>
      <c r="AH18" s="18">
        <f t="shared" ca="1" si="9"/>
        <v>1.0000000000000002</v>
      </c>
      <c r="AI18" s="18" cm="1">
        <f t="array" aca="1" ref="AI18" ca="1">MMULT(MMULT(AC18:AG18,$Q$2:$U$6),TRANSPOSE(AC18:AG18))</f>
        <v>1.7140027187543245E-4</v>
      </c>
      <c r="AJ18" s="18">
        <f t="shared" ca="1" si="10"/>
        <v>-5.3449933194603073E-3</v>
      </c>
      <c r="AK18" s="18">
        <f t="shared" ca="1" si="11"/>
        <v>-0.43982066451701285</v>
      </c>
      <c r="AL18" s="18">
        <f t="shared" ca="1" si="12"/>
        <v>-5.3449933194603073E-3</v>
      </c>
      <c r="AM18" s="18">
        <f t="shared" ca="1" si="13"/>
        <v>1.7140027187543245E-4</v>
      </c>
      <c r="AN18" s="18">
        <f t="shared" ca="1" si="14"/>
        <v>0.2338308457711443</v>
      </c>
      <c r="AO18" s="18">
        <f t="shared" ca="1" si="15"/>
        <v>0.21890547263681595</v>
      </c>
      <c r="AP18" s="18">
        <f t="shared" ca="1" si="16"/>
        <v>0.27860696517412942</v>
      </c>
      <c r="AQ18" s="18">
        <f t="shared" ca="1" si="17"/>
        <v>1.9900497512437814E-2</v>
      </c>
      <c r="AR18" s="18">
        <f t="shared" ca="1" si="18"/>
        <v>0.24875621890547267</v>
      </c>
      <c r="AS18" s="18" t="s">
        <v>58</v>
      </c>
      <c r="AT18" s="18" cm="1">
        <f t="array" ref="AT18">MMULT(MMULT(AU3:AY3,AU12:AY16), TRANSPOSE(AU3:AY3))</f>
        <v>2.9525616616831157E-4</v>
      </c>
    </row>
    <row r="19" spans="1:47">
      <c r="A19" s="20">
        <v>28.7</v>
      </c>
      <c r="B19" s="20">
        <v>24.3</v>
      </c>
      <c r="C19" s="20">
        <v>254</v>
      </c>
      <c r="D19" s="21">
        <v>54</v>
      </c>
      <c r="E19" s="20">
        <v>135</v>
      </c>
      <c r="F19" s="18">
        <f t="shared" si="19"/>
        <v>1.7575144821507491E-2</v>
      </c>
      <c r="G19" s="18">
        <f t="shared" si="20"/>
        <v>4.1237171838621562E-3</v>
      </c>
      <c r="H19" s="18">
        <f t="shared" si="21"/>
        <v>1.1084832424492914E-2</v>
      </c>
      <c r="I19" s="18">
        <f t="shared" si="22"/>
        <v>3.5819097804953057E-2</v>
      </c>
      <c r="J19" s="18">
        <f t="shared" si="23"/>
        <v>-5.4768729541766051E-2</v>
      </c>
      <c r="K19" s="18">
        <f t="shared" si="24"/>
        <v>1.7162009228287152E-2</v>
      </c>
      <c r="L19" s="18">
        <f t="shared" si="25"/>
        <v>3.7105815906418173E-3</v>
      </c>
      <c r="M19" s="18">
        <f t="shared" si="26"/>
        <v>1.0671696831272575E-2</v>
      </c>
      <c r="N19" s="18">
        <f t="shared" si="27"/>
        <v>3.5405962211732721E-2</v>
      </c>
      <c r="O19" s="18">
        <f t="shared" si="28"/>
        <v>-5.5181865134986387E-2</v>
      </c>
      <c r="W19" s="18">
        <f t="shared" ca="1" si="29"/>
        <v>0.37</v>
      </c>
      <c r="X19" s="18">
        <f t="shared" ca="1" si="29"/>
        <v>0.39</v>
      </c>
      <c r="Y19" s="18">
        <f t="shared" ca="1" si="29"/>
        <v>0.28000000000000003</v>
      </c>
      <c r="Z19" s="18">
        <f t="shared" ca="1" si="29"/>
        <v>0.79</v>
      </c>
      <c r="AA19" s="18">
        <f t="shared" ca="1" si="29"/>
        <v>0.91</v>
      </c>
      <c r="AB19" s="18">
        <f t="shared" ca="1" si="3"/>
        <v>2.74</v>
      </c>
      <c r="AC19" s="18">
        <f t="shared" ca="1" si="4"/>
        <v>0.13503649635036497</v>
      </c>
      <c r="AD19" s="18">
        <f t="shared" ca="1" si="5"/>
        <v>0.14233576642335766</v>
      </c>
      <c r="AE19" s="18">
        <f t="shared" ca="1" si="6"/>
        <v>0.10218978102189781</v>
      </c>
      <c r="AF19" s="18">
        <f t="shared" ca="1" si="7"/>
        <v>0.28832116788321166</v>
      </c>
      <c r="AG19" s="18">
        <f t="shared" ca="1" si="8"/>
        <v>0.33211678832116787</v>
      </c>
      <c r="AH19" s="18">
        <f t="shared" ca="1" si="9"/>
        <v>0.99999999999999989</v>
      </c>
      <c r="AI19" s="18" cm="1">
        <f t="array" aca="1" ref="AI19" ca="1">MMULT(MMULT(AC19:AG19,$Q$2:$U$6),TRANSPOSE(AC19:AG19))</f>
        <v>3.0577393756395504E-4</v>
      </c>
      <c r="AJ19" s="18">
        <f t="shared" ca="1" si="10"/>
        <v>6.6312789569474213E-4</v>
      </c>
      <c r="AK19" s="18">
        <f t="shared" ca="1" si="11"/>
        <v>1.4296390543877522E-2</v>
      </c>
      <c r="AL19" s="18">
        <f t="shared" ca="1" si="12"/>
        <v>6.6312789569474213E-4</v>
      </c>
      <c r="AM19" s="18">
        <f t="shared" ca="1" si="13"/>
        <v>3.0577393756395504E-4</v>
      </c>
      <c r="AN19" s="18">
        <f t="shared" ca="1" si="14"/>
        <v>0.13503649635036497</v>
      </c>
      <c r="AO19" s="18">
        <f t="shared" ca="1" si="15"/>
        <v>0.14233576642335766</v>
      </c>
      <c r="AP19" s="18">
        <f t="shared" ca="1" si="16"/>
        <v>0.10218978102189781</v>
      </c>
      <c r="AQ19" s="18">
        <f t="shared" ca="1" si="17"/>
        <v>0.28832116788321166</v>
      </c>
      <c r="AR19" s="18">
        <f t="shared" ca="1" si="18"/>
        <v>0.33211678832116787</v>
      </c>
      <c r="AS19" s="18" t="s">
        <v>59</v>
      </c>
      <c r="AT19" s="18">
        <f>SUMPRODUCT(AU3:AY3,AU2:AY2)</f>
        <v>-1.0142511663379576E-3</v>
      </c>
    </row>
    <row r="20" spans="1:47">
      <c r="A20" s="20">
        <v>28.5</v>
      </c>
      <c r="B20" s="20">
        <v>24.4</v>
      </c>
      <c r="C20" s="20">
        <v>255</v>
      </c>
      <c r="D20" s="21">
        <v>55</v>
      </c>
      <c r="E20" s="20">
        <v>122.8</v>
      </c>
      <c r="F20" s="18">
        <f t="shared" si="19"/>
        <v>-6.9930354909705254E-3</v>
      </c>
      <c r="G20" s="18">
        <f t="shared" si="20"/>
        <v>4.1067819526532812E-3</v>
      </c>
      <c r="H20" s="18">
        <f t="shared" si="21"/>
        <v>3.929278139889557E-3</v>
      </c>
      <c r="I20" s="18">
        <f t="shared" si="22"/>
        <v>1.8349138668196617E-2</v>
      </c>
      <c r="J20" s="18">
        <f t="shared" si="23"/>
        <v>-9.4717762725387428E-2</v>
      </c>
      <c r="K20" s="18">
        <f t="shared" si="24"/>
        <v>-7.4061710841908639E-3</v>
      </c>
      <c r="L20" s="18">
        <f t="shared" si="25"/>
        <v>3.6936463594329423E-3</v>
      </c>
      <c r="M20" s="18">
        <f t="shared" si="26"/>
        <v>3.516142546669218E-3</v>
      </c>
      <c r="N20" s="18">
        <f t="shared" si="27"/>
        <v>1.7936003074976278E-2</v>
      </c>
      <c r="O20" s="18">
        <f t="shared" si="28"/>
        <v>-9.5130898318607771E-2</v>
      </c>
      <c r="W20" s="18">
        <f t="shared" ca="1" si="29"/>
        <v>0.42</v>
      </c>
      <c r="X20" s="18">
        <f t="shared" ca="1" si="29"/>
        <v>0.85</v>
      </c>
      <c r="Y20" s="18">
        <f t="shared" ca="1" si="29"/>
        <v>0.83</v>
      </c>
      <c r="Z20" s="18">
        <f t="shared" ca="1" si="29"/>
        <v>0.69</v>
      </c>
      <c r="AA20" s="18">
        <f t="shared" ca="1" si="29"/>
        <v>0.79</v>
      </c>
      <c r="AB20" s="18">
        <f t="shared" ca="1" si="3"/>
        <v>3.58</v>
      </c>
      <c r="AC20" s="18">
        <f t="shared" ca="1" si="4"/>
        <v>0.11731843575418993</v>
      </c>
      <c r="AD20" s="18">
        <f t="shared" ca="1" si="5"/>
        <v>0.23743016759776536</v>
      </c>
      <c r="AE20" s="18">
        <f t="shared" ca="1" si="6"/>
        <v>0.23184357541899439</v>
      </c>
      <c r="AF20" s="18">
        <f t="shared" ca="1" si="7"/>
        <v>0.19273743016759776</v>
      </c>
      <c r="AG20" s="18">
        <f t="shared" ca="1" si="8"/>
        <v>0.22067039106145253</v>
      </c>
      <c r="AH20" s="18">
        <f t="shared" ca="1" si="9"/>
        <v>1</v>
      </c>
      <c r="AI20" s="18" cm="1">
        <f t="array" aca="1" ref="AI20" ca="1">MMULT(MMULT(AC20:AG20,$Q$2:$U$6),TRANSPOSE(AC20:AG20))</f>
        <v>1.9540155357387795E-4</v>
      </c>
      <c r="AJ20" s="18">
        <f t="shared" ca="1" si="10"/>
        <v>-4.1148050424828532E-3</v>
      </c>
      <c r="AK20" s="18">
        <f t="shared" ca="1" si="11"/>
        <v>-0.32391922013985769</v>
      </c>
      <c r="AL20" s="18">
        <f t="shared" ca="1" si="12"/>
        <v>-4.1148050424828532E-3</v>
      </c>
      <c r="AM20" s="18">
        <f t="shared" ca="1" si="13"/>
        <v>1.9540155357387795E-4</v>
      </c>
      <c r="AN20" s="18">
        <f t="shared" ca="1" si="14"/>
        <v>0.11731843575418993</v>
      </c>
      <c r="AO20" s="18">
        <f t="shared" ca="1" si="15"/>
        <v>0.23743016759776536</v>
      </c>
      <c r="AP20" s="18">
        <f t="shared" ca="1" si="16"/>
        <v>0.23184357541899439</v>
      </c>
      <c r="AQ20" s="18">
        <f t="shared" ca="1" si="17"/>
        <v>0.19273743016759776</v>
      </c>
      <c r="AR20" s="18">
        <f t="shared" ca="1" si="18"/>
        <v>0.22067039106145253</v>
      </c>
    </row>
    <row r="21" spans="1:47">
      <c r="A21" s="20">
        <v>28.7</v>
      </c>
      <c r="B21" s="20">
        <v>24.5</v>
      </c>
      <c r="C21" s="20">
        <v>257.5</v>
      </c>
      <c r="D21" s="21">
        <v>54.5</v>
      </c>
      <c r="E21" s="20">
        <v>121.4</v>
      </c>
      <c r="F21" s="18">
        <f t="shared" si="19"/>
        <v>6.9930354909706043E-3</v>
      </c>
      <c r="G21" s="18">
        <f t="shared" si="20"/>
        <v>4.0899852515250664E-3</v>
      </c>
      <c r="H21" s="18">
        <f t="shared" si="21"/>
        <v>9.7561749453646558E-3</v>
      </c>
      <c r="I21" s="18">
        <f t="shared" si="22"/>
        <v>-9.1324835632724741E-3</v>
      </c>
      <c r="J21" s="18">
        <f t="shared" si="23"/>
        <v>-1.1466137087644093E-2</v>
      </c>
      <c r="K21" s="18">
        <f t="shared" si="24"/>
        <v>6.5798998977502649E-3</v>
      </c>
      <c r="L21" s="18">
        <f t="shared" si="25"/>
        <v>3.6768496583047274E-3</v>
      </c>
      <c r="M21" s="18">
        <f t="shared" si="26"/>
        <v>9.3430393521443163E-3</v>
      </c>
      <c r="N21" s="18">
        <f t="shared" si="27"/>
        <v>-9.5456191564928135E-3</v>
      </c>
      <c r="O21" s="18">
        <f t="shared" si="28"/>
        <v>-1.1879272680864432E-2</v>
      </c>
      <c r="W21" s="18">
        <f ca="1">RANDBETWEEN(1,100)/100</f>
        <v>0.27</v>
      </c>
      <c r="X21" s="18">
        <f t="shared" ca="1" si="29"/>
        <v>0.21</v>
      </c>
      <c r="Y21" s="18">
        <f t="shared" ca="1" si="29"/>
        <v>0.66</v>
      </c>
      <c r="Z21" s="18">
        <f t="shared" ca="1" si="29"/>
        <v>0.2</v>
      </c>
      <c r="AA21" s="18">
        <f t="shared" ca="1" si="29"/>
        <v>0.73</v>
      </c>
      <c r="AB21" s="18">
        <f t="shared" ca="1" si="3"/>
        <v>2.0700000000000003</v>
      </c>
      <c r="AC21" s="18">
        <f t="shared" ca="1" si="4"/>
        <v>0.13043478260869565</v>
      </c>
      <c r="AD21" s="18">
        <f t="shared" ca="1" si="5"/>
        <v>0.10144927536231882</v>
      </c>
      <c r="AE21" s="18">
        <f t="shared" ca="1" si="6"/>
        <v>0.3188405797101449</v>
      </c>
      <c r="AF21" s="18">
        <f t="shared" ca="1" si="7"/>
        <v>9.6618357487922704E-2</v>
      </c>
      <c r="AG21" s="18">
        <f t="shared" ca="1" si="8"/>
        <v>0.35265700483091783</v>
      </c>
      <c r="AH21" s="18">
        <f t="shared" ca="1" si="9"/>
        <v>1</v>
      </c>
      <c r="AI21" s="18" cm="1">
        <f t="array" aca="1" ref="AI21" ca="1">MMULT(MMULT(AC21:AG21,$Q$2:$U$6),TRANSPOSE(AC21:AG21))</f>
        <v>2.4337198776111583E-4</v>
      </c>
      <c r="AJ21" s="18">
        <f t="shared" ca="1" si="10"/>
        <v>-4.2435845020051431E-3</v>
      </c>
      <c r="AK21" s="18">
        <f t="shared" ca="1" si="11"/>
        <v>-0.29850034653240787</v>
      </c>
      <c r="AL21" s="18">
        <f t="shared" ca="1" si="12"/>
        <v>-4.2435845020051431E-3</v>
      </c>
      <c r="AM21" s="18">
        <f t="shared" ca="1" si="13"/>
        <v>2.4337198776111583E-4</v>
      </c>
      <c r="AN21" s="18">
        <f t="shared" ca="1" si="14"/>
        <v>0.13043478260869565</v>
      </c>
      <c r="AO21" s="18">
        <f t="shared" ca="1" si="15"/>
        <v>0.10144927536231882</v>
      </c>
      <c r="AP21" s="18">
        <f t="shared" ca="1" si="16"/>
        <v>0.3188405797101449</v>
      </c>
      <c r="AQ21" s="18">
        <f t="shared" ca="1" si="17"/>
        <v>9.6618357487922704E-2</v>
      </c>
      <c r="AR21" s="18">
        <f t="shared" ca="1" si="18"/>
        <v>0.35265700483091783</v>
      </c>
      <c r="AS21" s="18" t="s">
        <v>60</v>
      </c>
    </row>
    <row r="22" spans="1:47">
      <c r="A22" s="20">
        <v>28.6</v>
      </c>
      <c r="B22" s="20">
        <v>24.4</v>
      </c>
      <c r="C22" s="20">
        <v>256.7</v>
      </c>
      <c r="D22" s="21">
        <v>53</v>
      </c>
      <c r="E22" s="20">
        <v>123.6</v>
      </c>
      <c r="F22" s="18">
        <f t="shared" si="19"/>
        <v>-3.4904049397684908E-3</v>
      </c>
      <c r="G22" s="18">
        <f t="shared" si="20"/>
        <v>-4.0899852515251661E-3</v>
      </c>
      <c r="H22" s="18">
        <f t="shared" si="21"/>
        <v>-3.1116322266961406E-3</v>
      </c>
      <c r="I22" s="18">
        <f t="shared" si="22"/>
        <v>-2.7908788117076502E-2</v>
      </c>
      <c r="J22" s="18">
        <f t="shared" si="23"/>
        <v>1.7959666398192423E-2</v>
      </c>
      <c r="K22" s="18">
        <f t="shared" si="24"/>
        <v>-3.9035405329888298E-3</v>
      </c>
      <c r="L22" s="18">
        <f t="shared" si="25"/>
        <v>-4.5031208447455055E-3</v>
      </c>
      <c r="M22" s="18">
        <f t="shared" si="26"/>
        <v>-3.5247678199164796E-3</v>
      </c>
      <c r="N22" s="18">
        <f t="shared" si="27"/>
        <v>-2.8321923710296841E-2</v>
      </c>
      <c r="O22" s="18">
        <f t="shared" si="28"/>
        <v>1.7546530804972083E-2</v>
      </c>
      <c r="W22" s="18">
        <f t="shared" ca="1" si="29"/>
        <v>0.72</v>
      </c>
      <c r="X22" s="18">
        <f t="shared" ca="1" si="29"/>
        <v>0.86</v>
      </c>
      <c r="Y22" s="18">
        <f t="shared" ca="1" si="29"/>
        <v>0.6</v>
      </c>
      <c r="Z22" s="18">
        <f t="shared" ca="1" si="29"/>
        <v>0.31</v>
      </c>
      <c r="AA22" s="18">
        <f t="shared" ca="1" si="29"/>
        <v>0.56999999999999995</v>
      </c>
      <c r="AB22" s="18">
        <f t="shared" ca="1" si="3"/>
        <v>3.06</v>
      </c>
      <c r="AC22" s="18">
        <f t="shared" ca="1" si="4"/>
        <v>0.23529411764705882</v>
      </c>
      <c r="AD22" s="18">
        <f t="shared" ca="1" si="5"/>
        <v>0.28104575163398693</v>
      </c>
      <c r="AE22" s="18">
        <f t="shared" ca="1" si="6"/>
        <v>0.19607843137254902</v>
      </c>
      <c r="AF22" s="18">
        <f t="shared" ca="1" si="7"/>
        <v>0.10130718954248366</v>
      </c>
      <c r="AG22" s="18">
        <f t="shared" ca="1" si="8"/>
        <v>0.18627450980392155</v>
      </c>
      <c r="AH22" s="18">
        <f t="shared" ca="1" si="9"/>
        <v>0.99999999999999989</v>
      </c>
      <c r="AI22" s="18" cm="1">
        <f t="array" aca="1" ref="AI22" ca="1">MMULT(MMULT(AC22:AG22,$Q$2:$U$6),TRANSPOSE(AC22:AG22))</f>
        <v>1.616326197985644E-4</v>
      </c>
      <c r="AJ22" s="18">
        <f t="shared" ca="1" si="10"/>
        <v>-4.1612322257375779E-3</v>
      </c>
      <c r="AK22" s="18">
        <f t="shared" ca="1" si="11"/>
        <v>-0.35980448836879164</v>
      </c>
      <c r="AL22" s="18">
        <f t="shared" ca="1" si="12"/>
        <v>-4.1612322257375779E-3</v>
      </c>
      <c r="AM22" s="18">
        <f t="shared" ca="1" si="13"/>
        <v>1.616326197985644E-4</v>
      </c>
      <c r="AN22" s="18">
        <f t="shared" ca="1" si="14"/>
        <v>0.23529411764705882</v>
      </c>
      <c r="AO22" s="18">
        <f t="shared" ca="1" si="15"/>
        <v>0.28104575163398693</v>
      </c>
      <c r="AP22" s="18">
        <f t="shared" ca="1" si="16"/>
        <v>0.19607843137254902</v>
      </c>
      <c r="AQ22" s="18">
        <f t="shared" ca="1" si="17"/>
        <v>0.10130718954248366</v>
      </c>
      <c r="AR22" s="18">
        <f t="shared" ca="1" si="18"/>
        <v>0.18627450980392155</v>
      </c>
      <c r="AS22" s="18" t="s">
        <v>61</v>
      </c>
      <c r="AT22" s="18">
        <f>(1+AT19) ^235</f>
        <v>0.78783233959815635</v>
      </c>
    </row>
    <row r="23" spans="1:47">
      <c r="A23" s="20">
        <v>28</v>
      </c>
      <c r="B23" s="20">
        <v>23.9</v>
      </c>
      <c r="C23" s="20">
        <v>249.4</v>
      </c>
      <c r="D23" s="21">
        <v>53.2</v>
      </c>
      <c r="E23" s="20">
        <v>124</v>
      </c>
      <c r="F23" s="18">
        <f t="shared" si="19"/>
        <v>-2.1202207650603051E-2</v>
      </c>
      <c r="G23" s="18">
        <f t="shared" si="20"/>
        <v>-2.0704673361691166E-2</v>
      </c>
      <c r="H23" s="18">
        <f t="shared" si="21"/>
        <v>-2.8850054631158625E-2</v>
      </c>
      <c r="I23" s="18">
        <f t="shared" si="22"/>
        <v>3.7664827954768648E-3</v>
      </c>
      <c r="J23" s="18">
        <f t="shared" si="23"/>
        <v>3.23102058144654E-3</v>
      </c>
      <c r="K23" s="18">
        <f t="shared" si="24"/>
        <v>-2.1615343243823391E-2</v>
      </c>
      <c r="L23" s="18">
        <f t="shared" si="25"/>
        <v>-2.1117808954911506E-2</v>
      </c>
      <c r="M23" s="18">
        <f t="shared" si="26"/>
        <v>-2.9263190224378965E-2</v>
      </c>
      <c r="N23" s="18">
        <f t="shared" si="27"/>
        <v>3.3533472022565258E-3</v>
      </c>
      <c r="O23" s="18">
        <f t="shared" si="28"/>
        <v>2.8178849882262011E-3</v>
      </c>
      <c r="W23" s="18">
        <f t="shared" ca="1" si="29"/>
        <v>0.16</v>
      </c>
      <c r="X23" s="18">
        <f t="shared" ca="1" si="29"/>
        <v>0.99</v>
      </c>
      <c r="Y23" s="18">
        <f t="shared" ca="1" si="29"/>
        <v>0.4</v>
      </c>
      <c r="Z23" s="18">
        <f t="shared" ca="1" si="29"/>
        <v>0.7</v>
      </c>
      <c r="AA23" s="18">
        <f t="shared" ca="1" si="29"/>
        <v>0.68</v>
      </c>
      <c r="AB23" s="18">
        <f t="shared" ca="1" si="3"/>
        <v>2.93</v>
      </c>
      <c r="AC23" s="18">
        <f t="shared" ca="1" si="4"/>
        <v>5.4607508532423209E-2</v>
      </c>
      <c r="AD23" s="18">
        <f t="shared" ca="1" si="5"/>
        <v>0.33788395904436858</v>
      </c>
      <c r="AE23" s="18">
        <f t="shared" ca="1" si="6"/>
        <v>0.13651877133105803</v>
      </c>
      <c r="AF23" s="18">
        <f t="shared" ca="1" si="7"/>
        <v>0.23890784982935151</v>
      </c>
      <c r="AG23" s="18">
        <f t="shared" ca="1" si="8"/>
        <v>0.23208191126279865</v>
      </c>
      <c r="AH23" s="18">
        <f t="shared" ca="1" si="9"/>
        <v>1</v>
      </c>
      <c r="AI23" s="18" cm="1">
        <f t="array" aca="1" ref="AI23" ca="1">MMULT(MMULT(AC23:AG23,$Q$2:$U$6),TRANSPOSE(AC23:AG23))</f>
        <v>2.2983864893004919E-4</v>
      </c>
      <c r="AJ23" s="18">
        <f t="shared" ca="1" si="10"/>
        <v>-3.8190866894703291E-3</v>
      </c>
      <c r="AK23" s="18">
        <f t="shared" ca="1" si="11"/>
        <v>-0.27916241030616701</v>
      </c>
      <c r="AL23" s="18">
        <f t="shared" ca="1" si="12"/>
        <v>-3.8190866894703291E-3</v>
      </c>
      <c r="AM23" s="18">
        <f t="shared" ca="1" si="13"/>
        <v>2.2983864893004919E-4</v>
      </c>
      <c r="AN23" s="18">
        <f t="shared" ca="1" si="14"/>
        <v>5.4607508532423209E-2</v>
      </c>
      <c r="AO23" s="18">
        <f t="shared" ca="1" si="15"/>
        <v>0.33788395904436858</v>
      </c>
      <c r="AP23" s="18">
        <f t="shared" ca="1" si="16"/>
        <v>0.13651877133105803</v>
      </c>
      <c r="AQ23" s="18">
        <f t="shared" ca="1" si="17"/>
        <v>0.23890784982935151</v>
      </c>
      <c r="AR23" s="18">
        <f t="shared" ca="1" si="18"/>
        <v>0.23208191126279865</v>
      </c>
      <c r="AS23" s="18" t="s">
        <v>62</v>
      </c>
      <c r="AT23" s="22">
        <f>AT22-(1+AT10)</f>
        <v>-0.21258255401886483</v>
      </c>
    </row>
    <row r="24" spans="1:47">
      <c r="A24" s="20">
        <v>27.7</v>
      </c>
      <c r="B24" s="20">
        <v>23.8</v>
      </c>
      <c r="C24" s="20">
        <v>249.4</v>
      </c>
      <c r="D24" s="21">
        <v>50.3</v>
      </c>
      <c r="E24" s="20">
        <v>118.5</v>
      </c>
      <c r="F24" s="18">
        <f t="shared" si="19"/>
        <v>-1.0772096981911183E-2</v>
      </c>
      <c r="G24" s="18">
        <f t="shared" si="20"/>
        <v>-4.1928782600359274E-3</v>
      </c>
      <c r="H24" s="18">
        <f t="shared" si="21"/>
        <v>0</v>
      </c>
      <c r="I24" s="18">
        <f t="shared" si="22"/>
        <v>-5.6053319241905306E-2</v>
      </c>
      <c r="J24" s="18">
        <f t="shared" si="23"/>
        <v>-4.5368605029850947E-2</v>
      </c>
      <c r="K24" s="18">
        <f t="shared" si="24"/>
        <v>-1.1185232575131522E-2</v>
      </c>
      <c r="L24" s="18">
        <f t="shared" si="25"/>
        <v>-4.6060138532562668E-3</v>
      </c>
      <c r="M24" s="18">
        <f t="shared" si="26"/>
        <v>-4.1313559322033898E-4</v>
      </c>
      <c r="N24" s="18">
        <f t="shared" si="27"/>
        <v>-5.6466454835125642E-2</v>
      </c>
      <c r="O24" s="18">
        <f t="shared" si="28"/>
        <v>-4.5781740623071283E-2</v>
      </c>
      <c r="W24" s="18">
        <f t="shared" ca="1" si="29"/>
        <v>0.45</v>
      </c>
      <c r="X24" s="18">
        <f t="shared" ca="1" si="29"/>
        <v>0.99</v>
      </c>
      <c r="Y24" s="18">
        <f t="shared" ca="1" si="29"/>
        <v>0.6</v>
      </c>
      <c r="Z24" s="18">
        <f t="shared" ca="1" si="29"/>
        <v>0.94</v>
      </c>
      <c r="AA24" s="18">
        <f t="shared" ca="1" si="29"/>
        <v>0.34</v>
      </c>
      <c r="AB24" s="18">
        <f t="shared" ca="1" si="3"/>
        <v>3.32</v>
      </c>
      <c r="AC24" s="18">
        <f t="shared" ca="1" si="4"/>
        <v>0.13554216867469882</v>
      </c>
      <c r="AD24" s="18">
        <f t="shared" ca="1" si="5"/>
        <v>0.29819277108433734</v>
      </c>
      <c r="AE24" s="18">
        <f t="shared" ca="1" si="6"/>
        <v>0.18072289156626506</v>
      </c>
      <c r="AF24" s="18">
        <f t="shared" ca="1" si="7"/>
        <v>0.28313253012048195</v>
      </c>
      <c r="AG24" s="18">
        <f t="shared" ca="1" si="8"/>
        <v>0.10240963855421688</v>
      </c>
      <c r="AH24" s="18">
        <f t="shared" ca="1" si="9"/>
        <v>1</v>
      </c>
      <c r="AI24" s="18" cm="1">
        <f t="array" aca="1" ref="AI24" ca="1">MMULT(MMULT(AC24:AG24,$Q$2:$U$6),TRANSPOSE(AC24:AG24))</f>
        <v>2.0947272429852224E-4</v>
      </c>
      <c r="AJ24" s="18">
        <f t="shared" ca="1" si="10"/>
        <v>-3.3900398774148227E-3</v>
      </c>
      <c r="AK24" s="18">
        <f t="shared" ca="1" si="11"/>
        <v>-0.26277413965174468</v>
      </c>
      <c r="AL24" s="18">
        <f t="shared" ca="1" si="12"/>
        <v>-3.3900398774148227E-3</v>
      </c>
      <c r="AM24" s="18">
        <f t="shared" ca="1" si="13"/>
        <v>2.0947272429852224E-4</v>
      </c>
      <c r="AN24" s="18">
        <f t="shared" ca="1" si="14"/>
        <v>0.13554216867469882</v>
      </c>
      <c r="AO24" s="18">
        <f t="shared" ca="1" si="15"/>
        <v>0.29819277108433734</v>
      </c>
      <c r="AP24" s="18">
        <f t="shared" ca="1" si="16"/>
        <v>0.18072289156626506</v>
      </c>
      <c r="AQ24" s="18">
        <f t="shared" ca="1" si="17"/>
        <v>0.28313253012048195</v>
      </c>
      <c r="AR24" s="18">
        <f t="shared" ca="1" si="18"/>
        <v>0.10240963855421688</v>
      </c>
      <c r="AS24" s="18" t="s">
        <v>63</v>
      </c>
      <c r="AT24" s="18">
        <f>(1+AT18) ^ 235</f>
        <v>1.0718380279057969</v>
      </c>
    </row>
    <row r="25" spans="1:47">
      <c r="A25" s="20">
        <v>28</v>
      </c>
      <c r="B25" s="20">
        <v>24</v>
      </c>
      <c r="C25" s="20">
        <v>251.9</v>
      </c>
      <c r="D25" s="21">
        <v>52.2</v>
      </c>
      <c r="E25" s="20">
        <v>107.8</v>
      </c>
      <c r="F25" s="18">
        <f t="shared" si="19"/>
        <v>1.077209698191104E-2</v>
      </c>
      <c r="G25" s="18">
        <f t="shared" si="20"/>
        <v>8.3682496705165792E-3</v>
      </c>
      <c r="H25" s="18">
        <f t="shared" si="21"/>
        <v>9.9741501126284805E-3</v>
      </c>
      <c r="I25" s="18">
        <f t="shared" si="22"/>
        <v>3.7077417782899656E-2</v>
      </c>
      <c r="J25" s="18">
        <f t="shared" si="23"/>
        <v>-9.4635302100289184E-2</v>
      </c>
      <c r="K25" s="18">
        <f t="shared" si="24"/>
        <v>1.0358961388690701E-2</v>
      </c>
      <c r="L25" s="18">
        <f t="shared" si="25"/>
        <v>7.9551140772962398E-3</v>
      </c>
      <c r="M25" s="18">
        <f t="shared" si="26"/>
        <v>9.5610145194081411E-3</v>
      </c>
      <c r="N25" s="18">
        <f t="shared" si="27"/>
        <v>3.666428218967932E-2</v>
      </c>
      <c r="O25" s="18">
        <f t="shared" si="28"/>
        <v>-9.5048437693509527E-2</v>
      </c>
      <c r="W25" s="18">
        <f t="shared" ca="1" si="29"/>
        <v>0.73</v>
      </c>
      <c r="X25" s="18">
        <f t="shared" ca="1" si="29"/>
        <v>0.52</v>
      </c>
      <c r="Y25" s="18">
        <f t="shared" ca="1" si="29"/>
        <v>0.73</v>
      </c>
      <c r="Z25" s="18">
        <f t="shared" ca="1" si="29"/>
        <v>0.16</v>
      </c>
      <c r="AA25" s="18">
        <f t="shared" ca="1" si="29"/>
        <v>0.59</v>
      </c>
      <c r="AB25" s="18">
        <f t="shared" ca="1" si="3"/>
        <v>2.73</v>
      </c>
      <c r="AC25" s="18">
        <f t="shared" ca="1" si="4"/>
        <v>0.26739926739926739</v>
      </c>
      <c r="AD25" s="18">
        <f t="shared" ca="1" si="5"/>
        <v>0.19047619047619049</v>
      </c>
      <c r="AE25" s="18">
        <f t="shared" ca="1" si="6"/>
        <v>0.26739926739926739</v>
      </c>
      <c r="AF25" s="18">
        <f t="shared" ca="1" si="7"/>
        <v>5.8608058608058608E-2</v>
      </c>
      <c r="AG25" s="18">
        <f t="shared" ca="1" si="8"/>
        <v>0.2161172161172161</v>
      </c>
      <c r="AH25" s="18">
        <f t="shared" ca="1" si="9"/>
        <v>1</v>
      </c>
      <c r="AI25" s="18" cm="1">
        <f t="array" aca="1" ref="AI25" ca="1">MMULT(MMULT(AC25:AG25,$Q$2:$U$6),TRANSPOSE(AC25:AG25))</f>
        <v>1.603962412435941E-4</v>
      </c>
      <c r="AJ25" s="18">
        <f t="shared" ca="1" si="10"/>
        <v>-4.2605558456859111E-3</v>
      </c>
      <c r="AK25" s="18">
        <f t="shared" ca="1" si="11"/>
        <v>-0.36903107908937416</v>
      </c>
      <c r="AL25" s="18">
        <f t="shared" ca="1" si="12"/>
        <v>-4.2605558456859111E-3</v>
      </c>
      <c r="AM25" s="18">
        <f t="shared" ca="1" si="13"/>
        <v>1.603962412435941E-4</v>
      </c>
      <c r="AN25" s="18">
        <f t="shared" ca="1" si="14"/>
        <v>0.26739926739926739</v>
      </c>
      <c r="AO25" s="18">
        <f t="shared" ca="1" si="15"/>
        <v>0.19047619047619049</v>
      </c>
      <c r="AP25" s="18">
        <f t="shared" ca="1" si="16"/>
        <v>0.26739926739926739</v>
      </c>
      <c r="AQ25" s="18">
        <f t="shared" ca="1" si="17"/>
        <v>5.8608058608058608E-2</v>
      </c>
      <c r="AR25" s="18">
        <f t="shared" ca="1" si="18"/>
        <v>0.2161172161172161</v>
      </c>
      <c r="AT25" s="18">
        <f>AT23/AT24</f>
        <v>-0.19833458832788173</v>
      </c>
    </row>
    <row r="26" spans="1:47">
      <c r="A26" s="20">
        <v>27.6</v>
      </c>
      <c r="B26" s="20">
        <v>23.9</v>
      </c>
      <c r="C26" s="20">
        <v>244.4</v>
      </c>
      <c r="D26" s="21">
        <v>48.8</v>
      </c>
      <c r="E26" s="20">
        <v>98</v>
      </c>
      <c r="F26" s="18">
        <f t="shared" si="19"/>
        <v>-1.4388737452099556E-2</v>
      </c>
      <c r="G26" s="18">
        <f t="shared" si="20"/>
        <v>-4.1753714104807334E-3</v>
      </c>
      <c r="H26" s="18">
        <f t="shared" si="21"/>
        <v>-3.022595606112425E-2</v>
      </c>
      <c r="I26" s="18">
        <f t="shared" si="22"/>
        <v>-6.7352182029491656E-2</v>
      </c>
      <c r="J26" s="18">
        <f t="shared" si="23"/>
        <v>-9.5310179804324893E-2</v>
      </c>
      <c r="K26" s="18">
        <f t="shared" si="24"/>
        <v>-1.4801873045319896E-2</v>
      </c>
      <c r="L26" s="18">
        <f t="shared" si="25"/>
        <v>-4.5885070037010728E-3</v>
      </c>
      <c r="M26" s="18">
        <f t="shared" si="26"/>
        <v>-3.0639091654344589E-2</v>
      </c>
      <c r="N26" s="18">
        <f t="shared" si="27"/>
        <v>-6.7765317622711999E-2</v>
      </c>
      <c r="O26" s="18">
        <f t="shared" si="28"/>
        <v>-9.5723315397545236E-2</v>
      </c>
      <c r="W26" s="18">
        <f t="shared" ca="1" si="29"/>
        <v>0.17</v>
      </c>
      <c r="X26" s="18">
        <f t="shared" ca="1" si="29"/>
        <v>0.03</v>
      </c>
      <c r="Y26" s="18">
        <f t="shared" ca="1" si="29"/>
        <v>0.46</v>
      </c>
      <c r="Z26" s="18">
        <f t="shared" ca="1" si="29"/>
        <v>7.0000000000000007E-2</v>
      </c>
      <c r="AA26" s="18">
        <f t="shared" ca="1" si="29"/>
        <v>0.34</v>
      </c>
      <c r="AB26" s="18">
        <f t="shared" ca="1" si="3"/>
        <v>1.07</v>
      </c>
      <c r="AC26" s="18">
        <f t="shared" ca="1" si="4"/>
        <v>0.15887850467289719</v>
      </c>
      <c r="AD26" s="18">
        <f t="shared" ca="1" si="5"/>
        <v>2.803738317757009E-2</v>
      </c>
      <c r="AE26" s="18">
        <f t="shared" ca="1" si="6"/>
        <v>0.42990654205607476</v>
      </c>
      <c r="AF26" s="18">
        <f t="shared" ca="1" si="7"/>
        <v>6.5420560747663559E-2</v>
      </c>
      <c r="AG26" s="18">
        <f t="shared" ca="1" si="8"/>
        <v>0.31775700934579437</v>
      </c>
      <c r="AH26" s="18">
        <f t="shared" ca="1" si="9"/>
        <v>1</v>
      </c>
      <c r="AI26" s="18" cm="1">
        <f t="array" aca="1" ref="AI26" ca="1">MMULT(MMULT(AC26:AG26,$Q$2:$U$6),TRANSPOSE(AC26:AG26))</f>
        <v>2.1679965144441585E-4</v>
      </c>
      <c r="AJ26" s="18">
        <f t="shared" ca="1" si="10"/>
        <v>-5.3385861589819346E-3</v>
      </c>
      <c r="AK26" s="18">
        <f t="shared" ca="1" si="11"/>
        <v>-0.39063268473451002</v>
      </c>
      <c r="AL26" s="18">
        <f t="shared" ca="1" si="12"/>
        <v>-5.3385861589819346E-3</v>
      </c>
      <c r="AM26" s="18">
        <f t="shared" ca="1" si="13"/>
        <v>2.1679965144441585E-4</v>
      </c>
      <c r="AN26" s="18">
        <f t="shared" ca="1" si="14"/>
        <v>0.15887850467289719</v>
      </c>
      <c r="AO26" s="18">
        <f t="shared" ca="1" si="15"/>
        <v>2.803738317757009E-2</v>
      </c>
      <c r="AP26" s="18">
        <f t="shared" ca="1" si="16"/>
        <v>0.42990654205607476</v>
      </c>
      <c r="AQ26" s="18">
        <f t="shared" ca="1" si="17"/>
        <v>6.5420560747663559E-2</v>
      </c>
      <c r="AR26" s="18">
        <f t="shared" ca="1" si="18"/>
        <v>0.31775700934579437</v>
      </c>
    </row>
    <row r="27" spans="1:47">
      <c r="A27" s="20">
        <v>27.3</v>
      </c>
      <c r="B27" s="20">
        <v>23.6</v>
      </c>
      <c r="C27" s="20">
        <v>241.5</v>
      </c>
      <c r="D27" s="21">
        <v>49.8</v>
      </c>
      <c r="E27" s="20">
        <v>96.1</v>
      </c>
      <c r="F27" s="18">
        <f t="shared" si="19"/>
        <v>-1.0929070532190317E-2</v>
      </c>
      <c r="G27" s="18">
        <f t="shared" si="20"/>
        <v>-1.2631746905900462E-2</v>
      </c>
      <c r="H27" s="18">
        <f t="shared" si="21"/>
        <v>-1.19367542048129E-2</v>
      </c>
      <c r="I27" s="18">
        <f t="shared" si="22"/>
        <v>2.0284671171505717E-2</v>
      </c>
      <c r="J27" s="18">
        <f t="shared" si="23"/>
        <v>-1.9578162694325121E-2</v>
      </c>
      <c r="K27" s="18">
        <f t="shared" si="24"/>
        <v>-1.1342206125410656E-2</v>
      </c>
      <c r="L27" s="18">
        <f t="shared" si="25"/>
        <v>-1.3044882499120801E-2</v>
      </c>
      <c r="M27" s="18">
        <f t="shared" si="26"/>
        <v>-1.2349889798033239E-2</v>
      </c>
      <c r="N27" s="18">
        <f t="shared" si="27"/>
        <v>1.9871535578285377E-2</v>
      </c>
      <c r="O27" s="18">
        <f t="shared" si="28"/>
        <v>-1.9991298287545461E-2</v>
      </c>
      <c r="W27" s="18">
        <f t="shared" ca="1" si="29"/>
        <v>0.77</v>
      </c>
      <c r="X27" s="18">
        <f t="shared" ca="1" si="29"/>
        <v>0.67</v>
      </c>
      <c r="Y27" s="18">
        <f t="shared" ca="1" si="29"/>
        <v>0.96</v>
      </c>
      <c r="Z27" s="18">
        <f t="shared" ca="1" si="29"/>
        <v>0.31</v>
      </c>
      <c r="AA27" s="18">
        <f t="shared" ca="1" si="29"/>
        <v>0.56999999999999995</v>
      </c>
      <c r="AB27" s="18">
        <f t="shared" ca="1" si="3"/>
        <v>3.28</v>
      </c>
      <c r="AC27" s="18">
        <f t="shared" ca="1" si="4"/>
        <v>0.23475609756097562</v>
      </c>
      <c r="AD27" s="18">
        <f t="shared" ca="1" si="5"/>
        <v>0.20426829268292684</v>
      </c>
      <c r="AE27" s="18">
        <f t="shared" ca="1" si="6"/>
        <v>0.29268292682926828</v>
      </c>
      <c r="AF27" s="18">
        <f t="shared" ca="1" si="7"/>
        <v>9.451219512195122E-2</v>
      </c>
      <c r="AG27" s="18">
        <f t="shared" ca="1" si="8"/>
        <v>0.17378048780487804</v>
      </c>
      <c r="AH27" s="18">
        <f t="shared" ca="1" si="9"/>
        <v>1</v>
      </c>
      <c r="AI27" s="18" cm="1">
        <f t="array" aca="1" ref="AI27" ca="1">MMULT(MMULT(AC27:AG27,$Q$2:$U$6),TRANSPOSE(AC27:AG27))</f>
        <v>1.4972046972936223E-4</v>
      </c>
      <c r="AJ27" s="18">
        <f t="shared" ca="1" si="10"/>
        <v>-4.8910520589815036E-3</v>
      </c>
      <c r="AK27" s="18">
        <f t="shared" ca="1" si="11"/>
        <v>-0.43348920779864714</v>
      </c>
      <c r="AL27" s="18">
        <f t="shared" ca="1" si="12"/>
        <v>-4.8910520589815036E-3</v>
      </c>
      <c r="AM27" s="18">
        <f t="shared" ca="1" si="13"/>
        <v>1.4972046972936223E-4</v>
      </c>
      <c r="AN27" s="18">
        <f t="shared" ca="1" si="14"/>
        <v>0.23475609756097562</v>
      </c>
      <c r="AO27" s="18">
        <f t="shared" ca="1" si="15"/>
        <v>0.20426829268292684</v>
      </c>
      <c r="AP27" s="18">
        <f t="shared" ca="1" si="16"/>
        <v>0.29268292682926828</v>
      </c>
      <c r="AQ27" s="18">
        <f t="shared" ca="1" si="17"/>
        <v>9.451219512195122E-2</v>
      </c>
      <c r="AR27" s="18">
        <f t="shared" ca="1" si="18"/>
        <v>0.17378048780487804</v>
      </c>
    </row>
    <row r="28" spans="1:47">
      <c r="A28" s="20">
        <v>27</v>
      </c>
      <c r="B28" s="20">
        <v>23.4</v>
      </c>
      <c r="C28" s="20">
        <v>240.4</v>
      </c>
      <c r="D28" s="21">
        <v>47.5</v>
      </c>
      <c r="E28" s="20">
        <v>94.5</v>
      </c>
      <c r="F28" s="18">
        <f t="shared" si="19"/>
        <v>-1.1049836186585046E-2</v>
      </c>
      <c r="G28" s="18">
        <f t="shared" si="20"/>
        <v>-8.5106896679087302E-3</v>
      </c>
      <c r="H28" s="18">
        <f t="shared" si="21"/>
        <v>-4.5652704315748424E-3</v>
      </c>
      <c r="I28" s="18">
        <f t="shared" si="22"/>
        <v>-4.7285272990011618E-2</v>
      </c>
      <c r="J28" s="18">
        <f t="shared" si="23"/>
        <v>-1.6789481476549691E-2</v>
      </c>
      <c r="K28" s="18">
        <f t="shared" si="24"/>
        <v>-1.1462971779805386E-2</v>
      </c>
      <c r="L28" s="18">
        <f t="shared" si="25"/>
        <v>-8.9238252611290696E-3</v>
      </c>
      <c r="M28" s="18">
        <f t="shared" si="26"/>
        <v>-4.978406024795181E-3</v>
      </c>
      <c r="N28" s="18">
        <f t="shared" si="27"/>
        <v>-4.7698408583231953E-2</v>
      </c>
      <c r="O28" s="18">
        <f t="shared" si="28"/>
        <v>-1.720261706977003E-2</v>
      </c>
      <c r="W28" s="18">
        <f t="shared" ca="1" si="29"/>
        <v>0.01</v>
      </c>
      <c r="X28" s="18">
        <f t="shared" ca="1" si="29"/>
        <v>0.88</v>
      </c>
      <c r="Y28" s="18">
        <f t="shared" ca="1" si="29"/>
        <v>0.98</v>
      </c>
      <c r="Z28" s="18">
        <f t="shared" ca="1" si="29"/>
        <v>0.42</v>
      </c>
      <c r="AA28" s="18">
        <f t="shared" ca="1" si="29"/>
        <v>0.16</v>
      </c>
      <c r="AB28" s="18">
        <f t="shared" ca="1" si="3"/>
        <v>2.4500000000000002</v>
      </c>
      <c r="AC28" s="18">
        <f t="shared" ca="1" si="4"/>
        <v>4.081632653061224E-3</v>
      </c>
      <c r="AD28" s="18">
        <f t="shared" ca="1" si="5"/>
        <v>0.35918367346938773</v>
      </c>
      <c r="AE28" s="18">
        <f t="shared" ca="1" si="6"/>
        <v>0.39999999999999997</v>
      </c>
      <c r="AF28" s="18">
        <f t="shared" ca="1" si="7"/>
        <v>0.1714285714285714</v>
      </c>
      <c r="AG28" s="18">
        <f t="shared" ca="1" si="8"/>
        <v>6.5306122448979584E-2</v>
      </c>
      <c r="AH28" s="18">
        <f t="shared" ca="1" si="9"/>
        <v>0.99999999999999989</v>
      </c>
      <c r="AI28" s="18" cm="1">
        <f t="array" aca="1" ref="AI28" ca="1">MMULT(MMULT(AC28:AG28,$Q$2:$U$6),TRANSPOSE(AC28:AG28))</f>
        <v>1.6360052002591298E-4</v>
      </c>
      <c r="AJ28" s="18">
        <f t="shared" ca="1" si="10"/>
        <v>-1.0025612298223401E-2</v>
      </c>
      <c r="AK28" s="18">
        <f t="shared" ca="1" si="11"/>
        <v>-0.81612384890905643</v>
      </c>
      <c r="AL28" s="18">
        <f t="shared" ca="1" si="12"/>
        <v>-1.0025612298223401E-2</v>
      </c>
      <c r="AM28" s="18">
        <f t="shared" ca="1" si="13"/>
        <v>1.6360052002591298E-4</v>
      </c>
      <c r="AN28" s="18">
        <f t="shared" ca="1" si="14"/>
        <v>4.081632653061224E-3</v>
      </c>
      <c r="AO28" s="18">
        <f t="shared" ca="1" si="15"/>
        <v>0.35918367346938773</v>
      </c>
      <c r="AP28" s="18">
        <f t="shared" ca="1" si="16"/>
        <v>0.39999999999999997</v>
      </c>
      <c r="AQ28" s="18">
        <f t="shared" ca="1" si="17"/>
        <v>0.1714285714285714</v>
      </c>
      <c r="AR28" s="18">
        <f t="shared" ca="1" si="18"/>
        <v>6.5306122448979584E-2</v>
      </c>
      <c r="AU28" s="18">
        <v>0.32258064516129037</v>
      </c>
    </row>
    <row r="29" spans="1:47">
      <c r="A29" s="20">
        <v>28.2</v>
      </c>
      <c r="B29" s="20">
        <v>23.7</v>
      </c>
      <c r="C29" s="20">
        <v>243.6</v>
      </c>
      <c r="D29" s="21">
        <v>46.6</v>
      </c>
      <c r="E29" s="20">
        <v>103.4</v>
      </c>
      <c r="F29" s="18">
        <f t="shared" si="19"/>
        <v>4.3485111939738891E-2</v>
      </c>
      <c r="G29" s="18">
        <f t="shared" si="20"/>
        <v>1.2739025777429712E-2</v>
      </c>
      <c r="H29" s="18">
        <f t="shared" si="21"/>
        <v>1.3223333174689433E-2</v>
      </c>
      <c r="I29" s="18">
        <f t="shared" si="22"/>
        <v>-1.9129169908995304E-2</v>
      </c>
      <c r="J29" s="18">
        <f t="shared" si="23"/>
        <v>9.0005127574631652E-2</v>
      </c>
      <c r="K29" s="18">
        <f t="shared" si="24"/>
        <v>4.3071976346518555E-2</v>
      </c>
      <c r="L29" s="18">
        <f t="shared" si="25"/>
        <v>1.2325890184209373E-2</v>
      </c>
      <c r="M29" s="18">
        <f t="shared" si="26"/>
        <v>1.2810197581469094E-2</v>
      </c>
      <c r="N29" s="18">
        <f t="shared" si="27"/>
        <v>-1.9542305502215643E-2</v>
      </c>
      <c r="O29" s="18">
        <f t="shared" si="28"/>
        <v>8.9591991981411309E-2</v>
      </c>
      <c r="W29" s="18">
        <f t="shared" ca="1" si="29"/>
        <v>0.91</v>
      </c>
      <c r="X29" s="18">
        <f t="shared" ca="1" si="29"/>
        <v>0.17</v>
      </c>
      <c r="Y29" s="18">
        <f t="shared" ca="1" si="29"/>
        <v>0.35</v>
      </c>
      <c r="Z29" s="18">
        <f t="shared" ca="1" si="29"/>
        <v>0.32</v>
      </c>
      <c r="AA29" s="18">
        <f t="shared" ca="1" si="29"/>
        <v>0.99</v>
      </c>
      <c r="AB29" s="18">
        <f t="shared" ca="1" si="3"/>
        <v>2.74</v>
      </c>
      <c r="AC29" s="18">
        <f t="shared" ca="1" si="4"/>
        <v>0.33211678832116787</v>
      </c>
      <c r="AD29" s="18">
        <f t="shared" ca="1" si="5"/>
        <v>6.2043795620437957E-2</v>
      </c>
      <c r="AE29" s="18">
        <f t="shared" ca="1" si="6"/>
        <v>0.12773722627737225</v>
      </c>
      <c r="AF29" s="18">
        <f t="shared" ca="1" si="7"/>
        <v>0.11678832116788321</v>
      </c>
      <c r="AG29" s="18">
        <f t="shared" ca="1" si="8"/>
        <v>0.36131386861313863</v>
      </c>
      <c r="AH29" s="18">
        <f t="shared" ca="1" si="9"/>
        <v>0.99999999999999989</v>
      </c>
      <c r="AI29" s="18" cm="1">
        <f t="array" aca="1" ref="AI29" ca="1">MMULT(MMULT(AC29:AG29,$Q$2:$U$6),TRANSPOSE(AC29:AG29))</f>
        <v>2.7111500436256581E-4</v>
      </c>
      <c r="AJ29" s="18">
        <f t="shared" ca="1" si="10"/>
        <v>1.2143371554983787E-3</v>
      </c>
      <c r="AK29" s="18">
        <f t="shared" ca="1" si="11"/>
        <v>4.8659205182189469E-2</v>
      </c>
      <c r="AL29" s="18">
        <f t="shared" ca="1" si="12"/>
        <v>1.2143371554983787E-3</v>
      </c>
      <c r="AM29" s="18">
        <f t="shared" ca="1" si="13"/>
        <v>2.7111500436256581E-4</v>
      </c>
      <c r="AN29" s="18">
        <f t="shared" ca="1" si="14"/>
        <v>0.33211678832116787</v>
      </c>
      <c r="AO29" s="18">
        <f t="shared" ca="1" si="15"/>
        <v>6.2043795620437957E-2</v>
      </c>
      <c r="AP29" s="18">
        <f t="shared" ca="1" si="16"/>
        <v>0.12773722627737225</v>
      </c>
      <c r="AQ29" s="18">
        <f t="shared" ca="1" si="17"/>
        <v>0.11678832116788321</v>
      </c>
      <c r="AR29" s="18">
        <f t="shared" ca="1" si="18"/>
        <v>0.36131386861313863</v>
      </c>
      <c r="AU29" s="18">
        <v>3.2258064516129031E-2</v>
      </c>
    </row>
    <row r="30" spans="1:47">
      <c r="A30" s="20">
        <v>28.5</v>
      </c>
      <c r="B30" s="20">
        <v>23.9</v>
      </c>
      <c r="C30" s="20">
        <v>247.5</v>
      </c>
      <c r="D30" s="21">
        <v>49.9</v>
      </c>
      <c r="E30" s="20">
        <v>107.6</v>
      </c>
      <c r="F30" s="18">
        <f t="shared" si="19"/>
        <v>1.0582109330537008E-2</v>
      </c>
      <c r="G30" s="18">
        <f t="shared" si="20"/>
        <v>8.4034107963793792E-3</v>
      </c>
      <c r="H30" s="18">
        <f t="shared" si="21"/>
        <v>1.5883046173003151E-2</v>
      </c>
      <c r="I30" s="18">
        <f t="shared" si="22"/>
        <v>6.8420461625872772E-2</v>
      </c>
      <c r="J30" s="18">
        <f t="shared" si="23"/>
        <v>3.9815685653355193E-2</v>
      </c>
      <c r="K30" s="18">
        <f t="shared" si="24"/>
        <v>1.0168973737316669E-2</v>
      </c>
      <c r="L30" s="18">
        <f t="shared" si="25"/>
        <v>7.9902752031590397E-3</v>
      </c>
      <c r="M30" s="18">
        <f t="shared" si="26"/>
        <v>1.5469910579782812E-2</v>
      </c>
      <c r="N30" s="18">
        <f t="shared" si="27"/>
        <v>6.8007326032652429E-2</v>
      </c>
      <c r="O30" s="18">
        <f t="shared" si="28"/>
        <v>3.9402550060134857E-2</v>
      </c>
      <c r="W30" s="18">
        <f t="shared" ca="1" si="29"/>
        <v>0.1</v>
      </c>
      <c r="X30" s="18">
        <f t="shared" ca="1" si="29"/>
        <v>0.72</v>
      </c>
      <c r="Y30" s="18">
        <f t="shared" ca="1" si="29"/>
        <v>0.8</v>
      </c>
      <c r="Z30" s="18">
        <f t="shared" ca="1" si="29"/>
        <v>0.32</v>
      </c>
      <c r="AA30" s="18">
        <f t="shared" ca="1" si="29"/>
        <v>0.63</v>
      </c>
      <c r="AB30" s="18">
        <f t="shared" ca="1" si="3"/>
        <v>2.5700000000000003</v>
      </c>
      <c r="AC30" s="18">
        <f t="shared" ca="1" si="4"/>
        <v>3.8910505836575876E-2</v>
      </c>
      <c r="AD30" s="18">
        <f t="shared" ca="1" si="5"/>
        <v>0.28015564202334625</v>
      </c>
      <c r="AE30" s="18">
        <f t="shared" ca="1" si="6"/>
        <v>0.31128404669260701</v>
      </c>
      <c r="AF30" s="18">
        <f t="shared" ca="1" si="7"/>
        <v>0.12451361867704279</v>
      </c>
      <c r="AG30" s="18">
        <f t="shared" ca="1" si="8"/>
        <v>0.24513618677042798</v>
      </c>
      <c r="AH30" s="18">
        <f t="shared" ca="1" si="9"/>
        <v>1</v>
      </c>
      <c r="AI30" s="18" cm="1">
        <f t="array" aca="1" ref="AI30" ca="1">MMULT(MMULT(AC30:AG30,$Q$2:$U$6),TRANSPOSE(AC30:AG30))</f>
        <v>1.8709950311980328E-4</v>
      </c>
      <c r="AJ30" s="18">
        <f t="shared" ca="1" si="10"/>
        <v>-7.1732124979934668E-3</v>
      </c>
      <c r="AK30" s="18">
        <f t="shared" ca="1" si="11"/>
        <v>-0.55462117793019194</v>
      </c>
      <c r="AL30" s="18">
        <f t="shared" ca="1" si="12"/>
        <v>-7.1732124979934668E-3</v>
      </c>
      <c r="AM30" s="18">
        <f t="shared" ca="1" si="13"/>
        <v>1.8709950311980328E-4</v>
      </c>
      <c r="AN30" s="18">
        <f t="shared" ca="1" si="14"/>
        <v>3.8910505836575876E-2</v>
      </c>
      <c r="AO30" s="18">
        <f t="shared" ca="1" si="15"/>
        <v>0.28015564202334625</v>
      </c>
      <c r="AP30" s="18">
        <f t="shared" ca="1" si="16"/>
        <v>0.31128404669260701</v>
      </c>
      <c r="AQ30" s="18">
        <f t="shared" ca="1" si="17"/>
        <v>0.12451361867704279</v>
      </c>
      <c r="AR30" s="18">
        <f t="shared" ca="1" si="18"/>
        <v>0.24513618677042798</v>
      </c>
      <c r="AU30" s="18">
        <v>6.8548387096774202E-2</v>
      </c>
    </row>
    <row r="31" spans="1:47">
      <c r="A31" s="20">
        <v>28.5</v>
      </c>
      <c r="B31" s="20">
        <v>23.9</v>
      </c>
      <c r="C31" s="20">
        <v>247.6</v>
      </c>
      <c r="D31" s="21">
        <v>47.4</v>
      </c>
      <c r="E31" s="20">
        <v>109.1</v>
      </c>
      <c r="F31" s="18">
        <f t="shared" si="19"/>
        <v>0</v>
      </c>
      <c r="G31" s="18">
        <f t="shared" si="20"/>
        <v>0</v>
      </c>
      <c r="H31" s="18">
        <f t="shared" si="21"/>
        <v>4.039588016960476E-4</v>
      </c>
      <c r="I31" s="18">
        <f t="shared" si="22"/>
        <v>-5.139877405644222E-2</v>
      </c>
      <c r="J31" s="18">
        <f t="shared" si="23"/>
        <v>1.3844245111341165E-2</v>
      </c>
      <c r="K31" s="18">
        <f t="shared" si="24"/>
        <v>-4.1313559322033898E-4</v>
      </c>
      <c r="L31" s="18">
        <f t="shared" si="25"/>
        <v>-4.1313559322033898E-4</v>
      </c>
      <c r="M31" s="18">
        <f t="shared" si="26"/>
        <v>-9.1767915242913769E-6</v>
      </c>
      <c r="N31" s="18">
        <f t="shared" si="27"/>
        <v>-5.1811909649662556E-2</v>
      </c>
      <c r="O31" s="18">
        <f t="shared" si="28"/>
        <v>1.3431109518120826E-2</v>
      </c>
      <c r="W31" s="18">
        <f t="shared" ca="1" si="29"/>
        <v>0.85</v>
      </c>
      <c r="X31" s="18">
        <f t="shared" ca="1" si="29"/>
        <v>0.85</v>
      </c>
      <c r="Y31" s="18">
        <f t="shared" ca="1" si="29"/>
        <v>0.2</v>
      </c>
      <c r="Z31" s="18">
        <f t="shared" ca="1" si="29"/>
        <v>0.46</v>
      </c>
      <c r="AA31" s="18">
        <f t="shared" ca="1" si="29"/>
        <v>0.73</v>
      </c>
      <c r="AB31" s="18">
        <f t="shared" ca="1" si="3"/>
        <v>3.09</v>
      </c>
      <c r="AC31" s="18">
        <f t="shared" ca="1" si="4"/>
        <v>0.27508090614886732</v>
      </c>
      <c r="AD31" s="18">
        <f t="shared" ca="1" si="5"/>
        <v>0.27508090614886732</v>
      </c>
      <c r="AE31" s="18">
        <f t="shared" ca="1" si="6"/>
        <v>6.4724919093851141E-2</v>
      </c>
      <c r="AF31" s="18">
        <f t="shared" ca="1" si="7"/>
        <v>0.14886731391585761</v>
      </c>
      <c r="AG31" s="18">
        <f t="shared" ca="1" si="8"/>
        <v>0.23624595469255663</v>
      </c>
      <c r="AH31" s="18">
        <f t="shared" ca="1" si="9"/>
        <v>1</v>
      </c>
      <c r="AI31" s="18" cm="1">
        <f t="array" aca="1" ref="AI31" ca="1">MMULT(MMULT(AC31:AG31,$Q$2:$U$6),TRANSPOSE(AC31:AG31))</f>
        <v>2.0367773875219457E-4</v>
      </c>
      <c r="AJ31" s="18">
        <f t="shared" ca="1" si="10"/>
        <v>-9.8098820890543171E-4</v>
      </c>
      <c r="AK31" s="18">
        <f t="shared" ca="1" si="11"/>
        <v>-9.768537761658462E-2</v>
      </c>
      <c r="AL31" s="18">
        <f t="shared" ca="1" si="12"/>
        <v>-9.8098820890543171E-4</v>
      </c>
      <c r="AM31" s="18">
        <f t="shared" ca="1" si="13"/>
        <v>2.0367773875219457E-4</v>
      </c>
      <c r="AN31" s="18">
        <f t="shared" ca="1" si="14"/>
        <v>0.27508090614886732</v>
      </c>
      <c r="AO31" s="18">
        <f t="shared" ca="1" si="15"/>
        <v>0.27508090614886732</v>
      </c>
      <c r="AP31" s="18">
        <f t="shared" ca="1" si="16"/>
        <v>6.4724919093851141E-2</v>
      </c>
      <c r="AQ31" s="18">
        <f t="shared" ca="1" si="17"/>
        <v>0.14886731391585761</v>
      </c>
      <c r="AR31" s="18">
        <f t="shared" ca="1" si="18"/>
        <v>0.23624595469255663</v>
      </c>
      <c r="AU31" s="18">
        <v>0.33870967741935482</v>
      </c>
    </row>
    <row r="32" spans="1:47">
      <c r="A32" s="20">
        <v>28.7</v>
      </c>
      <c r="B32" s="20">
        <v>24</v>
      </c>
      <c r="C32" s="20">
        <v>247.6</v>
      </c>
      <c r="D32" s="21">
        <v>47.4</v>
      </c>
      <c r="E32" s="20">
        <v>107.3</v>
      </c>
      <c r="F32" s="18">
        <f t="shared" si="19"/>
        <v>6.9930354909706043E-3</v>
      </c>
      <c r="G32" s="18">
        <f t="shared" si="20"/>
        <v>4.175371410480592E-3</v>
      </c>
      <c r="H32" s="18">
        <f t="shared" si="21"/>
        <v>0</v>
      </c>
      <c r="I32" s="18">
        <f t="shared" si="22"/>
        <v>0</v>
      </c>
      <c r="J32" s="18">
        <f t="shared" si="23"/>
        <v>-1.6636243202372347E-2</v>
      </c>
      <c r="K32" s="18">
        <f t="shared" si="24"/>
        <v>6.5798998977502649E-3</v>
      </c>
      <c r="L32" s="18">
        <f t="shared" si="25"/>
        <v>3.762235817260253E-3</v>
      </c>
      <c r="M32" s="18">
        <f t="shared" si="26"/>
        <v>-4.1313559322033898E-4</v>
      </c>
      <c r="N32" s="18">
        <f t="shared" si="27"/>
        <v>-4.1313559322033898E-4</v>
      </c>
      <c r="O32" s="18">
        <f t="shared" si="28"/>
        <v>-1.7049378795592686E-2</v>
      </c>
      <c r="W32" s="18">
        <f t="shared" ca="1" si="29"/>
        <v>0.01</v>
      </c>
      <c r="X32" s="18">
        <f t="shared" ca="1" si="29"/>
        <v>0.43</v>
      </c>
      <c r="Y32" s="18">
        <f t="shared" ca="1" si="29"/>
        <v>0.46</v>
      </c>
      <c r="Z32" s="18">
        <f t="shared" ca="1" si="29"/>
        <v>0.85</v>
      </c>
      <c r="AA32" s="18">
        <f t="shared" ca="1" si="29"/>
        <v>0.2</v>
      </c>
      <c r="AB32" s="18">
        <f t="shared" ca="1" si="3"/>
        <v>1.95</v>
      </c>
      <c r="AC32" s="18">
        <f t="shared" ca="1" si="4"/>
        <v>5.1282051282051282E-3</v>
      </c>
      <c r="AD32" s="18">
        <f t="shared" ca="1" si="5"/>
        <v>0.22051282051282051</v>
      </c>
      <c r="AE32" s="18">
        <f t="shared" ca="1" si="6"/>
        <v>0.23589743589743592</v>
      </c>
      <c r="AF32" s="18">
        <f t="shared" ca="1" si="7"/>
        <v>0.4358974358974359</v>
      </c>
      <c r="AG32" s="18">
        <f t="shared" ca="1" si="8"/>
        <v>0.10256410256410257</v>
      </c>
      <c r="AH32" s="18">
        <f t="shared" ca="1" si="9"/>
        <v>1</v>
      </c>
      <c r="AI32" s="18" cm="1">
        <f t="array" aca="1" ref="AI32" ca="1">MMULT(MMULT(AC32:AG32,$Q$2:$U$6),TRANSPOSE(AC32:AG32))</f>
        <v>3.0461587711120864E-4</v>
      </c>
      <c r="AJ32" s="18">
        <f t="shared" ca="1" si="10"/>
        <v>-2.8361448169929092E-3</v>
      </c>
      <c r="AK32" s="18">
        <f t="shared" ca="1" si="11"/>
        <v>-0.18617052537250728</v>
      </c>
      <c r="AL32" s="18">
        <f t="shared" ca="1" si="12"/>
        <v>-2.8361448169929092E-3</v>
      </c>
      <c r="AM32" s="18">
        <f t="shared" ca="1" si="13"/>
        <v>3.0461587711120864E-4</v>
      </c>
      <c r="AN32" s="18">
        <f t="shared" ca="1" si="14"/>
        <v>5.1282051282051282E-3</v>
      </c>
      <c r="AO32" s="18">
        <f t="shared" ca="1" si="15"/>
        <v>0.22051282051282051</v>
      </c>
      <c r="AP32" s="18">
        <f t="shared" ca="1" si="16"/>
        <v>0.23589743589743592</v>
      </c>
      <c r="AQ32" s="18">
        <f t="shared" ca="1" si="17"/>
        <v>0.4358974358974359</v>
      </c>
      <c r="AR32" s="18">
        <f t="shared" ca="1" si="18"/>
        <v>0.10256410256410257</v>
      </c>
      <c r="AU32" s="18">
        <v>0.2379032258064516</v>
      </c>
    </row>
    <row r="33" spans="1:44">
      <c r="A33" s="20">
        <v>29</v>
      </c>
      <c r="B33" s="20">
        <v>24</v>
      </c>
      <c r="C33" s="20">
        <v>247.5</v>
      </c>
      <c r="D33" s="21">
        <v>45.9</v>
      </c>
      <c r="E33" s="20">
        <v>116.1</v>
      </c>
      <c r="F33" s="18">
        <f t="shared" si="19"/>
        <v>1.0398707220898517E-2</v>
      </c>
      <c r="G33" s="18">
        <f t="shared" si="20"/>
        <v>0</v>
      </c>
      <c r="H33" s="18">
        <f t="shared" si="21"/>
        <v>-4.0395880169606099E-4</v>
      </c>
      <c r="I33" s="18">
        <f t="shared" si="22"/>
        <v>-3.2157111634531284E-2</v>
      </c>
      <c r="J33" s="18">
        <f t="shared" si="23"/>
        <v>7.8823239067193046E-2</v>
      </c>
      <c r="K33" s="18">
        <f t="shared" si="24"/>
        <v>9.9855716276781772E-3</v>
      </c>
      <c r="L33" s="18">
        <f t="shared" si="25"/>
        <v>-4.1313559322033898E-4</v>
      </c>
      <c r="M33" s="18">
        <f t="shared" si="26"/>
        <v>-8.1709439491639991E-4</v>
      </c>
      <c r="N33" s="18">
        <f t="shared" si="27"/>
        <v>-3.257024722775162E-2</v>
      </c>
      <c r="O33" s="18">
        <f t="shared" si="28"/>
        <v>7.8410103473972703E-2</v>
      </c>
      <c r="W33" s="18">
        <f t="shared" ca="1" si="29"/>
        <v>0.17</v>
      </c>
      <c r="X33" s="18">
        <f t="shared" ca="1" si="29"/>
        <v>0.99</v>
      </c>
      <c r="Y33" s="18">
        <f t="shared" ca="1" si="29"/>
        <v>0.37</v>
      </c>
      <c r="Z33" s="18">
        <f t="shared" ca="1" si="29"/>
        <v>0.72</v>
      </c>
      <c r="AA33" s="18">
        <f t="shared" ca="1" si="29"/>
        <v>0.43</v>
      </c>
      <c r="AB33" s="18">
        <f t="shared" ca="1" si="3"/>
        <v>2.68</v>
      </c>
      <c r="AC33" s="18">
        <f t="shared" ca="1" si="4"/>
        <v>6.3432835820895525E-2</v>
      </c>
      <c r="AD33" s="18">
        <f t="shared" ca="1" si="5"/>
        <v>0.36940298507462682</v>
      </c>
      <c r="AE33" s="18">
        <f t="shared" ca="1" si="6"/>
        <v>0.1380597014925373</v>
      </c>
      <c r="AF33" s="18">
        <f t="shared" ca="1" si="7"/>
        <v>0.26865671641791045</v>
      </c>
      <c r="AG33" s="18">
        <f t="shared" ca="1" si="8"/>
        <v>0.16044776119402984</v>
      </c>
      <c r="AH33" s="18">
        <f t="shared" ca="1" si="9"/>
        <v>0.99999999999999989</v>
      </c>
      <c r="AI33" s="18" cm="1">
        <f t="array" aca="1" ref="AI33" ca="1">MMULT(MMULT(AC33:AG33,$Q$2:$U$6),TRANSPOSE(AC33:AG33))</f>
        <v>2.2122010499344382E-4</v>
      </c>
      <c r="AJ33" s="18">
        <f t="shared" ca="1" si="10"/>
        <v>-4.1119279563680113E-3</v>
      </c>
      <c r="AK33" s="18">
        <f t="shared" ca="1" si="11"/>
        <v>-0.30423724922064432</v>
      </c>
      <c r="AL33" s="18">
        <f t="shared" ca="1" si="12"/>
        <v>-4.1119279563680113E-3</v>
      </c>
      <c r="AM33" s="18">
        <f t="shared" ca="1" si="13"/>
        <v>2.2122010499344382E-4</v>
      </c>
      <c r="AN33" s="18">
        <f t="shared" ca="1" si="14"/>
        <v>6.3432835820895525E-2</v>
      </c>
      <c r="AO33" s="18">
        <f t="shared" ca="1" si="15"/>
        <v>0.36940298507462682</v>
      </c>
      <c r="AP33" s="18">
        <f t="shared" ca="1" si="16"/>
        <v>0.1380597014925373</v>
      </c>
      <c r="AQ33" s="18">
        <f t="shared" ca="1" si="17"/>
        <v>0.26865671641791045</v>
      </c>
      <c r="AR33" s="18">
        <f t="shared" ca="1" si="18"/>
        <v>0.16044776119402984</v>
      </c>
    </row>
    <row r="34" spans="1:44">
      <c r="A34" s="20">
        <v>28.9</v>
      </c>
      <c r="B34" s="20">
        <v>24</v>
      </c>
      <c r="C34" s="20">
        <v>246.8</v>
      </c>
      <c r="D34" s="21">
        <v>42.9</v>
      </c>
      <c r="E34" s="20">
        <v>119.2</v>
      </c>
      <c r="F34" s="18">
        <f t="shared" si="19"/>
        <v>-3.4542348680875576E-3</v>
      </c>
      <c r="G34" s="18">
        <f t="shared" si="20"/>
        <v>0</v>
      </c>
      <c r="H34" s="18">
        <f t="shared" si="21"/>
        <v>-2.8322899775121502E-3</v>
      </c>
      <c r="I34" s="18">
        <f t="shared" si="22"/>
        <v>-6.7593291132528169E-2</v>
      </c>
      <c r="J34" s="18">
        <f t="shared" si="23"/>
        <v>2.6350865927403641E-2</v>
      </c>
      <c r="K34" s="18">
        <f t="shared" si="24"/>
        <v>-3.8673704613078966E-3</v>
      </c>
      <c r="L34" s="18">
        <f t="shared" si="25"/>
        <v>-4.1313559322033898E-4</v>
      </c>
      <c r="M34" s="18">
        <f t="shared" si="26"/>
        <v>-3.2454255707324892E-3</v>
      </c>
      <c r="N34" s="18">
        <f t="shared" si="27"/>
        <v>-6.8006426725748512E-2</v>
      </c>
      <c r="O34" s="18">
        <f t="shared" si="28"/>
        <v>2.5937730334183302E-2</v>
      </c>
      <c r="W34" s="18">
        <f t="shared" ca="1" si="29"/>
        <v>0.48</v>
      </c>
      <c r="X34" s="18">
        <f t="shared" ca="1" si="29"/>
        <v>0.94</v>
      </c>
      <c r="Y34" s="18">
        <f t="shared" ca="1" si="29"/>
        <v>0.84</v>
      </c>
      <c r="Z34" s="18">
        <f t="shared" ca="1" si="29"/>
        <v>0.24</v>
      </c>
      <c r="AA34" s="18">
        <f t="shared" ca="1" si="29"/>
        <v>0.16</v>
      </c>
      <c r="AB34" s="18">
        <f t="shared" ca="1" si="3"/>
        <v>2.66</v>
      </c>
      <c r="AC34" s="18">
        <f t="shared" ca="1" si="4"/>
        <v>0.18045112781954886</v>
      </c>
      <c r="AD34" s="18">
        <f t="shared" ca="1" si="5"/>
        <v>0.35338345864661652</v>
      </c>
      <c r="AE34" s="18">
        <f t="shared" ca="1" si="6"/>
        <v>0.31578947368421051</v>
      </c>
      <c r="AF34" s="18">
        <f t="shared" ca="1" si="7"/>
        <v>9.0225563909774431E-2</v>
      </c>
      <c r="AG34" s="18">
        <f t="shared" ca="1" si="8"/>
        <v>6.0150375939849621E-2</v>
      </c>
      <c r="AH34" s="18">
        <f t="shared" ca="1" si="9"/>
        <v>0.99999999999999989</v>
      </c>
      <c r="AI34" s="18" cm="1">
        <f t="array" aca="1" ref="AI34" ca="1">MMULT(MMULT(AC34:AG34,$Q$2:$U$6),TRANSPOSE(AC34:AG34))</f>
        <v>1.3824141327023002E-4</v>
      </c>
      <c r="AJ34" s="18">
        <f t="shared" ca="1" si="10"/>
        <v>-7.9946632176556114E-3</v>
      </c>
      <c r="AK34" s="18">
        <f t="shared" ca="1" si="11"/>
        <v>-0.71509415534181098</v>
      </c>
      <c r="AL34" s="18">
        <f t="shared" ca="1" si="12"/>
        <v>-7.9946632176556114E-3</v>
      </c>
      <c r="AM34" s="18">
        <f t="shared" ca="1" si="13"/>
        <v>1.3824141327023002E-4</v>
      </c>
      <c r="AN34" s="18">
        <f t="shared" ca="1" si="14"/>
        <v>0.18045112781954886</v>
      </c>
      <c r="AO34" s="18">
        <f t="shared" ca="1" si="15"/>
        <v>0.35338345864661652</v>
      </c>
      <c r="AP34" s="18">
        <f t="shared" ca="1" si="16"/>
        <v>0.31578947368421051</v>
      </c>
      <c r="AQ34" s="18">
        <f t="shared" ca="1" si="17"/>
        <v>9.0225563909774431E-2</v>
      </c>
      <c r="AR34" s="18">
        <f t="shared" ca="1" si="18"/>
        <v>6.0150375939849621E-2</v>
      </c>
    </row>
    <row r="35" spans="1:44">
      <c r="A35" s="20">
        <v>28.9</v>
      </c>
      <c r="B35" s="20">
        <v>24</v>
      </c>
      <c r="C35" s="20">
        <v>248.2</v>
      </c>
      <c r="D35" s="21">
        <v>41.7</v>
      </c>
      <c r="E35" s="20">
        <v>126.2</v>
      </c>
      <c r="F35" s="18">
        <f t="shared" si="19"/>
        <v>0</v>
      </c>
      <c r="G35" s="18">
        <f t="shared" si="20"/>
        <v>0</v>
      </c>
      <c r="H35" s="18">
        <f t="shared" si="21"/>
        <v>5.6565807392740391E-3</v>
      </c>
      <c r="I35" s="18">
        <f t="shared" si="22"/>
        <v>-2.8370697129215462E-2</v>
      </c>
      <c r="J35" s="18">
        <f t="shared" si="23"/>
        <v>5.7065195475863396E-2</v>
      </c>
      <c r="K35" s="18">
        <f t="shared" si="24"/>
        <v>-4.1313559322033898E-4</v>
      </c>
      <c r="L35" s="18">
        <f t="shared" si="25"/>
        <v>-4.1313559322033898E-4</v>
      </c>
      <c r="M35" s="18">
        <f t="shared" si="26"/>
        <v>5.2434451460536997E-3</v>
      </c>
      <c r="N35" s="18">
        <f t="shared" si="27"/>
        <v>-2.8783832722435801E-2</v>
      </c>
      <c r="O35" s="18">
        <f t="shared" si="28"/>
        <v>5.665205988264306E-2</v>
      </c>
      <c r="W35" s="18">
        <f t="shared" ca="1" si="29"/>
        <v>0.7</v>
      </c>
      <c r="X35" s="18">
        <f t="shared" ca="1" si="29"/>
        <v>0.2</v>
      </c>
      <c r="Y35" s="18">
        <f t="shared" ca="1" si="29"/>
        <v>0.82</v>
      </c>
      <c r="Z35" s="18">
        <f t="shared" ca="1" si="29"/>
        <v>0.76</v>
      </c>
      <c r="AA35" s="18">
        <f t="shared" ca="1" si="29"/>
        <v>0.47</v>
      </c>
      <c r="AB35" s="18">
        <f t="shared" ca="1" si="3"/>
        <v>2.9499999999999993</v>
      </c>
      <c r="AC35" s="18">
        <f t="shared" ca="1" si="4"/>
        <v>0.23728813559322037</v>
      </c>
      <c r="AD35" s="18">
        <f t="shared" ca="1" si="5"/>
        <v>6.7796610169491539E-2</v>
      </c>
      <c r="AE35" s="18">
        <f t="shared" ca="1" si="6"/>
        <v>0.27796610169491531</v>
      </c>
      <c r="AF35" s="18">
        <f t="shared" ca="1" si="7"/>
        <v>0.25762711864406784</v>
      </c>
      <c r="AG35" s="18">
        <f t="shared" ca="1" si="8"/>
        <v>0.15932203389830513</v>
      </c>
      <c r="AH35" s="18">
        <f t="shared" ca="1" si="9"/>
        <v>1.0000000000000002</v>
      </c>
      <c r="AI35" s="18" cm="1">
        <f t="array" aca="1" ref="AI35" ca="1">MMULT(MMULT(AC35:AG35,$Q$2:$U$6),TRANSPOSE(AC35:AG35))</f>
        <v>2.0333980170825753E-4</v>
      </c>
      <c r="AJ35" s="18">
        <f t="shared" ca="1" si="10"/>
        <v>-1.341668102158185E-3</v>
      </c>
      <c r="AK35" s="18">
        <f t="shared" ca="1" si="11"/>
        <v>-0.12306012232288957</v>
      </c>
      <c r="AL35" s="18">
        <f t="shared" ca="1" si="12"/>
        <v>-1.341668102158185E-3</v>
      </c>
      <c r="AM35" s="18">
        <f t="shared" ca="1" si="13"/>
        <v>2.0333980170825753E-4</v>
      </c>
      <c r="AN35" s="18">
        <f t="shared" ca="1" si="14"/>
        <v>0.23728813559322037</v>
      </c>
      <c r="AO35" s="18">
        <f t="shared" ca="1" si="15"/>
        <v>6.7796610169491539E-2</v>
      </c>
      <c r="AP35" s="18">
        <f t="shared" ca="1" si="16"/>
        <v>0.27796610169491531</v>
      </c>
      <c r="AQ35" s="18">
        <f t="shared" ca="1" si="17"/>
        <v>0.25762711864406784</v>
      </c>
      <c r="AR35" s="18">
        <f t="shared" ca="1" si="18"/>
        <v>0.15932203389830513</v>
      </c>
    </row>
    <row r="36" spans="1:44">
      <c r="A36" s="20">
        <v>29</v>
      </c>
      <c r="B36" s="20">
        <v>24.2</v>
      </c>
      <c r="C36" s="20">
        <v>252.5</v>
      </c>
      <c r="D36" s="21">
        <v>41.7</v>
      </c>
      <c r="E36" s="20">
        <v>131.9</v>
      </c>
      <c r="F36" s="18">
        <f t="shared" si="19"/>
        <v>3.4542348680876036E-3</v>
      </c>
      <c r="G36" s="18">
        <f t="shared" si="20"/>
        <v>8.2988028146950641E-3</v>
      </c>
      <c r="H36" s="18">
        <f t="shared" si="21"/>
        <v>1.717637594490775E-2</v>
      </c>
      <c r="I36" s="18">
        <f t="shared" si="22"/>
        <v>0</v>
      </c>
      <c r="J36" s="18">
        <f t="shared" si="23"/>
        <v>4.417610961615618E-2</v>
      </c>
      <c r="K36" s="18">
        <f t="shared" si="24"/>
        <v>3.0410992748672646E-3</v>
      </c>
      <c r="L36" s="18">
        <f t="shared" si="25"/>
        <v>7.8856672214747247E-3</v>
      </c>
      <c r="M36" s="18">
        <f t="shared" si="26"/>
        <v>1.6763240351687411E-2</v>
      </c>
      <c r="N36" s="18">
        <f t="shared" si="27"/>
        <v>-4.1313559322033898E-4</v>
      </c>
      <c r="O36" s="18">
        <f t="shared" si="28"/>
        <v>4.3762974022935844E-2</v>
      </c>
      <c r="W36" s="18">
        <f t="shared" ca="1" si="29"/>
        <v>0.6</v>
      </c>
      <c r="X36" s="18">
        <f t="shared" ca="1" si="29"/>
        <v>0.91</v>
      </c>
      <c r="Y36" s="18">
        <f t="shared" ca="1" si="29"/>
        <v>0.62</v>
      </c>
      <c r="Z36" s="18">
        <f t="shared" ca="1" si="29"/>
        <v>0.95</v>
      </c>
      <c r="AA36" s="18">
        <f t="shared" ca="1" si="29"/>
        <v>0.85</v>
      </c>
      <c r="AB36" s="18">
        <f t="shared" ca="1" si="3"/>
        <v>3.93</v>
      </c>
      <c r="AC36" s="18">
        <f t="shared" ca="1" si="4"/>
        <v>0.15267175572519082</v>
      </c>
      <c r="AD36" s="18">
        <f t="shared" ca="1" si="5"/>
        <v>0.23155216284987276</v>
      </c>
      <c r="AE36" s="18">
        <f t="shared" ca="1" si="6"/>
        <v>0.15776081424936386</v>
      </c>
      <c r="AF36" s="18">
        <f t="shared" ca="1" si="7"/>
        <v>0.2417302798982188</v>
      </c>
      <c r="AG36" s="18">
        <f t="shared" ca="1" si="8"/>
        <v>0.21628498727735368</v>
      </c>
      <c r="AH36" s="18">
        <f t="shared" ca="1" si="9"/>
        <v>0.99999999999999989</v>
      </c>
      <c r="AI36" s="18" cm="1">
        <f t="array" aca="1" ref="AI36" ca="1">MMULT(MMULT(AC36:AG36,$Q$2:$U$6),TRANSPOSE(AC36:AG36))</f>
        <v>2.1699194469747306E-4</v>
      </c>
      <c r="AJ36" s="18">
        <f t="shared" ca="1" si="10"/>
        <v>-2.0744042427323531E-3</v>
      </c>
      <c r="AK36" s="18">
        <f t="shared" ca="1" si="11"/>
        <v>-0.16886834160223782</v>
      </c>
      <c r="AL36" s="18">
        <f t="shared" ca="1" si="12"/>
        <v>-2.0744042427323531E-3</v>
      </c>
      <c r="AM36" s="18">
        <f t="shared" ca="1" si="13"/>
        <v>2.1699194469747306E-4</v>
      </c>
      <c r="AN36" s="18">
        <f t="shared" ca="1" si="14"/>
        <v>0.15267175572519082</v>
      </c>
      <c r="AO36" s="18">
        <f t="shared" ca="1" si="15"/>
        <v>0.23155216284987276</v>
      </c>
      <c r="AP36" s="18">
        <f t="shared" ca="1" si="16"/>
        <v>0.15776081424936386</v>
      </c>
      <c r="AQ36" s="18">
        <f t="shared" ca="1" si="17"/>
        <v>0.2417302798982188</v>
      </c>
      <c r="AR36" s="18">
        <f t="shared" ca="1" si="18"/>
        <v>0.21628498727735368</v>
      </c>
    </row>
    <row r="37" spans="1:44">
      <c r="A37" s="20">
        <v>29.3</v>
      </c>
      <c r="B37" s="20">
        <v>24.5</v>
      </c>
      <c r="C37" s="20">
        <v>253.4</v>
      </c>
      <c r="D37" s="21">
        <v>43.7</v>
      </c>
      <c r="E37" s="20">
        <v>131.19999999999999</v>
      </c>
      <c r="F37" s="18">
        <f t="shared" si="19"/>
        <v>1.0291686036547724E-2</v>
      </c>
      <c r="G37" s="18">
        <f t="shared" si="20"/>
        <v>1.2320484388040657E-2</v>
      </c>
      <c r="H37" s="18">
        <f t="shared" si="21"/>
        <v>3.5580191716241645E-3</v>
      </c>
      <c r="I37" s="18">
        <f t="shared" si="22"/>
        <v>4.6846973296788628E-2</v>
      </c>
      <c r="J37" s="18">
        <f t="shared" si="23"/>
        <v>-5.321183213280384E-3</v>
      </c>
      <c r="K37" s="18">
        <f t="shared" si="24"/>
        <v>9.878550443327385E-3</v>
      </c>
      <c r="L37" s="18">
        <f t="shared" si="25"/>
        <v>1.1907348794820317E-2</v>
      </c>
      <c r="M37" s="18">
        <f t="shared" si="26"/>
        <v>3.1448835784038255E-3</v>
      </c>
      <c r="N37" s="18">
        <f t="shared" si="27"/>
        <v>4.6433837703568293E-2</v>
      </c>
      <c r="O37" s="18">
        <f t="shared" si="28"/>
        <v>-5.7343188065007225E-3</v>
      </c>
      <c r="W37" s="18">
        <f t="shared" ca="1" si="29"/>
        <v>0.64</v>
      </c>
      <c r="X37" s="18">
        <f t="shared" ca="1" si="29"/>
        <v>0.56999999999999995</v>
      </c>
      <c r="Y37" s="18">
        <f t="shared" ca="1" si="29"/>
        <v>0.98</v>
      </c>
      <c r="Z37" s="18">
        <f t="shared" ca="1" si="29"/>
        <v>0.38</v>
      </c>
      <c r="AA37" s="18">
        <f t="shared" ca="1" si="29"/>
        <v>0.1</v>
      </c>
      <c r="AB37" s="18">
        <f t="shared" ca="1" si="3"/>
        <v>2.67</v>
      </c>
      <c r="AC37" s="18">
        <f t="shared" ca="1" si="4"/>
        <v>0.23970037453183521</v>
      </c>
      <c r="AD37" s="18">
        <f t="shared" ca="1" si="5"/>
        <v>0.21348314606741572</v>
      </c>
      <c r="AE37" s="18">
        <f t="shared" ca="1" si="6"/>
        <v>0.36704119850187267</v>
      </c>
      <c r="AF37" s="18">
        <f t="shared" ca="1" si="7"/>
        <v>0.14232209737827717</v>
      </c>
      <c r="AG37" s="18">
        <f t="shared" ca="1" si="8"/>
        <v>3.7453183520599252E-2</v>
      </c>
      <c r="AH37" s="18">
        <f t="shared" ca="1" si="9"/>
        <v>1</v>
      </c>
      <c r="AI37" s="18" cm="1">
        <f t="array" aca="1" ref="AI37" ca="1">MMULT(MMULT(AC37:AG37,$Q$2:$U$6),TRANSPOSE(AC37:AG37))</f>
        <v>1.4299737827963707E-4</v>
      </c>
      <c r="AJ37" s="18">
        <f t="shared" ca="1" si="10"/>
        <v>-6.1614468678294013E-3</v>
      </c>
      <c r="AK37" s="18">
        <f t="shared" ca="1" si="11"/>
        <v>-0.54979924517129886</v>
      </c>
      <c r="AL37" s="18">
        <f t="shared" ca="1" si="12"/>
        <v>-6.1614468678294013E-3</v>
      </c>
      <c r="AM37" s="18">
        <f t="shared" ca="1" si="13"/>
        <v>1.4299737827963707E-4</v>
      </c>
      <c r="AN37" s="18">
        <f t="shared" ca="1" si="14"/>
        <v>0.23970037453183521</v>
      </c>
      <c r="AO37" s="18">
        <f t="shared" ca="1" si="15"/>
        <v>0.21348314606741572</v>
      </c>
      <c r="AP37" s="18">
        <f t="shared" ca="1" si="16"/>
        <v>0.36704119850187267</v>
      </c>
      <c r="AQ37" s="18">
        <f t="shared" ca="1" si="17"/>
        <v>0.14232209737827717</v>
      </c>
      <c r="AR37" s="18">
        <f t="shared" ca="1" si="18"/>
        <v>3.7453183520599252E-2</v>
      </c>
    </row>
    <row r="38" spans="1:44">
      <c r="A38" s="20">
        <v>29.6</v>
      </c>
      <c r="B38" s="20">
        <v>24.5</v>
      </c>
      <c r="C38" s="20">
        <v>254.9</v>
      </c>
      <c r="D38" s="21">
        <v>44</v>
      </c>
      <c r="E38" s="20">
        <v>136.1</v>
      </c>
      <c r="F38" s="18">
        <f t="shared" si="19"/>
        <v>1.0186845306992997E-2</v>
      </c>
      <c r="G38" s="18">
        <f t="shared" si="20"/>
        <v>0</v>
      </c>
      <c r="H38" s="18">
        <f t="shared" si="21"/>
        <v>5.9020434950311368E-3</v>
      </c>
      <c r="I38" s="18">
        <f t="shared" si="22"/>
        <v>6.8415318167165638E-3</v>
      </c>
      <c r="J38" s="18">
        <f t="shared" si="23"/>
        <v>3.6667033147431728E-2</v>
      </c>
      <c r="K38" s="18">
        <f t="shared" si="24"/>
        <v>9.7737097137726575E-3</v>
      </c>
      <c r="L38" s="18">
        <f t="shared" si="25"/>
        <v>-4.1313559322033898E-4</v>
      </c>
      <c r="M38" s="18">
        <f t="shared" si="26"/>
        <v>5.4889079018107974E-3</v>
      </c>
      <c r="N38" s="18">
        <f t="shared" si="27"/>
        <v>6.4283962234962244E-3</v>
      </c>
      <c r="O38" s="18">
        <f t="shared" si="28"/>
        <v>3.6253897554211392E-2</v>
      </c>
      <c r="W38" s="18">
        <f t="shared" ca="1" si="29"/>
        <v>0.63</v>
      </c>
      <c r="X38" s="18">
        <f t="shared" ca="1" si="29"/>
        <v>0.84</v>
      </c>
      <c r="Y38" s="18">
        <f t="shared" ca="1" si="29"/>
        <v>0.81</v>
      </c>
      <c r="Z38" s="18">
        <f t="shared" ca="1" si="29"/>
        <v>0.93</v>
      </c>
      <c r="AA38" s="18">
        <f t="shared" ca="1" si="29"/>
        <v>0.7</v>
      </c>
      <c r="AB38" s="18">
        <f t="shared" ca="1" si="3"/>
        <v>3.91</v>
      </c>
      <c r="AC38" s="18">
        <f t="shared" ca="1" si="4"/>
        <v>0.16112531969309463</v>
      </c>
      <c r="AD38" s="18">
        <f t="shared" ca="1" si="5"/>
        <v>0.21483375959079282</v>
      </c>
      <c r="AE38" s="18">
        <f t="shared" ca="1" si="6"/>
        <v>0.20716112531969311</v>
      </c>
      <c r="AF38" s="18">
        <f t="shared" ca="1" si="7"/>
        <v>0.23785166240409208</v>
      </c>
      <c r="AG38" s="18">
        <f t="shared" ca="1" si="8"/>
        <v>0.17902813299232734</v>
      </c>
      <c r="AH38" s="18">
        <f t="shared" ca="1" si="9"/>
        <v>1</v>
      </c>
      <c r="AI38" s="18" cm="1">
        <f t="array" aca="1" ref="AI38" ca="1">MMULT(MMULT(AC38:AG38,$Q$2:$U$6),TRANSPOSE(AC38:AG38))</f>
        <v>1.9898538722967855E-4</v>
      </c>
      <c r="AJ38" s="18">
        <f t="shared" ca="1" si="10"/>
        <v>-2.7677630098384841E-3</v>
      </c>
      <c r="AK38" s="18">
        <f t="shared" ca="1" si="11"/>
        <v>-0.22549620283314412</v>
      </c>
      <c r="AL38" s="18">
        <f t="shared" ca="1" si="12"/>
        <v>-2.7677630098384841E-3</v>
      </c>
      <c r="AM38" s="18">
        <f t="shared" ca="1" si="13"/>
        <v>1.9898538722967855E-4</v>
      </c>
      <c r="AN38" s="18">
        <f t="shared" ca="1" si="14"/>
        <v>0.16112531969309463</v>
      </c>
      <c r="AO38" s="18">
        <f t="shared" ca="1" si="15"/>
        <v>0.21483375959079282</v>
      </c>
      <c r="AP38" s="18">
        <f t="shared" ca="1" si="16"/>
        <v>0.20716112531969311</v>
      </c>
      <c r="AQ38" s="18">
        <f t="shared" ca="1" si="17"/>
        <v>0.23785166240409208</v>
      </c>
      <c r="AR38" s="18">
        <f t="shared" ca="1" si="18"/>
        <v>0.17902813299232734</v>
      </c>
    </row>
    <row r="39" spans="1:44">
      <c r="A39" s="20">
        <v>29.8</v>
      </c>
      <c r="B39" s="20">
        <v>24.5</v>
      </c>
      <c r="C39" s="20">
        <v>254.1</v>
      </c>
      <c r="D39" s="21">
        <v>44.9</v>
      </c>
      <c r="E39" s="20">
        <v>137.4</v>
      </c>
      <c r="F39" s="18">
        <f t="shared" si="19"/>
        <v>6.7340321813441194E-3</v>
      </c>
      <c r="G39" s="18">
        <f t="shared" si="20"/>
        <v>0</v>
      </c>
      <c r="H39" s="18">
        <f t="shared" si="21"/>
        <v>-3.1434210559513846E-3</v>
      </c>
      <c r="I39" s="18">
        <f t="shared" si="22"/>
        <v>2.0248160829947494E-2</v>
      </c>
      <c r="J39" s="18">
        <f t="shared" si="23"/>
        <v>9.5064701308285905E-3</v>
      </c>
      <c r="K39" s="18">
        <f t="shared" si="24"/>
        <v>6.32089658812378E-3</v>
      </c>
      <c r="L39" s="18">
        <f t="shared" si="25"/>
        <v>-4.1313559322033898E-4</v>
      </c>
      <c r="M39" s="18">
        <f t="shared" si="26"/>
        <v>-3.5565566491717235E-3</v>
      </c>
      <c r="N39" s="18">
        <f t="shared" si="27"/>
        <v>1.9835025236727154E-2</v>
      </c>
      <c r="O39" s="18">
        <f t="shared" si="28"/>
        <v>9.0933345376082511E-3</v>
      </c>
      <c r="W39" s="18">
        <f t="shared" ca="1" si="29"/>
        <v>0.85</v>
      </c>
      <c r="X39" s="18">
        <f t="shared" ca="1" si="29"/>
        <v>0.79</v>
      </c>
      <c r="Y39" s="18">
        <f t="shared" ca="1" si="29"/>
        <v>0.28000000000000003</v>
      </c>
      <c r="Z39" s="18">
        <f t="shared" ca="1" si="29"/>
        <v>0.68</v>
      </c>
      <c r="AA39" s="18">
        <f t="shared" ca="1" si="29"/>
        <v>0.48</v>
      </c>
      <c r="AB39" s="18">
        <f t="shared" ca="1" si="3"/>
        <v>3.08</v>
      </c>
      <c r="AC39" s="18">
        <f t="shared" ca="1" si="4"/>
        <v>0.27597402597402598</v>
      </c>
      <c r="AD39" s="18">
        <f t="shared" ca="1" si="5"/>
        <v>0.2564935064935065</v>
      </c>
      <c r="AE39" s="18">
        <f t="shared" ca="1" si="6"/>
        <v>9.0909090909090912E-2</v>
      </c>
      <c r="AF39" s="18">
        <f t="shared" ca="1" si="7"/>
        <v>0.2207792207792208</v>
      </c>
      <c r="AG39" s="18">
        <f t="shared" ca="1" si="8"/>
        <v>0.15584415584415584</v>
      </c>
      <c r="AH39" s="18">
        <f t="shared" ca="1" si="9"/>
        <v>1.0000000000000002</v>
      </c>
      <c r="AI39" s="18" cm="1">
        <f t="array" aca="1" ref="AI39" ca="1">MMULT(MMULT(AC39:AG39,$Q$2:$U$6),TRANSPOSE(AC39:AG39))</f>
        <v>1.9655976054766905E-4</v>
      </c>
      <c r="AJ39" s="18">
        <f t="shared" ca="1" si="10"/>
        <v>-7.20694003441094E-4</v>
      </c>
      <c r="AK39" s="18">
        <f t="shared" ca="1" si="11"/>
        <v>-8.0872428028461618E-2</v>
      </c>
      <c r="AL39" s="18">
        <f t="shared" ca="1" si="12"/>
        <v>-7.20694003441094E-4</v>
      </c>
      <c r="AM39" s="18">
        <f t="shared" ca="1" si="13"/>
        <v>1.9655976054766905E-4</v>
      </c>
      <c r="AN39" s="18">
        <f t="shared" ca="1" si="14"/>
        <v>0.27597402597402598</v>
      </c>
      <c r="AO39" s="18">
        <f t="shared" ca="1" si="15"/>
        <v>0.2564935064935065</v>
      </c>
      <c r="AP39" s="18">
        <f t="shared" ca="1" si="16"/>
        <v>9.0909090909090912E-2</v>
      </c>
      <c r="AQ39" s="18">
        <f t="shared" ca="1" si="17"/>
        <v>0.2207792207792208</v>
      </c>
      <c r="AR39" s="18">
        <f t="shared" ca="1" si="18"/>
        <v>0.15584415584415584</v>
      </c>
    </row>
    <row r="40" spans="1:44">
      <c r="A40" s="20">
        <v>29.9</v>
      </c>
      <c r="B40" s="20">
        <v>24.2</v>
      </c>
      <c r="C40" s="20">
        <v>256.2</v>
      </c>
      <c r="D40" s="21">
        <v>42.9</v>
      </c>
      <c r="E40" s="20">
        <v>130</v>
      </c>
      <c r="F40" s="18">
        <f t="shared" si="19"/>
        <v>3.3500868852818057E-3</v>
      </c>
      <c r="G40" s="18">
        <f t="shared" si="20"/>
        <v>-1.2320484388040624E-2</v>
      </c>
      <c r="H40" s="18">
        <f t="shared" si="21"/>
        <v>8.2304991365154435E-3</v>
      </c>
      <c r="I40" s="18">
        <f t="shared" si="22"/>
        <v>-4.5565968814237308E-2</v>
      </c>
      <c r="J40" s="18">
        <f t="shared" si="23"/>
        <v>-5.53619293326666E-2</v>
      </c>
      <c r="K40" s="18">
        <f t="shared" si="24"/>
        <v>2.9369512920614667E-3</v>
      </c>
      <c r="L40" s="18">
        <f t="shared" si="25"/>
        <v>-1.2733619981260963E-2</v>
      </c>
      <c r="M40" s="18">
        <f t="shared" si="26"/>
        <v>7.8173635432951041E-3</v>
      </c>
      <c r="N40" s="18">
        <f t="shared" si="27"/>
        <v>-4.5979104407457644E-2</v>
      </c>
      <c r="O40" s="18">
        <f t="shared" si="28"/>
        <v>-5.5775064925886936E-2</v>
      </c>
      <c r="W40" s="18">
        <f t="shared" ca="1" si="29"/>
        <v>0.21</v>
      </c>
      <c r="X40" s="18">
        <f t="shared" ca="1" si="29"/>
        <v>0.6</v>
      </c>
      <c r="Y40" s="18">
        <f t="shared" ca="1" si="29"/>
        <v>0.52</v>
      </c>
      <c r="Z40" s="18">
        <f t="shared" ca="1" si="29"/>
        <v>0.91</v>
      </c>
      <c r="AA40" s="18">
        <f t="shared" ca="1" si="29"/>
        <v>0.13</v>
      </c>
      <c r="AB40" s="18">
        <f t="shared" ca="1" si="3"/>
        <v>2.37</v>
      </c>
      <c r="AC40" s="18">
        <f t="shared" ca="1" si="4"/>
        <v>8.8607594936708847E-2</v>
      </c>
      <c r="AD40" s="18">
        <f t="shared" ca="1" si="5"/>
        <v>0.25316455696202528</v>
      </c>
      <c r="AE40" s="18">
        <f t="shared" ca="1" si="6"/>
        <v>0.21940928270042193</v>
      </c>
      <c r="AF40" s="18">
        <f t="shared" ca="1" si="7"/>
        <v>0.38396624472573837</v>
      </c>
      <c r="AG40" s="18">
        <f t="shared" ca="1" si="8"/>
        <v>5.4852320675105481E-2</v>
      </c>
      <c r="AH40" s="18">
        <f t="shared" ca="1" si="9"/>
        <v>0.99999999999999989</v>
      </c>
      <c r="AI40" s="18" cm="1">
        <f t="array" aca="1" ref="AI40" ca="1">MMULT(MMULT(AC40:AG40,$Q$2:$U$6),TRANSPOSE(AC40:AG40))</f>
        <v>2.6516052452399782E-4</v>
      </c>
      <c r="AJ40" s="18">
        <f t="shared" ca="1" si="10"/>
        <v>-2.9864596189752147E-3</v>
      </c>
      <c r="AK40" s="18">
        <f t="shared" ca="1" si="11"/>
        <v>-0.20877225117879303</v>
      </c>
      <c r="AL40" s="18">
        <f t="shared" ca="1" si="12"/>
        <v>-2.9864596189752147E-3</v>
      </c>
      <c r="AM40" s="18">
        <f t="shared" ca="1" si="13"/>
        <v>2.6516052452399782E-4</v>
      </c>
      <c r="AN40" s="18">
        <f t="shared" ca="1" si="14"/>
        <v>8.8607594936708847E-2</v>
      </c>
      <c r="AO40" s="18">
        <f t="shared" ca="1" si="15"/>
        <v>0.25316455696202528</v>
      </c>
      <c r="AP40" s="18">
        <f t="shared" ca="1" si="16"/>
        <v>0.21940928270042193</v>
      </c>
      <c r="AQ40" s="18">
        <f t="shared" ca="1" si="17"/>
        <v>0.38396624472573837</v>
      </c>
      <c r="AR40" s="18">
        <f t="shared" ca="1" si="18"/>
        <v>5.4852320675105481E-2</v>
      </c>
    </row>
    <row r="41" spans="1:44">
      <c r="A41" s="20">
        <v>29.8</v>
      </c>
      <c r="B41" s="20">
        <v>24.2</v>
      </c>
      <c r="C41" s="20">
        <v>257</v>
      </c>
      <c r="D41" s="21">
        <v>40</v>
      </c>
      <c r="E41" s="20">
        <v>133.1</v>
      </c>
      <c r="F41" s="18">
        <f t="shared" si="19"/>
        <v>-3.350086885281863E-3</v>
      </c>
      <c r="G41" s="18">
        <f t="shared" si="20"/>
        <v>0</v>
      </c>
      <c r="H41" s="18">
        <f t="shared" si="21"/>
        <v>3.1176954325859312E-3</v>
      </c>
      <c r="I41" s="18">
        <f t="shared" si="22"/>
        <v>-6.9992371820034913E-2</v>
      </c>
      <c r="J41" s="18">
        <f t="shared" si="23"/>
        <v>2.3566274945483533E-2</v>
      </c>
      <c r="K41" s="18">
        <f t="shared" si="24"/>
        <v>-3.7632224785022019E-3</v>
      </c>
      <c r="L41" s="18">
        <f t="shared" si="25"/>
        <v>-4.1313559322033898E-4</v>
      </c>
      <c r="M41" s="18">
        <f t="shared" si="26"/>
        <v>2.7045598393655923E-3</v>
      </c>
      <c r="N41" s="18">
        <f t="shared" si="27"/>
        <v>-7.0405507413255256E-2</v>
      </c>
      <c r="O41" s="18">
        <f t="shared" si="28"/>
        <v>2.3153139352263194E-2</v>
      </c>
      <c r="W41" s="18">
        <f t="shared" ca="1" si="29"/>
        <v>0.51</v>
      </c>
      <c r="X41" s="18">
        <f t="shared" ca="1" si="29"/>
        <v>0.32</v>
      </c>
      <c r="Y41" s="18">
        <f t="shared" ca="1" si="29"/>
        <v>0.88</v>
      </c>
      <c r="Z41" s="18">
        <f t="shared" ca="1" si="29"/>
        <v>0.43</v>
      </c>
      <c r="AA41" s="18">
        <f t="shared" ca="1" si="29"/>
        <v>0.11</v>
      </c>
      <c r="AB41" s="18">
        <f t="shared" ca="1" si="3"/>
        <v>2.25</v>
      </c>
      <c r="AC41" s="18">
        <f t="shared" ca="1" si="4"/>
        <v>0.22666666666666668</v>
      </c>
      <c r="AD41" s="18">
        <f t="shared" ca="1" si="5"/>
        <v>0.14222222222222222</v>
      </c>
      <c r="AE41" s="18">
        <f t="shared" ca="1" si="6"/>
        <v>0.39111111111111113</v>
      </c>
      <c r="AF41" s="18">
        <f t="shared" ca="1" si="7"/>
        <v>0.19111111111111112</v>
      </c>
      <c r="AG41" s="18">
        <f t="shared" ca="1" si="8"/>
        <v>4.8888888888888891E-2</v>
      </c>
      <c r="AH41" s="18">
        <f t="shared" ca="1" si="9"/>
        <v>1</v>
      </c>
      <c r="AI41" s="18" cm="1">
        <f t="array" aca="1" ref="AI41" ca="1">MMULT(MMULT(AC41:AG41,$Q$2:$U$6),TRANSPOSE(AC41:AG41))</f>
        <v>1.5833184362247811E-4</v>
      </c>
      <c r="AJ41" s="18">
        <f t="shared" ca="1" si="10"/>
        <v>-5.2408601575425441E-3</v>
      </c>
      <c r="AK41" s="18">
        <f t="shared" ca="1" si="11"/>
        <v>-0.44933613295506247</v>
      </c>
      <c r="AL41" s="18">
        <f t="shared" ca="1" si="12"/>
        <v>-5.2408601575425441E-3</v>
      </c>
      <c r="AM41" s="18">
        <f t="shared" ca="1" si="13"/>
        <v>1.5833184362247811E-4</v>
      </c>
      <c r="AN41" s="18">
        <f t="shared" ca="1" si="14"/>
        <v>0.22666666666666668</v>
      </c>
      <c r="AO41" s="18">
        <f t="shared" ca="1" si="15"/>
        <v>0.14222222222222222</v>
      </c>
      <c r="AP41" s="18">
        <f t="shared" ca="1" si="16"/>
        <v>0.39111111111111113</v>
      </c>
      <c r="AQ41" s="18">
        <f t="shared" ca="1" si="17"/>
        <v>0.19111111111111112</v>
      </c>
      <c r="AR41" s="18">
        <f t="shared" ca="1" si="18"/>
        <v>4.8888888888888891E-2</v>
      </c>
    </row>
    <row r="42" spans="1:44">
      <c r="A42" s="20">
        <v>30.2</v>
      </c>
      <c r="B42" s="20">
        <v>24.5</v>
      </c>
      <c r="C42" s="20">
        <v>259</v>
      </c>
      <c r="D42" s="21">
        <v>37.700000000000003</v>
      </c>
      <c r="E42" s="20">
        <v>135.80000000000001</v>
      </c>
      <c r="F42" s="18">
        <f t="shared" si="19"/>
        <v>1.3333530869465168E-2</v>
      </c>
      <c r="G42" s="18">
        <f t="shared" si="20"/>
        <v>1.2320484388040657E-2</v>
      </c>
      <c r="H42" s="18">
        <f t="shared" si="21"/>
        <v>7.7519768043179237E-3</v>
      </c>
      <c r="I42" s="18">
        <f t="shared" si="22"/>
        <v>-5.9219359659971098E-2</v>
      </c>
      <c r="J42" s="18">
        <f t="shared" si="23"/>
        <v>2.0082489723529877E-2</v>
      </c>
      <c r="K42" s="18">
        <f t="shared" si="24"/>
        <v>1.2920395276244829E-2</v>
      </c>
      <c r="L42" s="18">
        <f t="shared" si="25"/>
        <v>1.1907348794820317E-2</v>
      </c>
      <c r="M42" s="18">
        <f t="shared" si="26"/>
        <v>7.3388412110975843E-3</v>
      </c>
      <c r="N42" s="18">
        <f t="shared" si="27"/>
        <v>-5.9632495253191434E-2</v>
      </c>
      <c r="O42" s="18">
        <f t="shared" si="28"/>
        <v>1.9669354130309537E-2</v>
      </c>
      <c r="W42" s="18">
        <f t="shared" ca="1" si="29"/>
        <v>0.04</v>
      </c>
      <c r="X42" s="18">
        <f t="shared" ca="1" si="29"/>
        <v>0.22</v>
      </c>
      <c r="Y42" s="18">
        <f t="shared" ca="1" si="29"/>
        <v>0.49</v>
      </c>
      <c r="Z42" s="18">
        <f t="shared" ca="1" si="29"/>
        <v>0.73</v>
      </c>
      <c r="AA42" s="18">
        <f t="shared" ca="1" si="29"/>
        <v>0.52</v>
      </c>
      <c r="AB42" s="18">
        <f t="shared" ca="1" si="3"/>
        <v>2</v>
      </c>
      <c r="AC42" s="18">
        <f t="shared" ca="1" si="4"/>
        <v>0.02</v>
      </c>
      <c r="AD42" s="18">
        <f t="shared" ca="1" si="5"/>
        <v>0.11</v>
      </c>
      <c r="AE42" s="18">
        <f t="shared" ca="1" si="6"/>
        <v>0.245</v>
      </c>
      <c r="AF42" s="18">
        <f t="shared" ca="1" si="7"/>
        <v>0.36499999999999999</v>
      </c>
      <c r="AG42" s="18">
        <f t="shared" ca="1" si="8"/>
        <v>0.26</v>
      </c>
      <c r="AH42" s="18">
        <f t="shared" ca="1" si="9"/>
        <v>1</v>
      </c>
      <c r="AI42" s="18" cm="1">
        <f t="array" aca="1" ref="AI42" ca="1">MMULT(MMULT(AC42:AG42,$Q$2:$U$6),TRANSPOSE(AC42:AG42))</f>
        <v>2.9926192434706254E-4</v>
      </c>
      <c r="AJ42" s="18">
        <f t="shared" ca="1" si="10"/>
        <v>-1.6608202832270173E-3</v>
      </c>
      <c r="AK42" s="18">
        <f t="shared" ca="1" si="11"/>
        <v>-0.1198874658740733</v>
      </c>
      <c r="AL42" s="18">
        <f t="shared" ca="1" si="12"/>
        <v>-1.6608202832270173E-3</v>
      </c>
      <c r="AM42" s="18">
        <f t="shared" ca="1" si="13"/>
        <v>2.9926192434706254E-4</v>
      </c>
      <c r="AN42" s="18">
        <f t="shared" ca="1" si="14"/>
        <v>0.02</v>
      </c>
      <c r="AO42" s="18">
        <f t="shared" ca="1" si="15"/>
        <v>0.11</v>
      </c>
      <c r="AP42" s="18">
        <f t="shared" ca="1" si="16"/>
        <v>0.245</v>
      </c>
      <c r="AQ42" s="18">
        <f t="shared" ca="1" si="17"/>
        <v>0.36499999999999999</v>
      </c>
      <c r="AR42" s="18">
        <f t="shared" ca="1" si="18"/>
        <v>0.26</v>
      </c>
    </row>
    <row r="43" spans="1:44">
      <c r="A43" s="20">
        <v>30.6</v>
      </c>
      <c r="B43" s="20">
        <v>24.8</v>
      </c>
      <c r="C43" s="20">
        <v>257.89999999999998</v>
      </c>
      <c r="D43" s="21">
        <v>38.4</v>
      </c>
      <c r="E43" s="20">
        <v>138.30000000000001</v>
      </c>
      <c r="F43" s="18">
        <f t="shared" si="19"/>
        <v>1.3158084577511201E-2</v>
      </c>
      <c r="G43" s="18">
        <f t="shared" si="20"/>
        <v>1.2170535620255114E-2</v>
      </c>
      <c r="H43" s="18">
        <f t="shared" si="21"/>
        <v>-4.2561488122386916E-3</v>
      </c>
      <c r="I43" s="18">
        <f t="shared" si="22"/>
        <v>1.839736513971588E-2</v>
      </c>
      <c r="J43" s="18">
        <f t="shared" si="23"/>
        <v>1.824202354611671E-2</v>
      </c>
      <c r="K43" s="18">
        <f t="shared" si="24"/>
        <v>1.2744948984290861E-2</v>
      </c>
      <c r="L43" s="18">
        <f t="shared" si="25"/>
        <v>1.1757400027034775E-2</v>
      </c>
      <c r="M43" s="18">
        <f t="shared" si="26"/>
        <v>-4.6692844054590302E-3</v>
      </c>
      <c r="N43" s="18">
        <f t="shared" si="27"/>
        <v>1.7984229546495541E-2</v>
      </c>
      <c r="O43" s="18">
        <f t="shared" si="28"/>
        <v>1.7828887952896371E-2</v>
      </c>
      <c r="W43" s="18">
        <f t="shared" ca="1" si="29"/>
        <v>0.77</v>
      </c>
      <c r="X43" s="18">
        <f t="shared" ca="1" si="29"/>
        <v>0.22</v>
      </c>
      <c r="Y43" s="18">
        <f t="shared" ca="1" si="29"/>
        <v>0.74</v>
      </c>
      <c r="Z43" s="18">
        <f t="shared" ca="1" si="29"/>
        <v>0.94</v>
      </c>
      <c r="AA43" s="18">
        <f t="shared" ca="1" si="29"/>
        <v>0.86</v>
      </c>
      <c r="AB43" s="18">
        <f t="shared" ca="1" si="3"/>
        <v>3.53</v>
      </c>
      <c r="AC43" s="18">
        <f t="shared" ca="1" si="4"/>
        <v>0.2181303116147309</v>
      </c>
      <c r="AD43" s="18">
        <f t="shared" ca="1" si="5"/>
        <v>6.2322946175637398E-2</v>
      </c>
      <c r="AE43" s="18">
        <f t="shared" ca="1" si="6"/>
        <v>0.20963172804532579</v>
      </c>
      <c r="AF43" s="18">
        <f t="shared" ca="1" si="7"/>
        <v>0.26628895184135976</v>
      </c>
      <c r="AG43" s="18">
        <f t="shared" ca="1" si="8"/>
        <v>0.24362606232294617</v>
      </c>
      <c r="AH43" s="18">
        <f t="shared" ca="1" si="9"/>
        <v>0.99999999999999989</v>
      </c>
      <c r="AI43" s="18" cm="1">
        <f t="array" aca="1" ref="AI43" ca="1">MMULT(MMULT(AC43:AG43,$Q$2:$U$6),TRANSPOSE(AC43:AG43))</f>
        <v>2.4059718013468229E-4</v>
      </c>
      <c r="AJ43" s="18">
        <f t="shared" ca="1" si="10"/>
        <v>5.8820248328966991E-5</v>
      </c>
      <c r="AK43" s="18">
        <f t="shared" ca="1" si="11"/>
        <v>-2.2842555823099821E-2</v>
      </c>
      <c r="AL43" s="18">
        <f t="shared" ca="1" si="12"/>
        <v>5.8820248328966991E-5</v>
      </c>
      <c r="AM43" s="18">
        <f t="shared" ca="1" si="13"/>
        <v>2.4059718013468229E-4</v>
      </c>
      <c r="AN43" s="18">
        <f t="shared" ca="1" si="14"/>
        <v>0.2181303116147309</v>
      </c>
      <c r="AO43" s="18">
        <f t="shared" ca="1" si="15"/>
        <v>6.2322946175637398E-2</v>
      </c>
      <c r="AP43" s="18">
        <f t="shared" ca="1" si="16"/>
        <v>0.20963172804532579</v>
      </c>
      <c r="AQ43" s="18">
        <f t="shared" ca="1" si="17"/>
        <v>0.26628895184135976</v>
      </c>
      <c r="AR43" s="18">
        <f t="shared" ca="1" si="18"/>
        <v>0.24362606232294617</v>
      </c>
    </row>
    <row r="44" spans="1:44">
      <c r="A44" s="20">
        <v>29.7</v>
      </c>
      <c r="B44" s="20">
        <v>24.1</v>
      </c>
      <c r="C44" s="20">
        <v>258.10000000000002</v>
      </c>
      <c r="D44" s="21">
        <v>38</v>
      </c>
      <c r="E44" s="20">
        <v>128.1</v>
      </c>
      <c r="F44" s="18">
        <f t="shared" si="19"/>
        <v>-2.9852963149681274E-2</v>
      </c>
      <c r="G44" s="18">
        <f t="shared" si="20"/>
        <v>-2.8631812674327153E-2</v>
      </c>
      <c r="H44" s="18">
        <f t="shared" si="21"/>
        <v>7.7519383726921205E-4</v>
      </c>
      <c r="I44" s="18">
        <f t="shared" si="22"/>
        <v>-1.0471299867295366E-2</v>
      </c>
      <c r="J44" s="18">
        <f t="shared" si="23"/>
        <v>-7.6614029768024103E-2</v>
      </c>
      <c r="K44" s="18">
        <f t="shared" si="24"/>
        <v>-3.0266098742901613E-2</v>
      </c>
      <c r="L44" s="18">
        <f t="shared" si="25"/>
        <v>-2.9044948267547492E-2</v>
      </c>
      <c r="M44" s="18">
        <f t="shared" si="26"/>
        <v>3.6205824404887308E-4</v>
      </c>
      <c r="N44" s="18">
        <f t="shared" si="27"/>
        <v>-1.0884435460515705E-2</v>
      </c>
      <c r="O44" s="18">
        <f t="shared" si="28"/>
        <v>-7.7027165361244446E-2</v>
      </c>
      <c r="W44" s="18">
        <f t="shared" ca="1" si="29"/>
        <v>0.78</v>
      </c>
      <c r="X44" s="18">
        <f t="shared" ca="1" si="29"/>
        <v>0.96</v>
      </c>
      <c r="Y44" s="18">
        <f t="shared" ca="1" si="29"/>
        <v>0.35</v>
      </c>
      <c r="Z44" s="18">
        <f t="shared" ca="1" si="29"/>
        <v>0.19</v>
      </c>
      <c r="AA44" s="18">
        <f t="shared" ca="1" si="29"/>
        <v>0.81</v>
      </c>
      <c r="AB44" s="18">
        <f t="shared" ca="1" si="3"/>
        <v>3.09</v>
      </c>
      <c r="AC44" s="18">
        <f t="shared" ca="1" si="4"/>
        <v>0.25242718446601942</v>
      </c>
      <c r="AD44" s="18">
        <f t="shared" ca="1" si="5"/>
        <v>0.31067961165048547</v>
      </c>
      <c r="AE44" s="18">
        <f t="shared" ca="1" si="6"/>
        <v>0.11326860841423948</v>
      </c>
      <c r="AF44" s="18">
        <f t="shared" ca="1" si="7"/>
        <v>6.1488673139158581E-2</v>
      </c>
      <c r="AG44" s="18">
        <f t="shared" ca="1" si="8"/>
        <v>0.26213592233009714</v>
      </c>
      <c r="AH44" s="18">
        <f t="shared" ca="1" si="9"/>
        <v>1</v>
      </c>
      <c r="AI44" s="18" cm="1">
        <f t="array" aca="1" ref="AI44" ca="1">MMULT(MMULT(AC44:AG44,$Q$2:$U$6),TRANSPOSE(AC44:AG44))</f>
        <v>1.9604583279735804E-4</v>
      </c>
      <c r="AJ44" s="18">
        <f t="shared" ca="1" si="10"/>
        <v>-3.1859724507346024E-3</v>
      </c>
      <c r="AK44" s="18">
        <f t="shared" ca="1" si="11"/>
        <v>-0.25704909347036142</v>
      </c>
      <c r="AL44" s="18">
        <f t="shared" ca="1" si="12"/>
        <v>-3.1859724507346024E-3</v>
      </c>
      <c r="AM44" s="18">
        <f t="shared" ca="1" si="13"/>
        <v>1.9604583279735804E-4</v>
      </c>
      <c r="AN44" s="18">
        <f t="shared" ca="1" si="14"/>
        <v>0.25242718446601942</v>
      </c>
      <c r="AO44" s="18">
        <f t="shared" ca="1" si="15"/>
        <v>0.31067961165048547</v>
      </c>
      <c r="AP44" s="18">
        <f t="shared" ca="1" si="16"/>
        <v>0.11326860841423948</v>
      </c>
      <c r="AQ44" s="18">
        <f t="shared" ca="1" si="17"/>
        <v>6.1488673139158581E-2</v>
      </c>
      <c r="AR44" s="18">
        <f t="shared" ca="1" si="18"/>
        <v>0.26213592233009714</v>
      </c>
    </row>
    <row r="45" spans="1:44">
      <c r="A45" s="20">
        <v>29.2</v>
      </c>
      <c r="B45" s="20">
        <v>23.9</v>
      </c>
      <c r="C45" s="20">
        <v>261.60000000000002</v>
      </c>
      <c r="D45" s="21">
        <v>37.6</v>
      </c>
      <c r="E45" s="20">
        <v>128.6</v>
      </c>
      <c r="F45" s="18">
        <f t="shared" si="19"/>
        <v>-1.6978336534417906E-2</v>
      </c>
      <c r="G45" s="18">
        <f t="shared" si="20"/>
        <v>-8.3333815591444104E-3</v>
      </c>
      <c r="H45" s="18">
        <f t="shared" si="21"/>
        <v>1.3469512858475441E-2</v>
      </c>
      <c r="I45" s="18">
        <f t="shared" si="22"/>
        <v>-1.0582109330536859E-2</v>
      </c>
      <c r="J45" s="18">
        <f t="shared" si="23"/>
        <v>3.8956029008304555E-3</v>
      </c>
      <c r="K45" s="18">
        <f t="shared" si="24"/>
        <v>-1.7391472127638245E-2</v>
      </c>
      <c r="L45" s="18">
        <f t="shared" si="25"/>
        <v>-8.7465171523647498E-3</v>
      </c>
      <c r="M45" s="18">
        <f t="shared" si="26"/>
        <v>1.3056377265255102E-2</v>
      </c>
      <c r="N45" s="18">
        <f t="shared" si="27"/>
        <v>-1.0995244923757199E-2</v>
      </c>
      <c r="O45" s="18">
        <f t="shared" si="28"/>
        <v>3.4824673076101166E-3</v>
      </c>
      <c r="W45" s="18">
        <f t="shared" ca="1" si="29"/>
        <v>0.84</v>
      </c>
      <c r="X45" s="18">
        <f t="shared" ca="1" si="29"/>
        <v>0.12</v>
      </c>
      <c r="Y45" s="18">
        <f t="shared" ca="1" si="29"/>
        <v>0.37</v>
      </c>
      <c r="Z45" s="18">
        <f t="shared" ca="1" si="29"/>
        <v>0.68</v>
      </c>
      <c r="AA45" s="18">
        <f t="shared" ca="1" si="29"/>
        <v>0.84</v>
      </c>
      <c r="AB45" s="18">
        <f t="shared" ca="1" si="3"/>
        <v>2.85</v>
      </c>
      <c r="AC45" s="18">
        <f t="shared" ca="1" si="4"/>
        <v>0.29473684210526313</v>
      </c>
      <c r="AD45" s="18">
        <f t="shared" ca="1" si="5"/>
        <v>4.2105263157894736E-2</v>
      </c>
      <c r="AE45" s="18">
        <f t="shared" ca="1" si="6"/>
        <v>0.12982456140350876</v>
      </c>
      <c r="AF45" s="18">
        <f t="shared" ca="1" si="7"/>
        <v>0.2385964912280702</v>
      </c>
      <c r="AG45" s="18">
        <f t="shared" ca="1" si="8"/>
        <v>0.29473684210526313</v>
      </c>
      <c r="AH45" s="18">
        <f t="shared" ca="1" si="9"/>
        <v>1</v>
      </c>
      <c r="AI45" s="18" cm="1">
        <f t="array" aca="1" ref="AI45" ca="1">MMULT(MMULT(AC45:AG45,$Q$2:$U$6),TRANSPOSE(AC45:AG45))</f>
        <v>2.6453642805478194E-4</v>
      </c>
      <c r="AJ45" s="18">
        <f t="shared" ca="1" si="10"/>
        <v>2.1232233073192131E-3</v>
      </c>
      <c r="AK45" s="18">
        <f t="shared" ca="1" si="11"/>
        <v>0.1051418572692488</v>
      </c>
      <c r="AL45" s="18">
        <f t="shared" ca="1" si="12"/>
        <v>2.1232233073192131E-3</v>
      </c>
      <c r="AM45" s="18">
        <f t="shared" ca="1" si="13"/>
        <v>2.6453642805478194E-4</v>
      </c>
      <c r="AN45" s="18">
        <f t="shared" ca="1" si="14"/>
        <v>0.29473684210526313</v>
      </c>
      <c r="AO45" s="18">
        <f t="shared" ca="1" si="15"/>
        <v>4.2105263157894736E-2</v>
      </c>
      <c r="AP45" s="18">
        <f t="shared" ca="1" si="16"/>
        <v>0.12982456140350876</v>
      </c>
      <c r="AQ45" s="18">
        <f t="shared" ca="1" si="17"/>
        <v>0.2385964912280702</v>
      </c>
      <c r="AR45" s="18">
        <f t="shared" ca="1" si="18"/>
        <v>0.29473684210526313</v>
      </c>
    </row>
    <row r="46" spans="1:44">
      <c r="A46" s="20">
        <v>29.2</v>
      </c>
      <c r="B46" s="20">
        <v>24</v>
      </c>
      <c r="C46" s="20">
        <v>257.89999999999998</v>
      </c>
      <c r="D46" s="21">
        <v>38</v>
      </c>
      <c r="E46" s="20">
        <v>135.69999999999999</v>
      </c>
      <c r="F46" s="18">
        <f t="shared" si="19"/>
        <v>0</v>
      </c>
      <c r="G46" s="18">
        <f t="shared" si="20"/>
        <v>4.175371410480592E-3</v>
      </c>
      <c r="H46" s="18">
        <f t="shared" si="21"/>
        <v>-1.4244706695744673E-2</v>
      </c>
      <c r="I46" s="18">
        <f t="shared" si="22"/>
        <v>1.0582109330537008E-2</v>
      </c>
      <c r="J46" s="18">
        <f t="shared" si="23"/>
        <v>5.3739755037304424E-2</v>
      </c>
      <c r="K46" s="18">
        <f t="shared" si="24"/>
        <v>-4.1313559322033898E-4</v>
      </c>
      <c r="L46" s="18">
        <f t="shared" si="25"/>
        <v>3.762235817260253E-3</v>
      </c>
      <c r="M46" s="18">
        <f t="shared" si="26"/>
        <v>-1.4657842288965012E-2</v>
      </c>
      <c r="N46" s="18">
        <f t="shared" si="27"/>
        <v>1.0168973737316669E-2</v>
      </c>
      <c r="O46" s="18">
        <f t="shared" si="28"/>
        <v>5.3326619444084088E-2</v>
      </c>
      <c r="W46" s="18">
        <f t="shared" ca="1" si="29"/>
        <v>0.84</v>
      </c>
      <c r="X46" s="18">
        <f t="shared" ca="1" si="29"/>
        <v>0.61</v>
      </c>
      <c r="Y46" s="18">
        <f t="shared" ca="1" si="29"/>
        <v>0.82</v>
      </c>
      <c r="Z46" s="18">
        <f t="shared" ca="1" si="29"/>
        <v>0.5</v>
      </c>
      <c r="AA46" s="18">
        <f t="shared" ca="1" si="29"/>
        <v>0.47</v>
      </c>
      <c r="AB46" s="18">
        <f t="shared" ca="1" si="3"/>
        <v>3.24</v>
      </c>
      <c r="AC46" s="18">
        <f t="shared" ca="1" si="4"/>
        <v>0.25925925925925924</v>
      </c>
      <c r="AD46" s="18">
        <f t="shared" ca="1" si="5"/>
        <v>0.18827160493827158</v>
      </c>
      <c r="AE46" s="18">
        <f t="shared" ca="1" si="6"/>
        <v>0.25308641975308638</v>
      </c>
      <c r="AF46" s="18">
        <f t="shared" ca="1" si="7"/>
        <v>0.15432098765432098</v>
      </c>
      <c r="AG46" s="18">
        <f t="shared" ca="1" si="8"/>
        <v>0.14506172839506171</v>
      </c>
      <c r="AH46" s="18">
        <f t="shared" ca="1" si="9"/>
        <v>1</v>
      </c>
      <c r="AI46" s="18" cm="1">
        <f t="array" aca="1" ref="AI46" ca="1">MMULT(MMULT(AC46:AG46,$Q$2:$U$6),TRANSPOSE(AC46:AG46))</f>
        <v>1.5825685380885769E-4</v>
      </c>
      <c r="AJ46" s="18">
        <f t="shared" ca="1" si="10"/>
        <v>-3.3475480086426397E-3</v>
      </c>
      <c r="AK46" s="18">
        <f t="shared" ca="1" si="11"/>
        <v>-0.29894103417264817</v>
      </c>
      <c r="AL46" s="18">
        <f t="shared" ca="1" si="12"/>
        <v>-3.3475480086426397E-3</v>
      </c>
      <c r="AM46" s="18">
        <f t="shared" ca="1" si="13"/>
        <v>1.5825685380885769E-4</v>
      </c>
      <c r="AN46" s="18">
        <f t="shared" ca="1" si="14"/>
        <v>0.25925925925925924</v>
      </c>
      <c r="AO46" s="18">
        <f t="shared" ca="1" si="15"/>
        <v>0.18827160493827158</v>
      </c>
      <c r="AP46" s="18">
        <f t="shared" ca="1" si="16"/>
        <v>0.25308641975308638</v>
      </c>
      <c r="AQ46" s="18">
        <f t="shared" ca="1" si="17"/>
        <v>0.15432098765432098</v>
      </c>
      <c r="AR46" s="18">
        <f t="shared" ca="1" si="18"/>
        <v>0.14506172839506171</v>
      </c>
    </row>
    <row r="47" spans="1:44">
      <c r="A47" s="20">
        <v>28.7</v>
      </c>
      <c r="B47" s="20">
        <v>23.6</v>
      </c>
      <c r="C47" s="20">
        <v>256.10000000000002</v>
      </c>
      <c r="D47" s="21">
        <v>37.1</v>
      </c>
      <c r="E47" s="20">
        <v>131.80000000000001</v>
      </c>
      <c r="F47" s="18">
        <f t="shared" si="19"/>
        <v>-1.7271586508660595E-2</v>
      </c>
      <c r="G47" s="18">
        <f t="shared" si="20"/>
        <v>-1.6807118316381174E-2</v>
      </c>
      <c r="H47" s="18">
        <f t="shared" si="21"/>
        <v>-7.0039196818193197E-3</v>
      </c>
      <c r="I47" s="18">
        <f t="shared" si="22"/>
        <v>-2.3969190112996277E-2</v>
      </c>
      <c r="J47" s="18">
        <f t="shared" si="23"/>
        <v>-2.9160944772416458E-2</v>
      </c>
      <c r="K47" s="18">
        <f t="shared" si="24"/>
        <v>-1.7684722101880934E-2</v>
      </c>
      <c r="L47" s="18">
        <f t="shared" si="25"/>
        <v>-1.7220253909601514E-2</v>
      </c>
      <c r="M47" s="18">
        <f t="shared" si="26"/>
        <v>-7.4170552750396582E-3</v>
      </c>
      <c r="N47" s="18">
        <f t="shared" si="27"/>
        <v>-2.4382325706216616E-2</v>
      </c>
      <c r="O47" s="18">
        <f t="shared" si="28"/>
        <v>-2.9574080365636798E-2</v>
      </c>
      <c r="W47" s="18">
        <f t="shared" ca="1" si="29"/>
        <v>0.02</v>
      </c>
      <c r="X47" s="18">
        <f t="shared" ca="1" si="29"/>
        <v>0.96</v>
      </c>
      <c r="Y47" s="18">
        <f t="shared" ca="1" si="29"/>
        <v>0.04</v>
      </c>
      <c r="Z47" s="18">
        <f t="shared" ca="1" si="29"/>
        <v>0.59</v>
      </c>
      <c r="AA47" s="18">
        <f t="shared" ca="1" si="29"/>
        <v>0.44</v>
      </c>
      <c r="AB47" s="18">
        <f t="shared" ca="1" si="3"/>
        <v>2.0499999999999998</v>
      </c>
      <c r="AC47" s="18">
        <f t="shared" ca="1" si="4"/>
        <v>9.7560975609756115E-3</v>
      </c>
      <c r="AD47" s="18">
        <f t="shared" ca="1" si="5"/>
        <v>0.4682926829268293</v>
      </c>
      <c r="AE47" s="18">
        <f t="shared" ca="1" si="6"/>
        <v>1.9512195121951223E-2</v>
      </c>
      <c r="AF47" s="18">
        <f t="shared" ca="1" si="7"/>
        <v>0.28780487804878052</v>
      </c>
      <c r="AG47" s="18">
        <f t="shared" ca="1" si="8"/>
        <v>0.21463414634146344</v>
      </c>
      <c r="AH47" s="18">
        <f t="shared" ca="1" si="9"/>
        <v>1</v>
      </c>
      <c r="AI47" s="18" cm="1">
        <f t="array" aca="1" ref="AI47" ca="1">MMULT(MMULT(AC47:AG47,$Q$2:$U$6),TRANSPOSE(AC47:AG47))</f>
        <v>2.7087691372813176E-4</v>
      </c>
      <c r="AJ47" s="18">
        <f t="shared" ca="1" si="10"/>
        <v>-3.4712878047087614E-3</v>
      </c>
      <c r="AK47" s="18">
        <f t="shared" ca="1" si="11"/>
        <v>-0.2360155214824689</v>
      </c>
      <c r="AL47" s="18">
        <f t="shared" ca="1" si="12"/>
        <v>-3.4712878047087614E-3</v>
      </c>
      <c r="AM47" s="18">
        <f t="shared" ca="1" si="13"/>
        <v>2.7087691372813176E-4</v>
      </c>
      <c r="AN47" s="18">
        <f t="shared" ca="1" si="14"/>
        <v>9.7560975609756115E-3</v>
      </c>
      <c r="AO47" s="18">
        <f t="shared" ca="1" si="15"/>
        <v>0.4682926829268293</v>
      </c>
      <c r="AP47" s="18">
        <f t="shared" ca="1" si="16"/>
        <v>1.9512195121951223E-2</v>
      </c>
      <c r="AQ47" s="18">
        <f t="shared" ca="1" si="17"/>
        <v>0.28780487804878052</v>
      </c>
      <c r="AR47" s="18">
        <f t="shared" ca="1" si="18"/>
        <v>0.21463414634146344</v>
      </c>
    </row>
    <row r="48" spans="1:44">
      <c r="A48" s="20">
        <v>29.3</v>
      </c>
      <c r="B48" s="20">
        <v>23.9</v>
      </c>
      <c r="C48" s="20">
        <v>254.4</v>
      </c>
      <c r="D48" s="21">
        <v>38.200000000000003</v>
      </c>
      <c r="E48" s="20">
        <v>144</v>
      </c>
      <c r="F48" s="18">
        <f t="shared" si="19"/>
        <v>2.0690393257446246E-2</v>
      </c>
      <c r="G48" s="18">
        <f t="shared" si="20"/>
        <v>1.2631746905900564E-2</v>
      </c>
      <c r="H48" s="18">
        <f t="shared" si="21"/>
        <v>-6.6601617395124907E-3</v>
      </c>
      <c r="I48" s="18">
        <f t="shared" si="22"/>
        <v>2.9218545999140005E-2</v>
      </c>
      <c r="J48" s="18">
        <f t="shared" si="23"/>
        <v>8.8527677507593688E-2</v>
      </c>
      <c r="K48" s="18">
        <f t="shared" si="24"/>
        <v>2.0277257664225907E-2</v>
      </c>
      <c r="L48" s="18">
        <f t="shared" si="25"/>
        <v>1.2218611312680224E-2</v>
      </c>
      <c r="M48" s="18">
        <f t="shared" si="26"/>
        <v>-7.0732973327328301E-3</v>
      </c>
      <c r="N48" s="18">
        <f t="shared" si="27"/>
        <v>2.8805410405919666E-2</v>
      </c>
      <c r="O48" s="18">
        <f t="shared" si="28"/>
        <v>8.8114541914373345E-2</v>
      </c>
      <c r="W48" s="18">
        <f t="shared" ca="1" si="29"/>
        <v>0.71</v>
      </c>
      <c r="X48" s="18">
        <f t="shared" ca="1" si="29"/>
        <v>0.86</v>
      </c>
      <c r="Y48" s="18">
        <f t="shared" ca="1" si="29"/>
        <v>0.75</v>
      </c>
      <c r="Z48" s="18">
        <f t="shared" ca="1" si="29"/>
        <v>0.99</v>
      </c>
      <c r="AA48" s="18">
        <f t="shared" ca="1" si="29"/>
        <v>0.79</v>
      </c>
      <c r="AB48" s="18">
        <f t="shared" ca="1" si="3"/>
        <v>4.0999999999999996</v>
      </c>
      <c r="AC48" s="18">
        <f t="shared" ca="1" si="4"/>
        <v>0.17317073170731709</v>
      </c>
      <c r="AD48" s="18">
        <f t="shared" ca="1" si="5"/>
        <v>0.20975609756097563</v>
      </c>
      <c r="AE48" s="18">
        <f t="shared" ca="1" si="6"/>
        <v>0.18292682926829271</v>
      </c>
      <c r="AF48" s="18">
        <f t="shared" ca="1" si="7"/>
        <v>0.24146341463414636</v>
      </c>
      <c r="AG48" s="18">
        <f t="shared" ca="1" si="8"/>
        <v>0.19268292682926833</v>
      </c>
      <c r="AH48" s="18">
        <f t="shared" ca="1" si="9"/>
        <v>1</v>
      </c>
      <c r="AI48" s="18" cm="1">
        <f t="array" aca="1" ref="AI48" ca="1">MMULT(MMULT(AC48:AG48,$Q$2:$U$6),TRANSPOSE(AC48:AG48))</f>
        <v>2.0630854846818948E-4</v>
      </c>
      <c r="AJ48" s="18">
        <f t="shared" ca="1" si="10"/>
        <v>-2.1302068604793977E-3</v>
      </c>
      <c r="AK48" s="18">
        <f t="shared" ca="1" si="11"/>
        <v>-0.17707050621363138</v>
      </c>
      <c r="AL48" s="18">
        <f t="shared" ca="1" si="12"/>
        <v>-2.1302068604793977E-3</v>
      </c>
      <c r="AM48" s="18">
        <f t="shared" ca="1" si="13"/>
        <v>2.0630854846818948E-4</v>
      </c>
      <c r="AN48" s="18">
        <f t="shared" ca="1" si="14"/>
        <v>0.17317073170731709</v>
      </c>
      <c r="AO48" s="18">
        <f t="shared" ca="1" si="15"/>
        <v>0.20975609756097563</v>
      </c>
      <c r="AP48" s="18">
        <f t="shared" ca="1" si="16"/>
        <v>0.18292682926829271</v>
      </c>
      <c r="AQ48" s="18">
        <f t="shared" ca="1" si="17"/>
        <v>0.24146341463414636</v>
      </c>
      <c r="AR48" s="18">
        <f t="shared" ca="1" si="18"/>
        <v>0.19268292682926833</v>
      </c>
    </row>
    <row r="49" spans="1:44">
      <c r="A49" s="20">
        <v>29.7</v>
      </c>
      <c r="B49" s="20">
        <v>23.5</v>
      </c>
      <c r="C49" s="20">
        <v>252.8</v>
      </c>
      <c r="D49" s="21">
        <v>38.5</v>
      </c>
      <c r="E49" s="20">
        <v>145.9</v>
      </c>
      <c r="F49" s="18">
        <f t="shared" si="19"/>
        <v>1.3559529785632294E-2</v>
      </c>
      <c r="G49" s="18">
        <f t="shared" si="20"/>
        <v>-1.6878037787351637E-2</v>
      </c>
      <c r="H49" s="18">
        <f t="shared" si="21"/>
        <v>-6.309169193264721E-3</v>
      </c>
      <c r="I49" s="18">
        <f t="shared" si="22"/>
        <v>7.8227256812088575E-3</v>
      </c>
      <c r="J49" s="18">
        <f t="shared" si="23"/>
        <v>1.3108155952739405E-2</v>
      </c>
      <c r="K49" s="18">
        <f t="shared" si="24"/>
        <v>1.3146394192411955E-2</v>
      </c>
      <c r="L49" s="18">
        <f t="shared" si="25"/>
        <v>-1.7291173380571977E-2</v>
      </c>
      <c r="M49" s="18">
        <f t="shared" si="26"/>
        <v>-6.7223047864850595E-3</v>
      </c>
      <c r="N49" s="18">
        <f t="shared" si="27"/>
        <v>7.4095900879885181E-3</v>
      </c>
      <c r="O49" s="18">
        <f t="shared" si="28"/>
        <v>1.2695020359519065E-2</v>
      </c>
      <c r="W49" s="18">
        <f t="shared" ca="1" si="29"/>
        <v>0.97</v>
      </c>
      <c r="X49" s="18">
        <f t="shared" ca="1" si="29"/>
        <v>0.35</v>
      </c>
      <c r="Y49" s="18">
        <f t="shared" ca="1" si="29"/>
        <v>0.43</v>
      </c>
      <c r="Z49" s="18">
        <f t="shared" ca="1" si="29"/>
        <v>0.39</v>
      </c>
      <c r="AA49" s="18">
        <f t="shared" ca="1" si="29"/>
        <v>0.79</v>
      </c>
      <c r="AB49" s="18">
        <f t="shared" ca="1" si="3"/>
        <v>2.9299999999999997</v>
      </c>
      <c r="AC49" s="18">
        <f t="shared" ca="1" si="4"/>
        <v>0.33105802047781574</v>
      </c>
      <c r="AD49" s="18">
        <f t="shared" ca="1" si="5"/>
        <v>0.11945392491467577</v>
      </c>
      <c r="AE49" s="18">
        <f t="shared" ca="1" si="6"/>
        <v>0.14675767918088739</v>
      </c>
      <c r="AF49" s="18">
        <f t="shared" ca="1" si="7"/>
        <v>0.13310580204778158</v>
      </c>
      <c r="AG49" s="18">
        <f t="shared" ca="1" si="8"/>
        <v>0.2696245733788396</v>
      </c>
      <c r="AH49" s="18">
        <f t="shared" ca="1" si="9"/>
        <v>1</v>
      </c>
      <c r="AI49" s="18" cm="1">
        <f t="array" aca="1" ref="AI49" ca="1">MMULT(MMULT(AC49:AG49,$Q$2:$U$6),TRANSPOSE(AC49:AG49))</f>
        <v>2.0993379654300564E-4</v>
      </c>
      <c r="AJ49" s="18">
        <f t="shared" ca="1" si="10"/>
        <v>3.1346147377386249E-5</v>
      </c>
      <c r="AK49" s="18">
        <f t="shared" ca="1" si="11"/>
        <v>-2.6350128576123559E-2</v>
      </c>
      <c r="AL49" s="18">
        <f t="shared" ca="1" si="12"/>
        <v>3.1346147377386249E-5</v>
      </c>
      <c r="AM49" s="18">
        <f t="shared" ca="1" si="13"/>
        <v>2.0993379654300564E-4</v>
      </c>
      <c r="AN49" s="18">
        <f t="shared" ca="1" si="14"/>
        <v>0.33105802047781574</v>
      </c>
      <c r="AO49" s="18">
        <f t="shared" ca="1" si="15"/>
        <v>0.11945392491467577</v>
      </c>
      <c r="AP49" s="18">
        <f t="shared" ca="1" si="16"/>
        <v>0.14675767918088739</v>
      </c>
      <c r="AQ49" s="18">
        <f t="shared" ca="1" si="17"/>
        <v>0.13310580204778158</v>
      </c>
      <c r="AR49" s="18">
        <f t="shared" ca="1" si="18"/>
        <v>0.2696245733788396</v>
      </c>
    </row>
    <row r="50" spans="1:44">
      <c r="A50" s="20">
        <v>30.2</v>
      </c>
      <c r="B50" s="20">
        <v>23.9</v>
      </c>
      <c r="C50" s="20">
        <v>256</v>
      </c>
      <c r="D50" s="21">
        <v>40</v>
      </c>
      <c r="E50" s="20">
        <v>144.1</v>
      </c>
      <c r="F50" s="18">
        <f t="shared" si="19"/>
        <v>1.6694878572170054E-2</v>
      </c>
      <c r="G50" s="18">
        <f t="shared" si="20"/>
        <v>1.6878037787351731E-2</v>
      </c>
      <c r="H50" s="18">
        <f t="shared" si="21"/>
        <v>1.2578782206859965E-2</v>
      </c>
      <c r="I50" s="18">
        <f t="shared" si="22"/>
        <v>3.8221212820197671E-2</v>
      </c>
      <c r="J50" s="18">
        <f t="shared" si="23"/>
        <v>-1.2413952523263617E-2</v>
      </c>
      <c r="K50" s="18">
        <f t="shared" si="24"/>
        <v>1.6281742978949715E-2</v>
      </c>
      <c r="L50" s="18">
        <f t="shared" si="25"/>
        <v>1.6464902194131392E-2</v>
      </c>
      <c r="M50" s="18">
        <f t="shared" si="26"/>
        <v>1.2165646613639626E-2</v>
      </c>
      <c r="N50" s="18">
        <f t="shared" si="27"/>
        <v>3.7808077226977335E-2</v>
      </c>
      <c r="O50" s="18">
        <f t="shared" si="28"/>
        <v>-1.2827088116483957E-2</v>
      </c>
      <c r="W50" s="18">
        <f t="shared" ca="1" si="29"/>
        <v>0.63</v>
      </c>
      <c r="X50" s="18">
        <f t="shared" ca="1" si="29"/>
        <v>0.99</v>
      </c>
      <c r="Y50" s="18">
        <f t="shared" ca="1" si="29"/>
        <v>7.0000000000000007E-2</v>
      </c>
      <c r="Z50" s="18">
        <f t="shared" ca="1" si="29"/>
        <v>0.08</v>
      </c>
      <c r="AA50" s="18">
        <f t="shared" ca="1" si="29"/>
        <v>0.72</v>
      </c>
      <c r="AB50" s="18">
        <f t="shared" ca="1" si="3"/>
        <v>2.4900000000000002</v>
      </c>
      <c r="AC50" s="18">
        <f t="shared" ca="1" si="4"/>
        <v>0.25301204819277107</v>
      </c>
      <c r="AD50" s="18">
        <f t="shared" ca="1" si="5"/>
        <v>0.39759036144578308</v>
      </c>
      <c r="AE50" s="18">
        <f t="shared" ca="1" si="6"/>
        <v>2.8112449799196786E-2</v>
      </c>
      <c r="AF50" s="18">
        <f t="shared" ca="1" si="7"/>
        <v>3.2128514056224897E-2</v>
      </c>
      <c r="AG50" s="18">
        <f t="shared" ca="1" si="8"/>
        <v>0.28915662650602408</v>
      </c>
      <c r="AH50" s="18">
        <f t="shared" ca="1" si="9"/>
        <v>0.99999999999999978</v>
      </c>
      <c r="AI50" s="18" cm="1">
        <f t="array" aca="1" ref="AI50" ca="1">MMULT(MMULT(AC50:AG50,$Q$2:$U$6),TRANSPOSE(AC50:AG50))</f>
        <v>2.244207533001628E-4</v>
      </c>
      <c r="AJ50" s="18">
        <f t="shared" ca="1" si="10"/>
        <v>-3.0817359447386488E-3</v>
      </c>
      <c r="AK50" s="18">
        <f t="shared" ca="1" si="11"/>
        <v>-0.23329192622721287</v>
      </c>
      <c r="AL50" s="18">
        <f t="shared" ca="1" si="12"/>
        <v>-3.0817359447386488E-3</v>
      </c>
      <c r="AM50" s="18">
        <f t="shared" ca="1" si="13"/>
        <v>2.244207533001628E-4</v>
      </c>
      <c r="AN50" s="18">
        <f t="shared" ca="1" si="14"/>
        <v>0.25301204819277107</v>
      </c>
      <c r="AO50" s="18">
        <f t="shared" ca="1" si="15"/>
        <v>0.39759036144578308</v>
      </c>
      <c r="AP50" s="18">
        <f t="shared" ca="1" si="16"/>
        <v>2.8112449799196786E-2</v>
      </c>
      <c r="AQ50" s="18">
        <f t="shared" ca="1" si="17"/>
        <v>3.2128514056224897E-2</v>
      </c>
      <c r="AR50" s="18">
        <f t="shared" ca="1" si="18"/>
        <v>0.28915662650602408</v>
      </c>
    </row>
    <row r="51" spans="1:44">
      <c r="A51" s="20">
        <v>29.9</v>
      </c>
      <c r="B51" s="20">
        <v>24.1</v>
      </c>
      <c r="C51" s="20">
        <v>259.7</v>
      </c>
      <c r="D51" s="21">
        <v>41.1</v>
      </c>
      <c r="E51" s="20">
        <v>148.30000000000001</v>
      </c>
      <c r="F51" s="18">
        <f t="shared" si="19"/>
        <v>-9.9834439841832625E-3</v>
      </c>
      <c r="G51" s="18">
        <f t="shared" si="20"/>
        <v>8.3333815591444607E-3</v>
      </c>
      <c r="H51" s="18">
        <f t="shared" si="21"/>
        <v>1.4349674189140241E-2</v>
      </c>
      <c r="I51" s="18">
        <f t="shared" si="22"/>
        <v>2.7128667388252696E-2</v>
      </c>
      <c r="J51" s="18">
        <f t="shared" si="23"/>
        <v>2.8729746138410034E-2</v>
      </c>
      <c r="K51" s="18">
        <f t="shared" si="24"/>
        <v>-1.0396579577403602E-2</v>
      </c>
      <c r="L51" s="18">
        <f t="shared" si="25"/>
        <v>7.9202459659241213E-3</v>
      </c>
      <c r="M51" s="18">
        <f t="shared" si="26"/>
        <v>1.3936538595919902E-2</v>
      </c>
      <c r="N51" s="18">
        <f t="shared" si="27"/>
        <v>2.6715531795032357E-2</v>
      </c>
      <c r="O51" s="18">
        <f t="shared" si="28"/>
        <v>2.8316610545189694E-2</v>
      </c>
      <c r="W51" s="18">
        <f t="shared" ca="1" si="29"/>
        <v>0.82</v>
      </c>
      <c r="X51" s="18">
        <f t="shared" ca="1" si="29"/>
        <v>0.15</v>
      </c>
      <c r="Y51" s="18">
        <f t="shared" ca="1" si="29"/>
        <v>7.0000000000000007E-2</v>
      </c>
      <c r="Z51" s="18">
        <f t="shared" ca="1" si="29"/>
        <v>0.12</v>
      </c>
      <c r="AA51" s="18">
        <f t="shared" ca="1" si="29"/>
        <v>0.14000000000000001</v>
      </c>
      <c r="AB51" s="18">
        <f t="shared" ca="1" si="3"/>
        <v>1.3000000000000003</v>
      </c>
      <c r="AC51" s="18">
        <f t="shared" ca="1" si="4"/>
        <v>0.63076923076923064</v>
      </c>
      <c r="AD51" s="18">
        <f t="shared" ca="1" si="5"/>
        <v>0.11538461538461536</v>
      </c>
      <c r="AE51" s="18">
        <f t="shared" ca="1" si="6"/>
        <v>5.3846153846153842E-2</v>
      </c>
      <c r="AF51" s="18">
        <f t="shared" ca="1" si="7"/>
        <v>9.2307692307692285E-2</v>
      </c>
      <c r="AG51" s="18">
        <f t="shared" ca="1" si="8"/>
        <v>0.10769230769230768</v>
      </c>
      <c r="AH51" s="18">
        <f t="shared" ca="1" si="9"/>
        <v>0.99999999999999978</v>
      </c>
      <c r="AI51" s="18" cm="1">
        <f t="array" aca="1" ref="AI51" ca="1">MMULT(MMULT(AC51:AG51,$Q$2:$U$6),TRANSPOSE(AC51:AG51))</f>
        <v>1.7311851440503337E-4</v>
      </c>
      <c r="AJ51" s="18">
        <f t="shared" ca="1" si="10"/>
        <v>3.0465709438524937E-3</v>
      </c>
      <c r="AK51" s="18">
        <f t="shared" ca="1" si="11"/>
        <v>0.20014783782818721</v>
      </c>
      <c r="AL51" s="18">
        <f t="shared" ca="1" si="12"/>
        <v>3.0465709438524937E-3</v>
      </c>
      <c r="AM51" s="18">
        <f t="shared" ca="1" si="13"/>
        <v>1.7311851440503337E-4</v>
      </c>
      <c r="AN51" s="18">
        <f t="shared" ca="1" si="14"/>
        <v>0.63076923076923064</v>
      </c>
      <c r="AO51" s="18">
        <f t="shared" ca="1" si="15"/>
        <v>0.11538461538461536</v>
      </c>
      <c r="AP51" s="18">
        <f t="shared" ca="1" si="16"/>
        <v>5.3846153846153842E-2</v>
      </c>
      <c r="AQ51" s="18">
        <f t="shared" ca="1" si="17"/>
        <v>9.2307692307692285E-2</v>
      </c>
      <c r="AR51" s="18">
        <f t="shared" ca="1" si="18"/>
        <v>0.10769230769230768</v>
      </c>
    </row>
    <row r="52" spans="1:44">
      <c r="A52" s="20">
        <v>29.2</v>
      </c>
      <c r="B52" s="20">
        <v>24.1</v>
      </c>
      <c r="C52" s="20">
        <v>259.8</v>
      </c>
      <c r="D52" s="21">
        <v>40.6</v>
      </c>
      <c r="E52" s="20">
        <v>157.1</v>
      </c>
      <c r="F52" s="18">
        <f t="shared" si="19"/>
        <v>-2.3689771122404665E-2</v>
      </c>
      <c r="G52" s="18">
        <f t="shared" si="20"/>
        <v>0</v>
      </c>
      <c r="H52" s="18">
        <f t="shared" si="21"/>
        <v>3.8498556779652086E-4</v>
      </c>
      <c r="I52" s="18">
        <f t="shared" si="22"/>
        <v>-1.224005489450195E-2</v>
      </c>
      <c r="J52" s="18">
        <f t="shared" si="23"/>
        <v>5.7645296117688899E-2</v>
      </c>
      <c r="K52" s="18">
        <f t="shared" si="24"/>
        <v>-2.4102906715625004E-2</v>
      </c>
      <c r="L52" s="18">
        <f t="shared" si="25"/>
        <v>-4.1313559322033898E-4</v>
      </c>
      <c r="M52" s="18">
        <f t="shared" si="26"/>
        <v>-2.8150025423818114E-5</v>
      </c>
      <c r="N52" s="18">
        <f t="shared" si="27"/>
        <v>-1.265319048772229E-2</v>
      </c>
      <c r="O52" s="18">
        <f t="shared" si="28"/>
        <v>5.7232160524468563E-2</v>
      </c>
      <c r="W52" s="18">
        <f t="shared" ca="1" si="29"/>
        <v>0.52</v>
      </c>
      <c r="X52" s="18">
        <f t="shared" ca="1" si="29"/>
        <v>0.3</v>
      </c>
      <c r="Y52" s="18">
        <f t="shared" ca="1" si="29"/>
        <v>0.68</v>
      </c>
      <c r="Z52" s="18">
        <f t="shared" ca="1" si="29"/>
        <v>0.1</v>
      </c>
      <c r="AA52" s="18">
        <f t="shared" ca="1" si="29"/>
        <v>0.28999999999999998</v>
      </c>
      <c r="AB52" s="18">
        <f t="shared" ca="1" si="3"/>
        <v>1.8900000000000001</v>
      </c>
      <c r="AC52" s="18">
        <f t="shared" ca="1" si="4"/>
        <v>0.27513227513227512</v>
      </c>
      <c r="AD52" s="18">
        <f t="shared" ca="1" si="5"/>
        <v>0.15873015873015872</v>
      </c>
      <c r="AE52" s="18">
        <f t="shared" ca="1" si="6"/>
        <v>0.35978835978835977</v>
      </c>
      <c r="AF52" s="18">
        <f t="shared" ca="1" si="7"/>
        <v>5.2910052910052907E-2</v>
      </c>
      <c r="AG52" s="18">
        <f t="shared" ca="1" si="8"/>
        <v>0.15343915343915343</v>
      </c>
      <c r="AH52" s="18">
        <f t="shared" ca="1" si="9"/>
        <v>1</v>
      </c>
      <c r="AI52" s="18" cm="1">
        <f t="array" aca="1" ref="AI52" ca="1">MMULT(MMULT(AC52:AG52,$Q$2:$U$6),TRANSPOSE(AC52:AG52))</f>
        <v>1.3683162121724403E-4</v>
      </c>
      <c r="AJ52" s="18">
        <f t="shared" ca="1" si="10"/>
        <v>-5.5768804130377596E-3</v>
      </c>
      <c r="AK52" s="18">
        <f t="shared" ca="1" si="11"/>
        <v>-0.5120763829726902</v>
      </c>
      <c r="AL52" s="18">
        <f t="shared" ca="1" si="12"/>
        <v>-5.5768804130377596E-3</v>
      </c>
      <c r="AM52" s="18">
        <f t="shared" ca="1" si="13"/>
        <v>1.3683162121724403E-4</v>
      </c>
      <c r="AN52" s="18">
        <f t="shared" ca="1" si="14"/>
        <v>0.27513227513227512</v>
      </c>
      <c r="AO52" s="18">
        <f t="shared" ca="1" si="15"/>
        <v>0.15873015873015872</v>
      </c>
      <c r="AP52" s="18">
        <f t="shared" ca="1" si="16"/>
        <v>0.35978835978835977</v>
      </c>
      <c r="AQ52" s="18">
        <f t="shared" ca="1" si="17"/>
        <v>5.2910052910052907E-2</v>
      </c>
      <c r="AR52" s="18">
        <f t="shared" ca="1" si="18"/>
        <v>0.15343915343915343</v>
      </c>
    </row>
    <row r="53" spans="1:44">
      <c r="A53" s="20">
        <v>29.5</v>
      </c>
      <c r="B53" s="20">
        <v>24.9</v>
      </c>
      <c r="C53" s="20">
        <v>265.2</v>
      </c>
      <c r="D53" s="21">
        <v>42</v>
      </c>
      <c r="E53" s="20">
        <v>154.4</v>
      </c>
      <c r="F53" s="18">
        <f t="shared" si="19"/>
        <v>1.0221554071538009E-2</v>
      </c>
      <c r="G53" s="18">
        <f t="shared" si="20"/>
        <v>3.2655962974052502E-2</v>
      </c>
      <c r="H53" s="18">
        <f t="shared" si="21"/>
        <v>2.0572154075208102E-2</v>
      </c>
      <c r="I53" s="18">
        <f t="shared" si="22"/>
        <v>3.3901551675681416E-2</v>
      </c>
      <c r="J53" s="18">
        <f t="shared" si="23"/>
        <v>-1.733590767089959E-2</v>
      </c>
      <c r="K53" s="18">
        <f t="shared" si="24"/>
        <v>9.8084184783176695E-3</v>
      </c>
      <c r="L53" s="18">
        <f t="shared" si="25"/>
        <v>3.2242827380832166E-2</v>
      </c>
      <c r="M53" s="18">
        <f t="shared" si="26"/>
        <v>2.0159018481987763E-2</v>
      </c>
      <c r="N53" s="18">
        <f t="shared" si="27"/>
        <v>3.348841608246108E-2</v>
      </c>
      <c r="O53" s="18">
        <f t="shared" si="28"/>
        <v>-1.774904326411993E-2</v>
      </c>
      <c r="W53" s="18">
        <f t="shared" ca="1" si="29"/>
        <v>0.16</v>
      </c>
      <c r="X53" s="18">
        <f t="shared" ca="1" si="29"/>
        <v>0.63</v>
      </c>
      <c r="Y53" s="18">
        <f t="shared" ca="1" si="29"/>
        <v>0.09</v>
      </c>
      <c r="Z53" s="18">
        <f t="shared" ca="1" si="29"/>
        <v>0.5</v>
      </c>
      <c r="AA53" s="18">
        <f t="shared" ca="1" si="29"/>
        <v>0.01</v>
      </c>
      <c r="AB53" s="18">
        <f t="shared" ca="1" si="3"/>
        <v>1.39</v>
      </c>
      <c r="AC53" s="18">
        <f t="shared" ca="1" si="4"/>
        <v>0.11510791366906475</v>
      </c>
      <c r="AD53" s="18">
        <f t="shared" ca="1" si="5"/>
        <v>0.45323741007194246</v>
      </c>
      <c r="AE53" s="18">
        <f t="shared" ca="1" si="6"/>
        <v>6.4748201438848921E-2</v>
      </c>
      <c r="AF53" s="18">
        <f t="shared" ca="1" si="7"/>
        <v>0.35971223021582738</v>
      </c>
      <c r="AG53" s="18">
        <f t="shared" ca="1" si="8"/>
        <v>7.1942446043165471E-3</v>
      </c>
      <c r="AH53" s="18">
        <f t="shared" ca="1" si="9"/>
        <v>1</v>
      </c>
      <c r="AI53" s="18" cm="1">
        <f t="array" aca="1" ref="AI53" ca="1">MMULT(MMULT(AC53:AG53,$Q$2:$U$6),TRANSPOSE(AC53:AG53))</f>
        <v>2.7872338794968066E-4</v>
      </c>
      <c r="AJ53" s="18">
        <f t="shared" ca="1" si="10"/>
        <v>-3.1570241548778688E-3</v>
      </c>
      <c r="AK53" s="18">
        <f t="shared" ca="1" si="11"/>
        <v>-0.21384590737295681</v>
      </c>
      <c r="AL53" s="18">
        <f t="shared" ca="1" si="12"/>
        <v>-3.1570241548778688E-3</v>
      </c>
      <c r="AM53" s="18">
        <f t="shared" ca="1" si="13"/>
        <v>2.7872338794968066E-4</v>
      </c>
      <c r="AN53" s="18">
        <f t="shared" ca="1" si="14"/>
        <v>0.11510791366906475</v>
      </c>
      <c r="AO53" s="18">
        <f t="shared" ca="1" si="15"/>
        <v>0.45323741007194246</v>
      </c>
      <c r="AP53" s="18">
        <f t="shared" ca="1" si="16"/>
        <v>6.4748201438848921E-2</v>
      </c>
      <c r="AQ53" s="18">
        <f t="shared" ca="1" si="17"/>
        <v>0.35971223021582738</v>
      </c>
      <c r="AR53" s="18">
        <f t="shared" ca="1" si="18"/>
        <v>7.1942446043165471E-3</v>
      </c>
    </row>
    <row r="54" spans="1:44">
      <c r="A54" s="20">
        <v>30</v>
      </c>
      <c r="B54" s="20">
        <v>25.1</v>
      </c>
      <c r="C54" s="20">
        <v>268.8</v>
      </c>
      <c r="D54" s="21">
        <v>42.8</v>
      </c>
      <c r="E54" s="20">
        <v>141.6</v>
      </c>
      <c r="F54" s="18">
        <f t="shared" si="19"/>
        <v>1.6807118316381191E-2</v>
      </c>
      <c r="G54" s="18">
        <f t="shared" si="20"/>
        <v>8.0000426670763704E-3</v>
      </c>
      <c r="H54" s="18">
        <f t="shared" si="21"/>
        <v>1.3483350337287207E-2</v>
      </c>
      <c r="I54" s="18">
        <f t="shared" si="22"/>
        <v>1.8868484304382736E-2</v>
      </c>
      <c r="J54" s="18">
        <f t="shared" si="23"/>
        <v>-8.6540456331056489E-2</v>
      </c>
      <c r="K54" s="18">
        <f t="shared" si="24"/>
        <v>1.6393982723160852E-2</v>
      </c>
      <c r="L54" s="18">
        <f t="shared" si="25"/>
        <v>7.586907073856031E-3</v>
      </c>
      <c r="M54" s="18">
        <f t="shared" si="26"/>
        <v>1.3070214744066867E-2</v>
      </c>
      <c r="N54" s="18">
        <f t="shared" si="27"/>
        <v>1.8455348711162396E-2</v>
      </c>
      <c r="O54" s="18">
        <f t="shared" si="28"/>
        <v>-8.6953591924276832E-2</v>
      </c>
      <c r="W54" s="18">
        <f t="shared" ca="1" si="29"/>
        <v>0.1</v>
      </c>
      <c r="X54" s="18">
        <f t="shared" ca="1" si="29"/>
        <v>0.57999999999999996</v>
      </c>
      <c r="Y54" s="18">
        <f t="shared" ca="1" si="29"/>
        <v>0.95</v>
      </c>
      <c r="Z54" s="18">
        <f t="shared" ca="1" si="29"/>
        <v>0.47</v>
      </c>
      <c r="AA54" s="18">
        <f t="shared" ca="1" si="29"/>
        <v>0.13</v>
      </c>
      <c r="AB54" s="18">
        <f t="shared" ca="1" si="3"/>
        <v>2.2299999999999995</v>
      </c>
      <c r="AC54" s="18">
        <f t="shared" ca="1" si="4"/>
        <v>4.4843049327354272E-2</v>
      </c>
      <c r="AD54" s="18">
        <f t="shared" ca="1" si="5"/>
        <v>0.26008968609865474</v>
      </c>
      <c r="AE54" s="18">
        <f t="shared" ca="1" si="6"/>
        <v>0.42600896860986553</v>
      </c>
      <c r="AF54" s="18">
        <f t="shared" ca="1" si="7"/>
        <v>0.21076233183856505</v>
      </c>
      <c r="AG54" s="18">
        <f t="shared" ca="1" si="8"/>
        <v>5.8295964125560554E-2</v>
      </c>
      <c r="AH54" s="18">
        <f t="shared" ca="1" si="9"/>
        <v>1.0000000000000002</v>
      </c>
      <c r="AI54" s="18" cm="1">
        <f t="array" aca="1" ref="AI54" ca="1">MMULT(MMULT(AC54:AG54,$Q$2:$U$6),TRANSPOSE(AC54:AG54))</f>
        <v>1.6965435117273245E-4</v>
      </c>
      <c r="AJ54" s="18">
        <f t="shared" ca="1" si="10"/>
        <v>-8.5139679927688332E-3</v>
      </c>
      <c r="AK54" s="18">
        <f t="shared" ca="1" si="11"/>
        <v>-0.68537470641354303</v>
      </c>
      <c r="AL54" s="18">
        <f t="shared" ca="1" si="12"/>
        <v>-8.5139679927688332E-3</v>
      </c>
      <c r="AM54" s="18">
        <f t="shared" ca="1" si="13"/>
        <v>1.6965435117273245E-4</v>
      </c>
      <c r="AN54" s="18">
        <f t="shared" ca="1" si="14"/>
        <v>4.4843049327354272E-2</v>
      </c>
      <c r="AO54" s="18">
        <f t="shared" ca="1" si="15"/>
        <v>0.26008968609865474</v>
      </c>
      <c r="AP54" s="18">
        <f t="shared" ca="1" si="16"/>
        <v>0.42600896860986553</v>
      </c>
      <c r="AQ54" s="18">
        <f t="shared" ca="1" si="17"/>
        <v>0.21076233183856505</v>
      </c>
      <c r="AR54" s="18">
        <f t="shared" ca="1" si="18"/>
        <v>5.8295964125560554E-2</v>
      </c>
    </row>
    <row r="55" spans="1:44">
      <c r="A55" s="20">
        <v>30.4</v>
      </c>
      <c r="B55" s="20">
        <v>25.2</v>
      </c>
      <c r="C55" s="20">
        <v>269.89999999999998</v>
      </c>
      <c r="D55" s="21">
        <v>44.5</v>
      </c>
      <c r="E55" s="20">
        <v>144.9</v>
      </c>
      <c r="F55" s="18">
        <f t="shared" si="19"/>
        <v>1.3245226750020505E-2</v>
      </c>
      <c r="G55" s="18">
        <f t="shared" si="20"/>
        <v>3.9761483796394168E-3</v>
      </c>
      <c r="H55" s="18">
        <f t="shared" si="21"/>
        <v>4.0839113749644501E-3</v>
      </c>
      <c r="I55" s="18">
        <f t="shared" si="22"/>
        <v>3.8951086584443559E-2</v>
      </c>
      <c r="J55" s="18">
        <f t="shared" si="23"/>
        <v>2.3037668067017358E-2</v>
      </c>
      <c r="K55" s="18">
        <f t="shared" si="24"/>
        <v>1.2832091156800165E-2</v>
      </c>
      <c r="L55" s="18">
        <f t="shared" si="25"/>
        <v>3.5630127864190778E-3</v>
      </c>
      <c r="M55" s="18">
        <f t="shared" si="26"/>
        <v>3.6707757817441111E-3</v>
      </c>
      <c r="N55" s="18">
        <f t="shared" si="27"/>
        <v>3.8537950991223223E-2</v>
      </c>
      <c r="O55" s="18">
        <f t="shared" si="28"/>
        <v>2.2624532473797018E-2</v>
      </c>
      <c r="W55" s="18">
        <f t="shared" ca="1" si="29"/>
        <v>0.49</v>
      </c>
      <c r="X55" s="18">
        <f t="shared" ca="1" si="29"/>
        <v>0.16</v>
      </c>
      <c r="Y55" s="18">
        <f t="shared" ca="1" si="29"/>
        <v>0.97</v>
      </c>
      <c r="Z55" s="18">
        <f t="shared" ca="1" si="29"/>
        <v>0.45</v>
      </c>
      <c r="AA55" s="18">
        <f t="shared" ca="1" si="29"/>
        <v>0.69</v>
      </c>
      <c r="AB55" s="18">
        <f t="shared" ca="1" si="3"/>
        <v>2.7600000000000002</v>
      </c>
      <c r="AC55" s="18">
        <f t="shared" ca="1" si="4"/>
        <v>0.17753623188405795</v>
      </c>
      <c r="AD55" s="18">
        <f t="shared" ca="1" si="5"/>
        <v>5.7971014492753617E-2</v>
      </c>
      <c r="AE55" s="18">
        <f t="shared" ca="1" si="6"/>
        <v>0.35144927536231879</v>
      </c>
      <c r="AF55" s="18">
        <f t="shared" ca="1" si="7"/>
        <v>0.16304347826086957</v>
      </c>
      <c r="AG55" s="18">
        <f t="shared" ca="1" si="8"/>
        <v>0.24999999999999997</v>
      </c>
      <c r="AH55" s="18">
        <f t="shared" ca="1" si="9"/>
        <v>1</v>
      </c>
      <c r="AI55" s="18" cm="1">
        <f t="array" aca="1" ref="AI55" ca="1">MMULT(MMULT(AC55:AG55,$Q$2:$U$6),TRANSPOSE(AC55:AG55))</f>
        <v>1.975185973902771E-4</v>
      </c>
      <c r="AJ55" s="18">
        <f t="shared" ca="1" si="10"/>
        <v>-3.5362001281910348E-3</v>
      </c>
      <c r="AK55" s="18">
        <f t="shared" ca="1" si="11"/>
        <v>-0.28100888835874516</v>
      </c>
      <c r="AL55" s="18">
        <f t="shared" ca="1" si="12"/>
        <v>-3.5362001281910348E-3</v>
      </c>
      <c r="AM55" s="18">
        <f t="shared" ca="1" si="13"/>
        <v>1.975185973902771E-4</v>
      </c>
      <c r="AN55" s="18">
        <f t="shared" ca="1" si="14"/>
        <v>0.17753623188405795</v>
      </c>
      <c r="AO55" s="18">
        <f t="shared" ca="1" si="15"/>
        <v>5.7971014492753617E-2</v>
      </c>
      <c r="AP55" s="18">
        <f t="shared" ca="1" si="16"/>
        <v>0.35144927536231879</v>
      </c>
      <c r="AQ55" s="18">
        <f t="shared" ca="1" si="17"/>
        <v>0.16304347826086957</v>
      </c>
      <c r="AR55" s="18">
        <f t="shared" ca="1" si="18"/>
        <v>0.24999999999999997</v>
      </c>
    </row>
    <row r="56" spans="1:44">
      <c r="A56" s="20">
        <v>30.8</v>
      </c>
      <c r="B56" s="20">
        <v>25.8</v>
      </c>
      <c r="C56" s="20">
        <v>274.89999999999998</v>
      </c>
      <c r="D56" s="21">
        <v>45.7</v>
      </c>
      <c r="E56" s="20">
        <v>143.30000000000001</v>
      </c>
      <c r="F56" s="18">
        <f t="shared" si="19"/>
        <v>1.3072081567352921E-2</v>
      </c>
      <c r="G56" s="18">
        <f t="shared" si="20"/>
        <v>2.3530497410194251E-2</v>
      </c>
      <c r="H56" s="18">
        <f t="shared" si="21"/>
        <v>1.8355875147241109E-2</v>
      </c>
      <c r="I56" s="18">
        <f t="shared" si="22"/>
        <v>2.6609108727964507E-2</v>
      </c>
      <c r="J56" s="18">
        <f t="shared" si="23"/>
        <v>-1.1103514492510449E-2</v>
      </c>
      <c r="K56" s="18">
        <f t="shared" si="24"/>
        <v>1.2658945974132581E-2</v>
      </c>
      <c r="L56" s="18">
        <f t="shared" si="25"/>
        <v>2.3117361816973912E-2</v>
      </c>
      <c r="M56" s="18">
        <f t="shared" si="26"/>
        <v>1.7942739554020769E-2</v>
      </c>
      <c r="N56" s="18">
        <f t="shared" si="27"/>
        <v>2.6195973134744168E-2</v>
      </c>
      <c r="O56" s="18">
        <f t="shared" si="28"/>
        <v>-1.1516650085730789E-2</v>
      </c>
      <c r="W56" s="18">
        <f t="shared" ca="1" si="29"/>
        <v>0.66</v>
      </c>
      <c r="X56" s="18">
        <f t="shared" ca="1" si="29"/>
        <v>0.47</v>
      </c>
      <c r="Y56" s="18">
        <f t="shared" ca="1" si="29"/>
        <v>0.8</v>
      </c>
      <c r="Z56" s="18">
        <f t="shared" ca="1" si="29"/>
        <v>0.36</v>
      </c>
      <c r="AA56" s="18">
        <f t="shared" ca="1" si="29"/>
        <v>0.94</v>
      </c>
      <c r="AB56" s="18">
        <f t="shared" ca="1" si="3"/>
        <v>3.23</v>
      </c>
      <c r="AC56" s="18">
        <f t="shared" ca="1" si="4"/>
        <v>0.2043343653250774</v>
      </c>
      <c r="AD56" s="18">
        <f t="shared" ca="1" si="5"/>
        <v>0.14551083591331268</v>
      </c>
      <c r="AE56" s="18">
        <f t="shared" ca="1" si="6"/>
        <v>0.24767801857585142</v>
      </c>
      <c r="AF56" s="18">
        <f t="shared" ca="1" si="7"/>
        <v>0.11145510835913312</v>
      </c>
      <c r="AG56" s="18">
        <f t="shared" ca="1" si="8"/>
        <v>0.29102167182662536</v>
      </c>
      <c r="AH56" s="18">
        <f t="shared" ca="1" si="9"/>
        <v>1</v>
      </c>
      <c r="AI56" s="18" cm="1">
        <f t="array" aca="1" ref="AI56" ca="1">MMULT(MMULT(AC56:AG56,$Q$2:$U$6),TRANSPOSE(AC56:AG56))</f>
        <v>2.0683046117359185E-4</v>
      </c>
      <c r="AJ56" s="18">
        <f t="shared" ca="1" si="10"/>
        <v>-3.1010309378516304E-3</v>
      </c>
      <c r="AK56" s="18">
        <f t="shared" ca="1" si="11"/>
        <v>-0.24435154426888769</v>
      </c>
      <c r="AL56" s="18">
        <f t="shared" ca="1" si="12"/>
        <v>-3.1010309378516304E-3</v>
      </c>
      <c r="AM56" s="18">
        <f t="shared" ca="1" si="13"/>
        <v>2.0683046117359185E-4</v>
      </c>
      <c r="AN56" s="18">
        <f t="shared" ca="1" si="14"/>
        <v>0.2043343653250774</v>
      </c>
      <c r="AO56" s="18">
        <f t="shared" ca="1" si="15"/>
        <v>0.14551083591331268</v>
      </c>
      <c r="AP56" s="18">
        <f t="shared" ca="1" si="16"/>
        <v>0.24767801857585142</v>
      </c>
      <c r="AQ56" s="18">
        <f t="shared" ca="1" si="17"/>
        <v>0.11145510835913312</v>
      </c>
      <c r="AR56" s="18">
        <f t="shared" ca="1" si="18"/>
        <v>0.29102167182662536</v>
      </c>
    </row>
    <row r="57" spans="1:44">
      <c r="A57" s="20">
        <v>30.3</v>
      </c>
      <c r="B57" s="20">
        <v>26</v>
      </c>
      <c r="C57" s="20">
        <v>277.60000000000002</v>
      </c>
      <c r="D57" s="21">
        <v>46.8</v>
      </c>
      <c r="E57" s="20">
        <v>139.4</v>
      </c>
      <c r="F57" s="18">
        <f t="shared" si="19"/>
        <v>-1.6366977464205359E-2</v>
      </c>
      <c r="G57" s="18">
        <f t="shared" si="20"/>
        <v>7.7220460939103185E-3</v>
      </c>
      <c r="H57" s="18">
        <f t="shared" si="21"/>
        <v>9.7738334614495877E-3</v>
      </c>
      <c r="I57" s="18">
        <f t="shared" si="22"/>
        <v>2.37849050234419E-2</v>
      </c>
      <c r="J57" s="18">
        <f t="shared" si="23"/>
        <v>-2.7592836507702712E-2</v>
      </c>
      <c r="K57" s="18">
        <f t="shared" si="24"/>
        <v>-1.6780113057425699E-2</v>
      </c>
      <c r="L57" s="18">
        <f t="shared" si="25"/>
        <v>7.3089105006899791E-3</v>
      </c>
      <c r="M57" s="18">
        <f t="shared" si="26"/>
        <v>9.3606978682292483E-3</v>
      </c>
      <c r="N57" s="18">
        <f t="shared" si="27"/>
        <v>2.337176943022156E-2</v>
      </c>
      <c r="O57" s="18">
        <f t="shared" si="28"/>
        <v>-2.8005972100923052E-2</v>
      </c>
      <c r="W57" s="18">
        <f t="shared" ca="1" si="29"/>
        <v>0.5</v>
      </c>
      <c r="X57" s="18">
        <f t="shared" ca="1" si="29"/>
        <v>0.16</v>
      </c>
      <c r="Y57" s="18">
        <f t="shared" ca="1" si="29"/>
        <v>0.97</v>
      </c>
      <c r="Z57" s="18">
        <f t="shared" ca="1" si="29"/>
        <v>0.61</v>
      </c>
      <c r="AA57" s="18">
        <f t="shared" ca="1" si="29"/>
        <v>0.02</v>
      </c>
      <c r="AB57" s="18">
        <f t="shared" ca="1" si="3"/>
        <v>2.2599999999999998</v>
      </c>
      <c r="AC57" s="18">
        <f t="shared" ca="1" si="4"/>
        <v>0.22123893805309736</v>
      </c>
      <c r="AD57" s="18">
        <f t="shared" ca="1" si="5"/>
        <v>7.0796460176991163E-2</v>
      </c>
      <c r="AE57" s="18">
        <f t="shared" ca="1" si="6"/>
        <v>0.42920353982300885</v>
      </c>
      <c r="AF57" s="18">
        <f t="shared" ca="1" si="7"/>
        <v>0.26991150442477879</v>
      </c>
      <c r="AG57" s="18">
        <f t="shared" ca="1" si="8"/>
        <v>8.8495575221238954E-3</v>
      </c>
      <c r="AH57" s="18">
        <f t="shared" ca="1" si="9"/>
        <v>1</v>
      </c>
      <c r="AI57" s="18" cm="1">
        <f t="array" aca="1" ref="AI57" ca="1">MMULT(MMULT(AC57:AG57,$Q$2:$U$6),TRANSPOSE(AC57:AG57))</f>
        <v>1.9908478160109605E-4</v>
      </c>
      <c r="AJ57" s="18">
        <f t="shared" ca="1" si="10"/>
        <v>-4.359551376061842E-3</v>
      </c>
      <c r="AK57" s="18">
        <f t="shared" ca="1" si="11"/>
        <v>-0.33825476193975446</v>
      </c>
      <c r="AL57" s="18">
        <f t="shared" ca="1" si="12"/>
        <v>-4.359551376061842E-3</v>
      </c>
      <c r="AM57" s="18">
        <f t="shared" ca="1" si="13"/>
        <v>1.9908478160109605E-4</v>
      </c>
      <c r="AN57" s="18">
        <f t="shared" ca="1" si="14"/>
        <v>0.22123893805309736</v>
      </c>
      <c r="AO57" s="18">
        <f t="shared" ca="1" si="15"/>
        <v>7.0796460176991163E-2</v>
      </c>
      <c r="AP57" s="18">
        <f t="shared" ca="1" si="16"/>
        <v>0.42920353982300885</v>
      </c>
      <c r="AQ57" s="18">
        <f t="shared" ca="1" si="17"/>
        <v>0.26991150442477879</v>
      </c>
      <c r="AR57" s="18">
        <f t="shared" ca="1" si="18"/>
        <v>8.8495575221238954E-3</v>
      </c>
    </row>
    <row r="58" spans="1:44">
      <c r="A58" s="20">
        <v>29.6</v>
      </c>
      <c r="B58" s="20">
        <v>25.5</v>
      </c>
      <c r="C58" s="20">
        <v>275.7</v>
      </c>
      <c r="D58" s="21">
        <v>46.5</v>
      </c>
      <c r="E58" s="20">
        <v>131.30000000000001</v>
      </c>
      <c r="F58" s="18">
        <f t="shared" si="19"/>
        <v>-2.3373351185308713E-2</v>
      </c>
      <c r="G58" s="18">
        <f t="shared" si="20"/>
        <v>-1.9418085857101627E-2</v>
      </c>
      <c r="H58" s="18">
        <f t="shared" si="21"/>
        <v>-6.8679106028985285E-3</v>
      </c>
      <c r="I58" s="18">
        <f t="shared" si="22"/>
        <v>-6.4308903302904025E-3</v>
      </c>
      <c r="J58" s="18">
        <f t="shared" si="23"/>
        <v>-5.9862717017673005E-2</v>
      </c>
      <c r="K58" s="18">
        <f t="shared" si="24"/>
        <v>-2.3786486778529053E-2</v>
      </c>
      <c r="L58" s="18">
        <f t="shared" si="25"/>
        <v>-1.9831221450321967E-2</v>
      </c>
      <c r="M58" s="18">
        <f t="shared" si="26"/>
        <v>-7.281046196118867E-3</v>
      </c>
      <c r="N58" s="18">
        <f t="shared" si="27"/>
        <v>-6.8440259235107419E-3</v>
      </c>
      <c r="O58" s="18">
        <f t="shared" si="28"/>
        <v>-6.0275852610893341E-2</v>
      </c>
      <c r="W58" s="18">
        <f t="shared" ca="1" si="29"/>
        <v>0.95</v>
      </c>
      <c r="X58" s="18">
        <f t="shared" ca="1" si="29"/>
        <v>0.91</v>
      </c>
      <c r="Y58" s="18">
        <f t="shared" ca="1" si="29"/>
        <v>0.15</v>
      </c>
      <c r="Z58" s="18">
        <f t="shared" ca="1" si="29"/>
        <v>0.95</v>
      </c>
      <c r="AA58" s="18">
        <f t="shared" ca="1" si="29"/>
        <v>0.12</v>
      </c>
      <c r="AB58" s="18">
        <f t="shared" ca="1" si="3"/>
        <v>3.08</v>
      </c>
      <c r="AC58" s="18">
        <f t="shared" ca="1" si="4"/>
        <v>0.30844155844155841</v>
      </c>
      <c r="AD58" s="18">
        <f t="shared" ca="1" si="5"/>
        <v>0.29545454545454547</v>
      </c>
      <c r="AE58" s="18">
        <f t="shared" ca="1" si="6"/>
        <v>4.8701298701298697E-2</v>
      </c>
      <c r="AF58" s="18">
        <f t="shared" ca="1" si="7"/>
        <v>0.30844155844155841</v>
      </c>
      <c r="AG58" s="18">
        <f t="shared" ca="1" si="8"/>
        <v>3.896103896103896E-2</v>
      </c>
      <c r="AH58" s="18">
        <f t="shared" ca="1" si="9"/>
        <v>1</v>
      </c>
      <c r="AI58" s="18" cm="1">
        <f t="array" aca="1" ref="AI58" ca="1">MMULT(MMULT(AC58:AG58,$Q$2:$U$6),TRANSPOSE(AC58:AG58))</f>
        <v>2.3438224383581229E-4</v>
      </c>
      <c r="AJ58" s="18">
        <f t="shared" ca="1" si="10"/>
        <v>2.2291022070052789E-4</v>
      </c>
      <c r="AK58" s="18">
        <f t="shared" ca="1" si="11"/>
        <v>-1.2425277288707575E-2</v>
      </c>
      <c r="AL58" s="18">
        <f t="shared" ca="1" si="12"/>
        <v>2.2291022070052789E-4</v>
      </c>
      <c r="AM58" s="18">
        <f t="shared" ca="1" si="13"/>
        <v>2.3438224383581229E-4</v>
      </c>
      <c r="AN58" s="18">
        <f t="shared" ca="1" si="14"/>
        <v>0.30844155844155841</v>
      </c>
      <c r="AO58" s="18">
        <f t="shared" ca="1" si="15"/>
        <v>0.29545454545454547</v>
      </c>
      <c r="AP58" s="18">
        <f t="shared" ca="1" si="16"/>
        <v>4.8701298701298697E-2</v>
      </c>
      <c r="AQ58" s="18">
        <f t="shared" ca="1" si="17"/>
        <v>0.30844155844155841</v>
      </c>
      <c r="AR58" s="18">
        <f t="shared" ca="1" si="18"/>
        <v>3.896103896103896E-2</v>
      </c>
    </row>
    <row r="59" spans="1:44">
      <c r="A59" s="20">
        <v>29.3</v>
      </c>
      <c r="B59" s="20">
        <v>25.3</v>
      </c>
      <c r="C59" s="20">
        <v>278.10000000000002</v>
      </c>
      <c r="D59" s="21">
        <v>46.5</v>
      </c>
      <c r="E59" s="20">
        <v>124.4</v>
      </c>
      <c r="F59" s="18">
        <f t="shared" si="19"/>
        <v>-1.018684530699313E-2</v>
      </c>
      <c r="G59" s="18">
        <f t="shared" si="20"/>
        <v>-7.874056430905883E-3</v>
      </c>
      <c r="H59" s="18">
        <f t="shared" si="21"/>
        <v>8.6674432101681246E-3</v>
      </c>
      <c r="I59" s="18">
        <f t="shared" si="22"/>
        <v>0</v>
      </c>
      <c r="J59" s="18">
        <f t="shared" si="23"/>
        <v>-5.3982601003671457E-2</v>
      </c>
      <c r="K59" s="18">
        <f t="shared" si="24"/>
        <v>-1.059998090021347E-2</v>
      </c>
      <c r="L59" s="18">
        <f t="shared" si="25"/>
        <v>-8.2871920241262224E-3</v>
      </c>
      <c r="M59" s="18">
        <f t="shared" si="26"/>
        <v>8.2543076169477852E-3</v>
      </c>
      <c r="N59" s="18">
        <f t="shared" si="27"/>
        <v>-4.1313559322033898E-4</v>
      </c>
      <c r="O59" s="18">
        <f t="shared" si="28"/>
        <v>-5.4395736596891793E-2</v>
      </c>
      <c r="W59" s="18">
        <f t="shared" ca="1" si="29"/>
        <v>0.5</v>
      </c>
      <c r="X59" s="18">
        <f t="shared" ca="1" si="29"/>
        <v>0.31</v>
      </c>
      <c r="Y59" s="18">
        <f t="shared" ca="1" si="29"/>
        <v>0.9</v>
      </c>
      <c r="Z59" s="18">
        <f t="shared" ca="1" si="29"/>
        <v>0.72</v>
      </c>
      <c r="AA59" s="18">
        <f t="shared" ca="1" si="29"/>
        <v>0.04</v>
      </c>
      <c r="AB59" s="18">
        <f t="shared" ca="1" si="3"/>
        <v>2.4699999999999998</v>
      </c>
      <c r="AC59" s="18">
        <f t="shared" ca="1" si="4"/>
        <v>0.20242914979757087</v>
      </c>
      <c r="AD59" s="18">
        <f t="shared" ca="1" si="5"/>
        <v>0.12550607287449395</v>
      </c>
      <c r="AE59" s="18">
        <f t="shared" ca="1" si="6"/>
        <v>0.36437246963562758</v>
      </c>
      <c r="AF59" s="18">
        <f t="shared" ca="1" si="7"/>
        <v>0.29149797570850206</v>
      </c>
      <c r="AG59" s="18">
        <f t="shared" ca="1" si="8"/>
        <v>1.6194331983805672E-2</v>
      </c>
      <c r="AH59" s="18">
        <f t="shared" ca="1" si="9"/>
        <v>1</v>
      </c>
      <c r="AI59" s="18" cm="1">
        <f t="array" aca="1" ref="AI59" ca="1">MMULT(MMULT(AC59:AG59,$Q$2:$U$6),TRANSPOSE(AC59:AG59))</f>
        <v>2.067427065049462E-4</v>
      </c>
      <c r="AJ59" s="18">
        <f t="shared" ca="1" si="10"/>
        <v>-3.8965855902416235E-3</v>
      </c>
      <c r="AK59" s="18">
        <f t="shared" ca="1" si="11"/>
        <v>-0.29973266544469662</v>
      </c>
      <c r="AL59" s="18">
        <f t="shared" ca="1" si="12"/>
        <v>-3.8965855902416235E-3</v>
      </c>
      <c r="AM59" s="18">
        <f t="shared" ca="1" si="13"/>
        <v>2.067427065049462E-4</v>
      </c>
      <c r="AN59" s="18">
        <f t="shared" ca="1" si="14"/>
        <v>0.20242914979757087</v>
      </c>
      <c r="AO59" s="18">
        <f t="shared" ca="1" si="15"/>
        <v>0.12550607287449395</v>
      </c>
      <c r="AP59" s="18">
        <f t="shared" ca="1" si="16"/>
        <v>0.36437246963562758</v>
      </c>
      <c r="AQ59" s="18">
        <f t="shared" ca="1" si="17"/>
        <v>0.29149797570850206</v>
      </c>
      <c r="AR59" s="18">
        <f t="shared" ca="1" si="18"/>
        <v>1.6194331983805672E-2</v>
      </c>
    </row>
    <row r="60" spans="1:44">
      <c r="A60" s="20">
        <v>28.9</v>
      </c>
      <c r="B60" s="20">
        <v>25</v>
      </c>
      <c r="C60" s="20">
        <v>279.60000000000002</v>
      </c>
      <c r="D60" s="21">
        <v>46.8</v>
      </c>
      <c r="E60" s="20">
        <v>127.4</v>
      </c>
      <c r="F60" s="18">
        <f t="shared" si="19"/>
        <v>-1.3745920904635238E-2</v>
      </c>
      <c r="G60" s="18">
        <f t="shared" si="20"/>
        <v>-1.1928570865273845E-2</v>
      </c>
      <c r="H60" s="18">
        <f t="shared" si="21"/>
        <v>5.3792491197359304E-3</v>
      </c>
      <c r="I60" s="18">
        <f t="shared" si="22"/>
        <v>6.4308903302903314E-3</v>
      </c>
      <c r="J60" s="18">
        <f t="shared" si="23"/>
        <v>2.3829562832983993E-2</v>
      </c>
      <c r="K60" s="18">
        <f t="shared" si="24"/>
        <v>-1.4159056497855578E-2</v>
      </c>
      <c r="L60" s="18">
        <f t="shared" si="25"/>
        <v>-1.2341706458494184E-2</v>
      </c>
      <c r="M60" s="18">
        <f t="shared" si="26"/>
        <v>4.966113526515591E-3</v>
      </c>
      <c r="N60" s="18">
        <f t="shared" si="27"/>
        <v>6.017754737069992E-3</v>
      </c>
      <c r="O60" s="18">
        <f t="shared" si="28"/>
        <v>2.3416427239763653E-2</v>
      </c>
      <c r="W60" s="18">
        <f t="shared" ca="1" si="29"/>
        <v>0.8</v>
      </c>
      <c r="X60" s="18">
        <f t="shared" ca="1" si="29"/>
        <v>0.56999999999999995</v>
      </c>
      <c r="Y60" s="18">
        <f t="shared" ca="1" si="29"/>
        <v>0.59</v>
      </c>
      <c r="Z60" s="18">
        <f t="shared" ca="1" si="29"/>
        <v>0.95</v>
      </c>
      <c r="AA60" s="18">
        <f t="shared" ref="AA60:AA123" ca="1" si="30">RANDBETWEEN(1,100)/100</f>
        <v>0.8</v>
      </c>
      <c r="AB60" s="18">
        <f t="shared" ca="1" si="3"/>
        <v>3.71</v>
      </c>
      <c r="AC60" s="18">
        <f t="shared" ca="1" si="4"/>
        <v>0.215633423180593</v>
      </c>
      <c r="AD60" s="18">
        <f t="shared" ca="1" si="5"/>
        <v>0.15363881401617249</v>
      </c>
      <c r="AE60" s="18">
        <f t="shared" ca="1" si="6"/>
        <v>0.15902964959568733</v>
      </c>
      <c r="AF60" s="18">
        <f t="shared" ca="1" si="7"/>
        <v>0.25606469002695414</v>
      </c>
      <c r="AG60" s="18">
        <f t="shared" ca="1" si="8"/>
        <v>0.215633423180593</v>
      </c>
      <c r="AH60" s="18">
        <f t="shared" ca="1" si="9"/>
        <v>1</v>
      </c>
      <c r="AI60" s="18" cm="1">
        <f t="array" aca="1" ref="AI60" ca="1">MMULT(MMULT(AC60:AG60,$Q$2:$U$6),TRANSPOSE(AC60:AG60))</f>
        <v>2.2355965850457023E-4</v>
      </c>
      <c r="AJ60" s="18">
        <f t="shared" ca="1" si="10"/>
        <v>-4.7464005351496982E-4</v>
      </c>
      <c r="AK60" s="18">
        <f t="shared" ca="1" si="11"/>
        <v>-5.9375394560641843E-2</v>
      </c>
      <c r="AL60" s="18">
        <f t="shared" ca="1" si="12"/>
        <v>-4.7464005351496982E-4</v>
      </c>
      <c r="AM60" s="18">
        <f t="shared" ca="1" si="13"/>
        <v>2.2355965850457023E-4</v>
      </c>
      <c r="AN60" s="18">
        <f t="shared" ca="1" si="14"/>
        <v>0.215633423180593</v>
      </c>
      <c r="AO60" s="18">
        <f t="shared" ca="1" si="15"/>
        <v>0.15363881401617249</v>
      </c>
      <c r="AP60" s="18">
        <f t="shared" ca="1" si="16"/>
        <v>0.15902964959568733</v>
      </c>
      <c r="AQ60" s="18">
        <f t="shared" ca="1" si="17"/>
        <v>0.25606469002695414</v>
      </c>
      <c r="AR60" s="18">
        <f t="shared" ca="1" si="18"/>
        <v>0.215633423180593</v>
      </c>
    </row>
    <row r="61" spans="1:44">
      <c r="A61" s="20">
        <v>29.1</v>
      </c>
      <c r="B61" s="20">
        <v>25.3</v>
      </c>
      <c r="C61" s="20">
        <v>280</v>
      </c>
      <c r="D61" s="21">
        <v>48.1</v>
      </c>
      <c r="E61" s="20">
        <v>132.30000000000001</v>
      </c>
      <c r="F61" s="18">
        <f t="shared" si="19"/>
        <v>6.8965790590604587E-3</v>
      </c>
      <c r="G61" s="18">
        <f t="shared" si="20"/>
        <v>1.1928570865273812E-2</v>
      </c>
      <c r="H61" s="18">
        <f t="shared" si="21"/>
        <v>1.4295928095943715E-3</v>
      </c>
      <c r="I61" s="18">
        <f t="shared" si="22"/>
        <v>2.7398974188114562E-2</v>
      </c>
      <c r="J61" s="18">
        <f t="shared" si="23"/>
        <v>3.7740327982847113E-2</v>
      </c>
      <c r="K61" s="18">
        <f t="shared" si="24"/>
        <v>6.4834434658401201E-3</v>
      </c>
      <c r="L61" s="18">
        <f t="shared" si="25"/>
        <v>1.1515435272053473E-2</v>
      </c>
      <c r="M61" s="18">
        <f t="shared" si="26"/>
        <v>1.0164572163740325E-3</v>
      </c>
      <c r="N61" s="18">
        <f t="shared" si="27"/>
        <v>2.6985838594894222E-2</v>
      </c>
      <c r="O61" s="18">
        <f t="shared" si="28"/>
        <v>3.7327192389626777E-2</v>
      </c>
      <c r="W61" s="18">
        <f t="shared" ca="1" si="29"/>
        <v>0.51</v>
      </c>
      <c r="X61" s="18">
        <f t="shared" ca="1" si="29"/>
        <v>0.89</v>
      </c>
      <c r="Y61" s="18">
        <f t="shared" ca="1" si="29"/>
        <v>0.45</v>
      </c>
      <c r="Z61" s="18">
        <f t="shared" ca="1" si="29"/>
        <v>0.32</v>
      </c>
      <c r="AA61" s="18">
        <f t="shared" ca="1" si="30"/>
        <v>0.84</v>
      </c>
      <c r="AB61" s="18">
        <f t="shared" ca="1" si="3"/>
        <v>3.01</v>
      </c>
      <c r="AC61" s="18">
        <f t="shared" ca="1" si="4"/>
        <v>0.16943521594684388</v>
      </c>
      <c r="AD61" s="18">
        <f t="shared" ca="1" si="5"/>
        <v>0.29568106312292364</v>
      </c>
      <c r="AE61" s="18">
        <f t="shared" ca="1" si="6"/>
        <v>0.14950166112956811</v>
      </c>
      <c r="AF61" s="18">
        <f t="shared" ca="1" si="7"/>
        <v>0.106312292358804</v>
      </c>
      <c r="AG61" s="18">
        <f t="shared" ca="1" si="8"/>
        <v>0.27906976744186046</v>
      </c>
      <c r="AH61" s="18">
        <f t="shared" ca="1" si="9"/>
        <v>1</v>
      </c>
      <c r="AI61" s="18" cm="1">
        <f t="array" aca="1" ref="AI61" ca="1">MMULT(MMULT(AC61:AG61,$Q$2:$U$6),TRANSPOSE(AC61:AG61))</f>
        <v>2.0777370418995084E-4</v>
      </c>
      <c r="AJ61" s="18">
        <f t="shared" ca="1" si="10"/>
        <v>-3.7495113363261953E-3</v>
      </c>
      <c r="AK61" s="18">
        <f t="shared" ca="1" si="11"/>
        <v>-0.28878476955977167</v>
      </c>
      <c r="AL61" s="18">
        <f t="shared" ca="1" si="12"/>
        <v>-3.7495113363261953E-3</v>
      </c>
      <c r="AM61" s="18">
        <f t="shared" ca="1" si="13"/>
        <v>2.0777370418995084E-4</v>
      </c>
      <c r="AN61" s="18">
        <f t="shared" ca="1" si="14"/>
        <v>0.16943521594684388</v>
      </c>
      <c r="AO61" s="18">
        <f t="shared" ca="1" si="15"/>
        <v>0.29568106312292364</v>
      </c>
      <c r="AP61" s="18">
        <f t="shared" ca="1" si="16"/>
        <v>0.14950166112956811</v>
      </c>
      <c r="AQ61" s="18">
        <f t="shared" ca="1" si="17"/>
        <v>0.106312292358804</v>
      </c>
      <c r="AR61" s="18">
        <f t="shared" ca="1" si="18"/>
        <v>0.27906976744186046</v>
      </c>
    </row>
    <row r="62" spans="1:44">
      <c r="A62" s="20">
        <v>29.6</v>
      </c>
      <c r="B62" s="20">
        <v>25.2</v>
      </c>
      <c r="C62" s="20">
        <v>279.39999999999998</v>
      </c>
      <c r="D62" s="21">
        <v>48.4</v>
      </c>
      <c r="E62" s="20">
        <v>134.69999999999999</v>
      </c>
      <c r="F62" s="18">
        <f t="shared" si="19"/>
        <v>1.70361871525678E-2</v>
      </c>
      <c r="G62" s="18">
        <f t="shared" si="20"/>
        <v>-3.9604012160970167E-3</v>
      </c>
      <c r="H62" s="18">
        <f t="shared" si="21"/>
        <v>-2.1451563463882467E-3</v>
      </c>
      <c r="I62" s="18">
        <f t="shared" si="22"/>
        <v>6.2176366108703616E-3</v>
      </c>
      <c r="J62" s="18">
        <f t="shared" si="23"/>
        <v>1.7978012295408175E-2</v>
      </c>
      <c r="K62" s="18">
        <f t="shared" si="24"/>
        <v>1.6623051559347461E-2</v>
      </c>
      <c r="L62" s="18">
        <f t="shared" si="25"/>
        <v>-4.3735368093173552E-3</v>
      </c>
      <c r="M62" s="18">
        <f t="shared" si="26"/>
        <v>-2.5582919396085857E-3</v>
      </c>
      <c r="N62" s="18">
        <f t="shared" si="27"/>
        <v>5.8045010176500222E-3</v>
      </c>
      <c r="O62" s="18">
        <f t="shared" si="28"/>
        <v>1.7564876702187836E-2</v>
      </c>
      <c r="W62" s="18">
        <f t="shared" ca="1" si="29"/>
        <v>0.79</v>
      </c>
      <c r="X62" s="18">
        <f t="shared" ca="1" si="29"/>
        <v>0.05</v>
      </c>
      <c r="Y62" s="18">
        <f t="shared" ca="1" si="29"/>
        <v>0.55000000000000004</v>
      </c>
      <c r="Z62" s="18">
        <f t="shared" ca="1" si="29"/>
        <v>0.55000000000000004</v>
      </c>
      <c r="AA62" s="18">
        <f t="shared" ca="1" si="30"/>
        <v>0.8</v>
      </c>
      <c r="AB62" s="18">
        <f t="shared" ca="1" si="3"/>
        <v>2.74</v>
      </c>
      <c r="AC62" s="18">
        <f t="shared" ca="1" si="4"/>
        <v>0.28832116788321166</v>
      </c>
      <c r="AD62" s="18">
        <f t="shared" ca="1" si="5"/>
        <v>1.824817518248175E-2</v>
      </c>
      <c r="AE62" s="18">
        <f t="shared" ca="1" si="6"/>
        <v>0.20072992700729927</v>
      </c>
      <c r="AF62" s="18">
        <f t="shared" ca="1" si="7"/>
        <v>0.20072992700729927</v>
      </c>
      <c r="AG62" s="18">
        <f t="shared" ca="1" si="8"/>
        <v>0.29197080291970801</v>
      </c>
      <c r="AH62" s="18">
        <f t="shared" ca="1" si="9"/>
        <v>1</v>
      </c>
      <c r="AI62" s="18" cm="1">
        <f t="array" aca="1" ref="AI62" ca="1">MMULT(MMULT(AC62:AG62,$Q$2:$U$6),TRANSPOSE(AC62:AG62))</f>
        <v>2.4384660728691746E-4</v>
      </c>
      <c r="AJ62" s="18">
        <f t="shared" ca="1" si="10"/>
        <v>8.2570357805002777E-4</v>
      </c>
      <c r="AK62" s="18">
        <f t="shared" ca="1" si="11"/>
        <v>2.642026473862405E-2</v>
      </c>
      <c r="AL62" s="18">
        <f t="shared" ca="1" si="12"/>
        <v>8.2570357805002777E-4</v>
      </c>
      <c r="AM62" s="18">
        <f t="shared" ca="1" si="13"/>
        <v>2.4384660728691746E-4</v>
      </c>
      <c r="AN62" s="18">
        <f t="shared" ca="1" si="14"/>
        <v>0.28832116788321166</v>
      </c>
      <c r="AO62" s="18">
        <f t="shared" ca="1" si="15"/>
        <v>1.824817518248175E-2</v>
      </c>
      <c r="AP62" s="18">
        <f t="shared" ca="1" si="16"/>
        <v>0.20072992700729927</v>
      </c>
      <c r="AQ62" s="18">
        <f t="shared" ca="1" si="17"/>
        <v>0.20072992700729927</v>
      </c>
      <c r="AR62" s="18">
        <f t="shared" ca="1" si="18"/>
        <v>0.29197080291970801</v>
      </c>
    </row>
    <row r="63" spans="1:44">
      <c r="A63" s="20">
        <v>29.2</v>
      </c>
      <c r="B63" s="20">
        <v>24.8</v>
      </c>
      <c r="C63" s="20">
        <v>278.7</v>
      </c>
      <c r="D63" s="21">
        <v>46.5</v>
      </c>
      <c r="E63" s="20">
        <v>134.5</v>
      </c>
      <c r="F63" s="18">
        <f t="shared" si="19"/>
        <v>-1.3605652055778709E-2</v>
      </c>
      <c r="G63" s="18">
        <f t="shared" si="20"/>
        <v>-1.6000341346441075E-2</v>
      </c>
      <c r="H63" s="18">
        <f t="shared" si="21"/>
        <v>-2.5085123349589235E-3</v>
      </c>
      <c r="I63" s="18">
        <f t="shared" si="22"/>
        <v>-4.0047501129275319E-2</v>
      </c>
      <c r="J63" s="18">
        <f t="shared" si="23"/>
        <v>-1.4858843744244403E-3</v>
      </c>
      <c r="K63" s="18">
        <f t="shared" si="24"/>
        <v>-1.4018787648999049E-2</v>
      </c>
      <c r="L63" s="18">
        <f t="shared" si="25"/>
        <v>-1.6413476939661414E-2</v>
      </c>
      <c r="M63" s="18">
        <f t="shared" si="26"/>
        <v>-2.9216479281792625E-3</v>
      </c>
      <c r="N63" s="18">
        <f t="shared" si="27"/>
        <v>-4.0460636722495655E-2</v>
      </c>
      <c r="O63" s="18">
        <f t="shared" si="28"/>
        <v>-1.8990199676447792E-3</v>
      </c>
      <c r="W63" s="18">
        <f t="shared" ca="1" si="29"/>
        <v>0.78</v>
      </c>
      <c r="X63" s="18">
        <f t="shared" ca="1" si="29"/>
        <v>0.01</v>
      </c>
      <c r="Y63" s="18">
        <f t="shared" ca="1" si="29"/>
        <v>0.68</v>
      </c>
      <c r="Z63" s="18">
        <f t="shared" ca="1" si="29"/>
        <v>0.21</v>
      </c>
      <c r="AA63" s="18">
        <f t="shared" ca="1" si="30"/>
        <v>0.11</v>
      </c>
      <c r="AB63" s="18">
        <f t="shared" ca="1" si="3"/>
        <v>1.7900000000000003</v>
      </c>
      <c r="AC63" s="18">
        <f t="shared" ca="1" si="4"/>
        <v>0.43575418994413401</v>
      </c>
      <c r="AD63" s="18">
        <f t="shared" ca="1" si="5"/>
        <v>5.586592178770949E-3</v>
      </c>
      <c r="AE63" s="18">
        <f t="shared" ca="1" si="6"/>
        <v>0.37988826815642457</v>
      </c>
      <c r="AF63" s="18">
        <f t="shared" ca="1" si="7"/>
        <v>0.11731843575418992</v>
      </c>
      <c r="AG63" s="18">
        <f t="shared" ca="1" si="8"/>
        <v>6.1452513966480438E-2</v>
      </c>
      <c r="AH63" s="18">
        <f t="shared" ca="1" si="9"/>
        <v>0.99999999999999989</v>
      </c>
      <c r="AI63" s="18" cm="1">
        <f t="array" aca="1" ref="AI63" ca="1">MMULT(MMULT(AC63:AG63,$Q$2:$U$6),TRANSPOSE(AC63:AG63))</f>
        <v>1.4877625916219842E-4</v>
      </c>
      <c r="AJ63" s="18">
        <f t="shared" ca="1" si="10"/>
        <v>-2.3677686298229097E-3</v>
      </c>
      <c r="AK63" s="18">
        <f t="shared" ca="1" si="11"/>
        <v>-0.22799179315497348</v>
      </c>
      <c r="AL63" s="18">
        <f t="shared" ca="1" si="12"/>
        <v>-2.3677686298229097E-3</v>
      </c>
      <c r="AM63" s="18">
        <f t="shared" ca="1" si="13"/>
        <v>1.4877625916219842E-4</v>
      </c>
      <c r="AN63" s="18">
        <f t="shared" ca="1" si="14"/>
        <v>0.43575418994413401</v>
      </c>
      <c r="AO63" s="18">
        <f t="shared" ca="1" si="15"/>
        <v>5.586592178770949E-3</v>
      </c>
      <c r="AP63" s="18">
        <f t="shared" ca="1" si="16"/>
        <v>0.37988826815642457</v>
      </c>
      <c r="AQ63" s="18">
        <f t="shared" ca="1" si="17"/>
        <v>0.11731843575418992</v>
      </c>
      <c r="AR63" s="18">
        <f t="shared" ca="1" si="18"/>
        <v>6.1452513966480438E-2</v>
      </c>
    </row>
    <row r="64" spans="1:44">
      <c r="A64" s="20">
        <v>28.8</v>
      </c>
      <c r="B64" s="20">
        <v>24.6</v>
      </c>
      <c r="C64" s="20">
        <v>279.2</v>
      </c>
      <c r="D64" s="21">
        <v>45.7</v>
      </c>
      <c r="E64" s="20">
        <v>132.5</v>
      </c>
      <c r="F64" s="18">
        <f t="shared" si="19"/>
        <v>-1.3793322132335761E-2</v>
      </c>
      <c r="G64" s="18">
        <f t="shared" si="20"/>
        <v>-8.0972102326193618E-3</v>
      </c>
      <c r="H64" s="18">
        <f t="shared" si="21"/>
        <v>1.7924364003149666E-3</v>
      </c>
      <c r="I64" s="18">
        <f t="shared" si="22"/>
        <v>-1.7354014693151506E-2</v>
      </c>
      <c r="J64" s="18">
        <f t="shared" si="23"/>
        <v>-1.4981553615616946E-2</v>
      </c>
      <c r="K64" s="18">
        <f t="shared" si="24"/>
        <v>-1.42064577255561E-2</v>
      </c>
      <c r="L64" s="18">
        <f t="shared" si="25"/>
        <v>-8.5103458258397012E-3</v>
      </c>
      <c r="M64" s="18">
        <f t="shared" si="26"/>
        <v>1.3793008070946276E-3</v>
      </c>
      <c r="N64" s="18">
        <f t="shared" si="27"/>
        <v>-1.7767150286371845E-2</v>
      </c>
      <c r="O64" s="18">
        <f t="shared" si="28"/>
        <v>-1.5394689208837286E-2</v>
      </c>
      <c r="W64" s="18">
        <f t="shared" ca="1" si="29"/>
        <v>0.02</v>
      </c>
      <c r="X64" s="18">
        <f t="shared" ca="1" si="29"/>
        <v>0.96</v>
      </c>
      <c r="Y64" s="18">
        <f t="shared" ca="1" si="29"/>
        <v>0.3</v>
      </c>
      <c r="Z64" s="18">
        <f t="shared" ca="1" si="29"/>
        <v>0.56000000000000005</v>
      </c>
      <c r="AA64" s="18">
        <f t="shared" ca="1" si="30"/>
        <v>0.04</v>
      </c>
      <c r="AB64" s="18">
        <f t="shared" ca="1" si="3"/>
        <v>1.8800000000000001</v>
      </c>
      <c r="AC64" s="18">
        <f t="shared" ca="1" si="4"/>
        <v>1.0638297872340425E-2</v>
      </c>
      <c r="AD64" s="18">
        <f t="shared" ca="1" si="5"/>
        <v>0.51063829787234039</v>
      </c>
      <c r="AE64" s="18">
        <f t="shared" ca="1" si="6"/>
        <v>0.15957446808510636</v>
      </c>
      <c r="AF64" s="18">
        <f t="shared" ca="1" si="7"/>
        <v>0.2978723404255319</v>
      </c>
      <c r="AG64" s="18">
        <f t="shared" ca="1" si="8"/>
        <v>2.1276595744680851E-2</v>
      </c>
      <c r="AH64" s="18">
        <f t="shared" ca="1" si="9"/>
        <v>0.99999999999999989</v>
      </c>
      <c r="AI64" s="18" cm="1">
        <f t="array" aca="1" ref="AI64" ca="1">MMULT(MMULT(AC64:AG64,$Q$2:$U$6),TRANSPOSE(AC64:AG64))</f>
        <v>2.4384833226709108E-4</v>
      </c>
      <c r="AJ64" s="18">
        <f t="shared" ca="1" si="10"/>
        <v>-6.830110216229238E-3</v>
      </c>
      <c r="AK64" s="18">
        <f t="shared" ca="1" si="11"/>
        <v>-0.46384548006373405</v>
      </c>
      <c r="AL64" s="18">
        <f t="shared" ca="1" si="12"/>
        <v>-6.830110216229238E-3</v>
      </c>
      <c r="AM64" s="18">
        <f t="shared" ca="1" si="13"/>
        <v>2.4384833226709108E-4</v>
      </c>
      <c r="AN64" s="18">
        <f t="shared" ca="1" si="14"/>
        <v>1.0638297872340425E-2</v>
      </c>
      <c r="AO64" s="18">
        <f t="shared" ca="1" si="15"/>
        <v>0.51063829787234039</v>
      </c>
      <c r="AP64" s="18">
        <f t="shared" ca="1" si="16"/>
        <v>0.15957446808510636</v>
      </c>
      <c r="AQ64" s="18">
        <f t="shared" ca="1" si="17"/>
        <v>0.2978723404255319</v>
      </c>
      <c r="AR64" s="18">
        <f t="shared" ca="1" si="18"/>
        <v>2.1276595744680851E-2</v>
      </c>
    </row>
    <row r="65" spans="1:44">
      <c r="A65" s="20">
        <v>28.5</v>
      </c>
      <c r="B65" s="20">
        <v>25.2</v>
      </c>
      <c r="C65" s="20">
        <v>281</v>
      </c>
      <c r="D65" s="21">
        <v>45.3</v>
      </c>
      <c r="E65" s="20">
        <v>133</v>
      </c>
      <c r="F65" s="18">
        <f t="shared" si="19"/>
        <v>-1.0471299867295478E-2</v>
      </c>
      <c r="G65" s="18">
        <f t="shared" si="20"/>
        <v>2.4097551579060524E-2</v>
      </c>
      <c r="H65" s="18">
        <f t="shared" si="21"/>
        <v>6.4262984455284002E-3</v>
      </c>
      <c r="I65" s="18">
        <f t="shared" si="22"/>
        <v>-8.7912654111707705E-3</v>
      </c>
      <c r="J65" s="18">
        <f t="shared" si="23"/>
        <v>3.7664827954768648E-3</v>
      </c>
      <c r="K65" s="18">
        <f t="shared" si="24"/>
        <v>-1.0884435460515818E-2</v>
      </c>
      <c r="L65" s="18">
        <f t="shared" si="25"/>
        <v>2.3684415985840184E-2</v>
      </c>
      <c r="M65" s="18">
        <f t="shared" si="26"/>
        <v>6.0131628523080616E-3</v>
      </c>
      <c r="N65" s="18">
        <f t="shared" si="27"/>
        <v>-9.2044010043911099E-3</v>
      </c>
      <c r="O65" s="18">
        <f t="shared" si="28"/>
        <v>3.3533472022565258E-3</v>
      </c>
      <c r="W65" s="18">
        <f t="shared" ca="1" si="29"/>
        <v>0.8</v>
      </c>
      <c r="X65" s="18">
        <f t="shared" ca="1" si="29"/>
        <v>0.32</v>
      </c>
      <c r="Y65" s="18">
        <f t="shared" ca="1" si="29"/>
        <v>0.44</v>
      </c>
      <c r="Z65" s="18">
        <f t="shared" ca="1" si="29"/>
        <v>0.38</v>
      </c>
      <c r="AA65" s="18">
        <f t="shared" ca="1" si="30"/>
        <v>0.28999999999999998</v>
      </c>
      <c r="AB65" s="18">
        <f t="shared" ca="1" si="3"/>
        <v>2.23</v>
      </c>
      <c r="AC65" s="18">
        <f t="shared" ca="1" si="4"/>
        <v>0.35874439461883412</v>
      </c>
      <c r="AD65" s="18">
        <f t="shared" ca="1" si="5"/>
        <v>0.14349775784753363</v>
      </c>
      <c r="AE65" s="18">
        <f t="shared" ca="1" si="6"/>
        <v>0.19730941704035876</v>
      </c>
      <c r="AF65" s="18">
        <f t="shared" ca="1" si="7"/>
        <v>0.17040358744394618</v>
      </c>
      <c r="AG65" s="18">
        <f t="shared" ca="1" si="8"/>
        <v>0.13004484304932734</v>
      </c>
      <c r="AH65" s="18">
        <f t="shared" ca="1" si="9"/>
        <v>1</v>
      </c>
      <c r="AI65" s="18" cm="1">
        <f t="array" aca="1" ref="AI65" ca="1">MMULT(MMULT(AC65:AG65,$Q$2:$U$6),TRANSPOSE(AC65:AG65))</f>
        <v>1.6639087048923902E-4</v>
      </c>
      <c r="AJ65" s="18">
        <f t="shared" ca="1" si="10"/>
        <v>-9.6994545545651316E-4</v>
      </c>
      <c r="AK65" s="18">
        <f t="shared" ca="1" si="11"/>
        <v>-0.10722174813531792</v>
      </c>
      <c r="AL65" s="18">
        <f t="shared" ca="1" si="12"/>
        <v>-9.6994545545651316E-4</v>
      </c>
      <c r="AM65" s="18">
        <f t="shared" ca="1" si="13"/>
        <v>1.6639087048923902E-4</v>
      </c>
      <c r="AN65" s="18">
        <f t="shared" ca="1" si="14"/>
        <v>0.35874439461883412</v>
      </c>
      <c r="AO65" s="18">
        <f t="shared" ca="1" si="15"/>
        <v>0.14349775784753363</v>
      </c>
      <c r="AP65" s="18">
        <f t="shared" ca="1" si="16"/>
        <v>0.19730941704035876</v>
      </c>
      <c r="AQ65" s="18">
        <f t="shared" ca="1" si="17"/>
        <v>0.17040358744394618</v>
      </c>
      <c r="AR65" s="18">
        <f t="shared" ca="1" si="18"/>
        <v>0.13004484304932734</v>
      </c>
    </row>
    <row r="66" spans="1:44">
      <c r="A66" s="20">
        <v>29.4</v>
      </c>
      <c r="B66" s="20">
        <v>25.7</v>
      </c>
      <c r="C66" s="20">
        <v>283.2</v>
      </c>
      <c r="D66" s="21">
        <v>47.6</v>
      </c>
      <c r="E66" s="20">
        <v>138.5</v>
      </c>
      <c r="F66" s="18">
        <f t="shared" si="19"/>
        <v>3.1090587070030967E-2</v>
      </c>
      <c r="G66" s="18">
        <f t="shared" si="20"/>
        <v>1.9646997383796421E-2</v>
      </c>
      <c r="H66" s="18">
        <f t="shared" si="21"/>
        <v>7.7986924858188394E-3</v>
      </c>
      <c r="I66" s="18">
        <f t="shared" si="22"/>
        <v>4.9525728748386018E-2</v>
      </c>
      <c r="J66" s="18">
        <f t="shared" si="23"/>
        <v>4.0521197405639399E-2</v>
      </c>
      <c r="K66" s="18">
        <f t="shared" si="24"/>
        <v>3.0677451476810627E-2</v>
      </c>
      <c r="L66" s="18">
        <f t="shared" si="25"/>
        <v>1.9233861790576082E-2</v>
      </c>
      <c r="M66" s="18">
        <f t="shared" si="26"/>
        <v>7.3855568925985E-3</v>
      </c>
      <c r="N66" s="18">
        <f t="shared" si="27"/>
        <v>4.9112593155165682E-2</v>
      </c>
      <c r="O66" s="18">
        <f t="shared" si="28"/>
        <v>4.0108061812419063E-2</v>
      </c>
      <c r="W66" s="18">
        <f t="shared" ca="1" si="29"/>
        <v>0.01</v>
      </c>
      <c r="X66" s="18">
        <f t="shared" ca="1" si="29"/>
        <v>0.76</v>
      </c>
      <c r="Y66" s="18">
        <f t="shared" ca="1" si="29"/>
        <v>0.3</v>
      </c>
      <c r="Z66" s="18">
        <f t="shared" ca="1" si="29"/>
        <v>0.19</v>
      </c>
      <c r="AA66" s="18">
        <f t="shared" ca="1" si="30"/>
        <v>0.23</v>
      </c>
      <c r="AB66" s="18">
        <f t="shared" ca="1" si="3"/>
        <v>1.49</v>
      </c>
      <c r="AC66" s="18">
        <f t="shared" ca="1" si="4"/>
        <v>6.7114093959731542E-3</v>
      </c>
      <c r="AD66" s="18">
        <f t="shared" ca="1" si="5"/>
        <v>0.51006711409395977</v>
      </c>
      <c r="AE66" s="18">
        <f t="shared" ca="1" si="6"/>
        <v>0.20134228187919462</v>
      </c>
      <c r="AF66" s="18">
        <f t="shared" ca="1" si="7"/>
        <v>0.12751677852348994</v>
      </c>
      <c r="AG66" s="18">
        <f t="shared" ca="1" si="8"/>
        <v>0.15436241610738255</v>
      </c>
      <c r="AH66" s="18">
        <f t="shared" ca="1" si="9"/>
        <v>1</v>
      </c>
      <c r="AI66" s="18" cm="1">
        <f t="array" aca="1" ref="AI66" ca="1">MMULT(MMULT(AC66:AG66,$Q$2:$U$6),TRANSPOSE(AC66:AG66))</f>
        <v>1.8552450587533848E-4</v>
      </c>
      <c r="AJ66" s="18">
        <f t="shared" ca="1" si="10"/>
        <v>-8.7899951457792586E-3</v>
      </c>
      <c r="AK66" s="18">
        <f t="shared" ca="1" si="11"/>
        <v>-0.67567048747048286</v>
      </c>
      <c r="AL66" s="18">
        <f t="shared" ca="1" si="12"/>
        <v>-8.7899951457792586E-3</v>
      </c>
      <c r="AM66" s="18">
        <f t="shared" ca="1" si="13"/>
        <v>1.8552450587533848E-4</v>
      </c>
      <c r="AN66" s="18">
        <f t="shared" ca="1" si="14"/>
        <v>6.7114093959731542E-3</v>
      </c>
      <c r="AO66" s="18">
        <f t="shared" ca="1" si="15"/>
        <v>0.51006711409395977</v>
      </c>
      <c r="AP66" s="18">
        <f t="shared" ca="1" si="16"/>
        <v>0.20134228187919462</v>
      </c>
      <c r="AQ66" s="18">
        <f t="shared" ca="1" si="17"/>
        <v>0.12751677852348994</v>
      </c>
      <c r="AR66" s="18">
        <f t="shared" ca="1" si="18"/>
        <v>0.15436241610738255</v>
      </c>
    </row>
    <row r="67" spans="1:44">
      <c r="A67" s="20">
        <v>30.1</v>
      </c>
      <c r="B67" s="20">
        <v>25.8</v>
      </c>
      <c r="C67" s="20">
        <v>283.8</v>
      </c>
      <c r="D67" s="21">
        <v>48.6</v>
      </c>
      <c r="E67" s="20">
        <v>141.69999999999999</v>
      </c>
      <c r="F67" s="18">
        <f t="shared" si="19"/>
        <v>2.3530497410194251E-2</v>
      </c>
      <c r="G67" s="18">
        <f t="shared" si="20"/>
        <v>3.8835000263976122E-3</v>
      </c>
      <c r="H67" s="18">
        <f t="shared" si="21"/>
        <v>2.1164029063776937E-3</v>
      </c>
      <c r="I67" s="18">
        <f t="shared" si="22"/>
        <v>2.0790769669073689E-2</v>
      </c>
      <c r="J67" s="18">
        <f t="shared" si="23"/>
        <v>2.2841821069241448E-2</v>
      </c>
      <c r="K67" s="18">
        <f t="shared" si="24"/>
        <v>2.3117361816973912E-2</v>
      </c>
      <c r="L67" s="18">
        <f t="shared" si="25"/>
        <v>3.4703644331772732E-3</v>
      </c>
      <c r="M67" s="18">
        <f t="shared" si="26"/>
        <v>1.7032673131573547E-3</v>
      </c>
      <c r="N67" s="18">
        <f t="shared" si="27"/>
        <v>2.037763407585335E-2</v>
      </c>
      <c r="O67" s="18">
        <f t="shared" si="28"/>
        <v>2.2428685476021108E-2</v>
      </c>
      <c r="W67" s="18">
        <f t="shared" ca="1" si="29"/>
        <v>7.0000000000000007E-2</v>
      </c>
      <c r="X67" s="18">
        <f t="shared" ca="1" si="29"/>
        <v>0.01</v>
      </c>
      <c r="Y67" s="18">
        <f t="shared" ca="1" si="29"/>
        <v>0.43</v>
      </c>
      <c r="Z67" s="18">
        <f t="shared" ca="1" si="29"/>
        <v>0.49</v>
      </c>
      <c r="AA67" s="18">
        <f t="shared" ca="1" si="30"/>
        <v>0.23</v>
      </c>
      <c r="AB67" s="18">
        <f t="shared" ref="AB67:AB130" ca="1" si="31">SUM(W67:AA67)</f>
        <v>1.23</v>
      </c>
      <c r="AC67" s="18">
        <f t="shared" ref="AC67:AC130" ca="1" si="32">W67/$AB67</f>
        <v>5.6910569105691061E-2</v>
      </c>
      <c r="AD67" s="18">
        <f t="shared" ref="AD67:AD130" ca="1" si="33">X67/$AB67</f>
        <v>8.130081300813009E-3</v>
      </c>
      <c r="AE67" s="18">
        <f t="shared" ref="AE67:AE130" ca="1" si="34">Y67/$AB67</f>
        <v>0.34959349593495936</v>
      </c>
      <c r="AF67" s="18">
        <f t="shared" ref="AF67:AF130" ca="1" si="35">Z67/$AB67</f>
        <v>0.3983739837398374</v>
      </c>
      <c r="AG67" s="18">
        <f t="shared" ref="AG67:AG130" ca="1" si="36">AA67/$AB67</f>
        <v>0.18699186991869921</v>
      </c>
      <c r="AH67" s="18">
        <f t="shared" ref="AH67:AH130" ca="1" si="37">SUM(AC67:AG67)</f>
        <v>1</v>
      </c>
      <c r="AI67" s="18" cm="1">
        <f t="array" aca="1" ref="AI67" ca="1">MMULT(MMULT(AC67:AG67,$Q$2:$U$6),TRANSPOSE(AC67:AG67))</f>
        <v>2.9594318244068496E-4</v>
      </c>
      <c r="AJ67" s="18">
        <f t="shared" ref="AJ67:AJ130" ca="1" si="38">SUMPRODUCT(AC67:AG67,$F$235:$J$235)</f>
        <v>-1.7093785198876727E-3</v>
      </c>
      <c r="AK67" s="18">
        <f t="shared" ref="AK67:AK130" ca="1" si="39">(AJ67-$K$2)/SQRT(AI67)</f>
        <v>-0.12338046900832089</v>
      </c>
      <c r="AL67" s="18">
        <f t="shared" ref="AL67:AL130" ca="1" si="40">AJ67</f>
        <v>-1.7093785198876727E-3</v>
      </c>
      <c r="AM67" s="18">
        <f t="shared" ref="AM67:AM130" ca="1" si="41">AI67</f>
        <v>2.9594318244068496E-4</v>
      </c>
      <c r="AN67" s="18">
        <f t="shared" ref="AN67:AN130" ca="1" si="42">AC67</f>
        <v>5.6910569105691061E-2</v>
      </c>
      <c r="AO67" s="18">
        <f t="shared" ref="AO67:AO130" ca="1" si="43">AD67</f>
        <v>8.130081300813009E-3</v>
      </c>
      <c r="AP67" s="18">
        <f t="shared" ref="AP67:AP130" ca="1" si="44">AE67</f>
        <v>0.34959349593495936</v>
      </c>
      <c r="AQ67" s="18">
        <f t="shared" ref="AQ67:AQ130" ca="1" si="45">AF67</f>
        <v>0.3983739837398374</v>
      </c>
      <c r="AR67" s="18">
        <f t="shared" ref="AR67:AR130" ca="1" si="46">AG67</f>
        <v>0.18699186991869921</v>
      </c>
    </row>
    <row r="68" spans="1:44">
      <c r="A68" s="20">
        <v>30.2</v>
      </c>
      <c r="B68" s="20">
        <v>26.1</v>
      </c>
      <c r="C68" s="20">
        <v>284.2</v>
      </c>
      <c r="D68" s="21">
        <v>48.7</v>
      </c>
      <c r="E68" s="20">
        <v>140.80000000000001</v>
      </c>
      <c r="F68" s="18">
        <f t="shared" ref="F68:F131" si="47">LN(A68/A67)</f>
        <v>3.3167526259938207E-3</v>
      </c>
      <c r="G68" s="18">
        <f t="shared" ref="G68:G131" si="48">LN(B68/B67)</f>
        <v>1.1560822401076006E-2</v>
      </c>
      <c r="H68" s="18">
        <f t="shared" ref="H68:H131" si="49">LN(C68/C67)</f>
        <v>1.4084509370579205E-3</v>
      </c>
      <c r="I68" s="18">
        <f t="shared" ref="I68:I131" si="50">LN(D68/D67)</f>
        <v>2.0554991820959595E-3</v>
      </c>
      <c r="J68" s="18">
        <f t="shared" ref="J68:J131" si="51">LN(E68/E67)</f>
        <v>-6.3717029726925592E-3</v>
      </c>
      <c r="K68" s="18">
        <f t="shared" ref="K68:K131" si="52">F68-$K$2</f>
        <v>2.9036170327734817E-3</v>
      </c>
      <c r="L68" s="18">
        <f t="shared" ref="L68:L131" si="53">G68-$L$2</f>
        <v>1.1147686807855666E-2</v>
      </c>
      <c r="M68" s="18">
        <f t="shared" ref="M68:M131" si="54">H68-$M$2</f>
        <v>9.9531534383758154E-4</v>
      </c>
      <c r="N68" s="18">
        <f t="shared" ref="N68:N131" si="55">I68-$N$2</f>
        <v>1.6423635888756206E-3</v>
      </c>
      <c r="O68" s="18">
        <f t="shared" ref="O68:O131" si="56">J68-$O$2</f>
        <v>-6.7848385659128978E-3</v>
      </c>
      <c r="W68" s="18">
        <f t="shared" ref="W68:Z131" ca="1" si="57">RANDBETWEEN(1,100)/100</f>
        <v>0.81</v>
      </c>
      <c r="X68" s="18">
        <f t="shared" ca="1" si="57"/>
        <v>0.72</v>
      </c>
      <c r="Y68" s="18">
        <f t="shared" ca="1" si="57"/>
        <v>0.28000000000000003</v>
      </c>
      <c r="Z68" s="18">
        <f t="shared" ca="1" si="57"/>
        <v>0.34</v>
      </c>
      <c r="AA68" s="18">
        <f t="shared" ca="1" si="30"/>
        <v>0.96</v>
      </c>
      <c r="AB68" s="18">
        <f t="shared" ca="1" si="31"/>
        <v>3.11</v>
      </c>
      <c r="AC68" s="18">
        <f t="shared" ca="1" si="32"/>
        <v>0.26045016077170419</v>
      </c>
      <c r="AD68" s="18">
        <f t="shared" ca="1" si="33"/>
        <v>0.23151125401929259</v>
      </c>
      <c r="AE68" s="18">
        <f t="shared" ca="1" si="34"/>
        <v>9.0032154340836029E-2</v>
      </c>
      <c r="AF68" s="18">
        <f t="shared" ca="1" si="35"/>
        <v>0.10932475884244375</v>
      </c>
      <c r="AG68" s="18">
        <f t="shared" ca="1" si="36"/>
        <v>0.3086816720257235</v>
      </c>
      <c r="AH68" s="18">
        <f t="shared" ca="1" si="37"/>
        <v>1</v>
      </c>
      <c r="AI68" s="18" cm="1">
        <f t="array" aca="1" ref="AI68" ca="1">MMULT(MMULT(AC68:AG68,$Q$2:$U$6),TRANSPOSE(AC68:AG68))</f>
        <v>2.3000138077661247E-4</v>
      </c>
      <c r="AJ68" s="18">
        <f t="shared" ca="1" si="38"/>
        <v>-1.1171075908538693E-3</v>
      </c>
      <c r="AK68" s="18">
        <f t="shared" ca="1" si="39"/>
        <v>-0.10090094463982359</v>
      </c>
      <c r="AL68" s="18">
        <f t="shared" ca="1" si="40"/>
        <v>-1.1171075908538693E-3</v>
      </c>
      <c r="AM68" s="18">
        <f t="shared" ca="1" si="41"/>
        <v>2.3000138077661247E-4</v>
      </c>
      <c r="AN68" s="18">
        <f t="shared" ca="1" si="42"/>
        <v>0.26045016077170419</v>
      </c>
      <c r="AO68" s="18">
        <f t="shared" ca="1" si="43"/>
        <v>0.23151125401929259</v>
      </c>
      <c r="AP68" s="18">
        <f t="shared" ca="1" si="44"/>
        <v>9.0032154340836029E-2</v>
      </c>
      <c r="AQ68" s="18">
        <f t="shared" ca="1" si="45"/>
        <v>0.10932475884244375</v>
      </c>
      <c r="AR68" s="18">
        <f t="shared" ca="1" si="46"/>
        <v>0.3086816720257235</v>
      </c>
    </row>
    <row r="69" spans="1:44">
      <c r="A69" s="20">
        <v>30.6</v>
      </c>
      <c r="B69" s="20">
        <v>26.2</v>
      </c>
      <c r="C69" s="20">
        <v>285</v>
      </c>
      <c r="D69" s="21">
        <v>47.7</v>
      </c>
      <c r="E69" s="20">
        <v>136.9</v>
      </c>
      <c r="F69" s="18">
        <f t="shared" si="47"/>
        <v>1.3158084577511201E-2</v>
      </c>
      <c r="G69" s="18">
        <f t="shared" si="48"/>
        <v>3.8240964384032546E-3</v>
      </c>
      <c r="H69" s="18">
        <f t="shared" si="49"/>
        <v>2.8109646056502283E-3</v>
      </c>
      <c r="I69" s="18">
        <f t="shared" si="50"/>
        <v>-2.0747632194248543E-2</v>
      </c>
      <c r="J69" s="18">
        <f t="shared" si="51"/>
        <v>-2.8089711429538831E-2</v>
      </c>
      <c r="K69" s="18">
        <f t="shared" si="52"/>
        <v>1.2744948984290861E-2</v>
      </c>
      <c r="L69" s="18">
        <f t="shared" si="53"/>
        <v>3.4109608451829156E-3</v>
      </c>
      <c r="M69" s="18">
        <f t="shared" si="54"/>
        <v>2.3978290124298893E-3</v>
      </c>
      <c r="N69" s="18">
        <f t="shared" si="55"/>
        <v>-2.1160767787468882E-2</v>
      </c>
      <c r="O69" s="18">
        <f t="shared" si="56"/>
        <v>-2.8502847022759171E-2</v>
      </c>
      <c r="W69" s="18">
        <f t="shared" ca="1" si="57"/>
        <v>0.13</v>
      </c>
      <c r="X69" s="18">
        <f t="shared" ca="1" si="57"/>
        <v>0.42</v>
      </c>
      <c r="Y69" s="18">
        <f t="shared" ca="1" si="57"/>
        <v>0.93</v>
      </c>
      <c r="Z69" s="18">
        <f t="shared" ca="1" si="57"/>
        <v>0.9</v>
      </c>
      <c r="AA69" s="18">
        <f t="shared" ca="1" si="30"/>
        <v>0.47</v>
      </c>
      <c r="AB69" s="18">
        <f t="shared" ca="1" si="31"/>
        <v>2.8499999999999996</v>
      </c>
      <c r="AC69" s="18">
        <f t="shared" ca="1" si="32"/>
        <v>4.5614035087719308E-2</v>
      </c>
      <c r="AD69" s="18">
        <f t="shared" ca="1" si="33"/>
        <v>0.14736842105263159</v>
      </c>
      <c r="AE69" s="18">
        <f t="shared" ca="1" si="34"/>
        <v>0.32631578947368428</v>
      </c>
      <c r="AF69" s="18">
        <f t="shared" ca="1" si="35"/>
        <v>0.31578947368421056</v>
      </c>
      <c r="AG69" s="18">
        <f t="shared" ca="1" si="36"/>
        <v>0.1649122807017544</v>
      </c>
      <c r="AH69" s="18">
        <f t="shared" ca="1" si="37"/>
        <v>1.0000000000000002</v>
      </c>
      <c r="AI69" s="18" cm="1">
        <f t="array" aca="1" ref="AI69" ca="1">MMULT(MMULT(AC69:AG69,$Q$2:$U$6),TRANSPOSE(AC69:AG69))</f>
        <v>2.3068536402175865E-4</v>
      </c>
      <c r="AJ69" s="18">
        <f t="shared" ca="1" si="38"/>
        <v>-4.0620124084838737E-3</v>
      </c>
      <c r="AK69" s="18">
        <f t="shared" ca="1" si="39"/>
        <v>-0.29464385104380447</v>
      </c>
      <c r="AL69" s="18">
        <f t="shared" ca="1" si="40"/>
        <v>-4.0620124084838737E-3</v>
      </c>
      <c r="AM69" s="18">
        <f t="shared" ca="1" si="41"/>
        <v>2.3068536402175865E-4</v>
      </c>
      <c r="AN69" s="18">
        <f t="shared" ca="1" si="42"/>
        <v>4.5614035087719308E-2</v>
      </c>
      <c r="AO69" s="18">
        <f t="shared" ca="1" si="43"/>
        <v>0.14736842105263159</v>
      </c>
      <c r="AP69" s="18">
        <f t="shared" ca="1" si="44"/>
        <v>0.32631578947368428</v>
      </c>
      <c r="AQ69" s="18">
        <f t="shared" ca="1" si="45"/>
        <v>0.31578947368421056</v>
      </c>
      <c r="AR69" s="18">
        <f t="shared" ca="1" si="46"/>
        <v>0.1649122807017544</v>
      </c>
    </row>
    <row r="70" spans="1:44">
      <c r="A70" s="20">
        <v>30.6</v>
      </c>
      <c r="B70" s="20">
        <v>26</v>
      </c>
      <c r="C70" s="20">
        <v>285.39999999999998</v>
      </c>
      <c r="D70" s="21">
        <v>47.7</v>
      </c>
      <c r="E70" s="20">
        <v>137.6</v>
      </c>
      <c r="F70" s="18">
        <f t="shared" si="47"/>
        <v>0</v>
      </c>
      <c r="G70" s="18">
        <f t="shared" si="48"/>
        <v>-7.6628727455691371E-3</v>
      </c>
      <c r="H70" s="18">
        <f t="shared" si="49"/>
        <v>1.4025247740854319E-3</v>
      </c>
      <c r="I70" s="18">
        <f t="shared" si="50"/>
        <v>0</v>
      </c>
      <c r="J70" s="18">
        <f t="shared" si="51"/>
        <v>5.1001932048399048E-3</v>
      </c>
      <c r="K70" s="18">
        <f t="shared" si="52"/>
        <v>-4.1313559322033898E-4</v>
      </c>
      <c r="L70" s="18">
        <f t="shared" si="53"/>
        <v>-8.0760083387894765E-3</v>
      </c>
      <c r="M70" s="18">
        <f t="shared" si="54"/>
        <v>9.8938918086509289E-4</v>
      </c>
      <c r="N70" s="18">
        <f t="shared" si="55"/>
        <v>-4.1313559322033898E-4</v>
      </c>
      <c r="O70" s="18">
        <f t="shared" si="56"/>
        <v>4.6870576116195654E-3</v>
      </c>
      <c r="W70" s="18">
        <f t="shared" ca="1" si="57"/>
        <v>0.92</v>
      </c>
      <c r="X70" s="18">
        <f t="shared" ca="1" si="57"/>
        <v>0.2</v>
      </c>
      <c r="Y70" s="18">
        <f t="shared" ca="1" si="57"/>
        <v>0.43</v>
      </c>
      <c r="Z70" s="18">
        <f t="shared" ca="1" si="57"/>
        <v>0.31</v>
      </c>
      <c r="AA70" s="18">
        <f t="shared" ca="1" si="30"/>
        <v>0.37</v>
      </c>
      <c r="AB70" s="18">
        <f t="shared" ca="1" si="31"/>
        <v>2.23</v>
      </c>
      <c r="AC70" s="18">
        <f t="shared" ca="1" si="32"/>
        <v>0.41255605381165922</v>
      </c>
      <c r="AD70" s="18">
        <f t="shared" ca="1" si="33"/>
        <v>8.9686098654708529E-2</v>
      </c>
      <c r="AE70" s="18">
        <f t="shared" ca="1" si="34"/>
        <v>0.19282511210762332</v>
      </c>
      <c r="AF70" s="18">
        <f t="shared" ca="1" si="35"/>
        <v>0.13901345291479822</v>
      </c>
      <c r="AG70" s="18">
        <f t="shared" ca="1" si="36"/>
        <v>0.16591928251121077</v>
      </c>
      <c r="AH70" s="18">
        <f t="shared" ca="1" si="37"/>
        <v>1</v>
      </c>
      <c r="AI70" s="18" cm="1">
        <f t="array" aca="1" ref="AI70" ca="1">MMULT(MMULT(AC70:AG70,$Q$2:$U$6),TRANSPOSE(AC70:AG70))</f>
        <v>1.7008122022917771E-4</v>
      </c>
      <c r="AJ70" s="18">
        <f t="shared" ca="1" si="38"/>
        <v>1.4900670798988441E-5</v>
      </c>
      <c r="AK70" s="18">
        <f t="shared" ca="1" si="39"/>
        <v>-3.053593063886929E-2</v>
      </c>
      <c r="AL70" s="18">
        <f t="shared" ca="1" si="40"/>
        <v>1.4900670798988441E-5</v>
      </c>
      <c r="AM70" s="18">
        <f t="shared" ca="1" si="41"/>
        <v>1.7008122022917771E-4</v>
      </c>
      <c r="AN70" s="18">
        <f t="shared" ca="1" si="42"/>
        <v>0.41255605381165922</v>
      </c>
      <c r="AO70" s="18">
        <f t="shared" ca="1" si="43"/>
        <v>8.9686098654708529E-2</v>
      </c>
      <c r="AP70" s="18">
        <f t="shared" ca="1" si="44"/>
        <v>0.19282511210762332</v>
      </c>
      <c r="AQ70" s="18">
        <f t="shared" ca="1" si="45"/>
        <v>0.13901345291479822</v>
      </c>
      <c r="AR70" s="18">
        <f t="shared" ca="1" si="46"/>
        <v>0.16591928251121077</v>
      </c>
    </row>
    <row r="71" spans="1:44">
      <c r="A71" s="20">
        <v>31.4</v>
      </c>
      <c r="B71" s="20">
        <v>26.6</v>
      </c>
      <c r="C71" s="20">
        <v>287.39999999999998</v>
      </c>
      <c r="D71" s="21">
        <v>49.4</v>
      </c>
      <c r="E71" s="20">
        <v>139.30000000000001</v>
      </c>
      <c r="F71" s="18">
        <f t="shared" si="47"/>
        <v>2.5807883955872503E-2</v>
      </c>
      <c r="G71" s="18">
        <f t="shared" si="48"/>
        <v>2.2814677766171482E-2</v>
      </c>
      <c r="H71" s="18">
        <f t="shared" si="49"/>
        <v>6.9832686021884405E-3</v>
      </c>
      <c r="I71" s="18">
        <f t="shared" si="50"/>
        <v>3.5019026299581139E-2</v>
      </c>
      <c r="J71" s="18">
        <f t="shared" si="51"/>
        <v>1.2278955286516806E-2</v>
      </c>
      <c r="K71" s="18">
        <f t="shared" si="52"/>
        <v>2.5394748362652163E-2</v>
      </c>
      <c r="L71" s="18">
        <f t="shared" si="53"/>
        <v>2.2401542172951143E-2</v>
      </c>
      <c r="M71" s="18">
        <f t="shared" si="54"/>
        <v>6.5701330089681011E-3</v>
      </c>
      <c r="N71" s="18">
        <f t="shared" si="55"/>
        <v>3.4605890706360803E-2</v>
      </c>
      <c r="O71" s="18">
        <f t="shared" si="56"/>
        <v>1.1865819693296467E-2</v>
      </c>
      <c r="W71" s="18">
        <f t="shared" ca="1" si="57"/>
        <v>0.17</v>
      </c>
      <c r="X71" s="18">
        <f t="shared" ca="1" si="57"/>
        <v>0.17</v>
      </c>
      <c r="Y71" s="18">
        <f t="shared" ca="1" si="57"/>
        <v>0.61</v>
      </c>
      <c r="Z71" s="18">
        <f t="shared" ca="1" si="57"/>
        <v>0.69</v>
      </c>
      <c r="AA71" s="18">
        <f t="shared" ca="1" si="30"/>
        <v>0.44</v>
      </c>
      <c r="AB71" s="18">
        <f t="shared" ca="1" si="31"/>
        <v>2.08</v>
      </c>
      <c r="AC71" s="18">
        <f t="shared" ca="1" si="32"/>
        <v>8.1730769230769232E-2</v>
      </c>
      <c r="AD71" s="18">
        <f t="shared" ca="1" si="33"/>
        <v>8.1730769230769232E-2</v>
      </c>
      <c r="AE71" s="18">
        <f t="shared" ca="1" si="34"/>
        <v>0.29326923076923073</v>
      </c>
      <c r="AF71" s="18">
        <f t="shared" ca="1" si="35"/>
        <v>0.33173076923076922</v>
      </c>
      <c r="AG71" s="18">
        <f t="shared" ca="1" si="36"/>
        <v>0.21153846153846154</v>
      </c>
      <c r="AH71" s="18">
        <f t="shared" ca="1" si="37"/>
        <v>0.99999999999999989</v>
      </c>
      <c r="AI71" s="18" cm="1">
        <f t="array" aca="1" ref="AI71" ca="1">MMULT(MMULT(AC71:AG71,$Q$2:$U$6),TRANSPOSE(AC71:AG71))</f>
        <v>2.5669586830582479E-4</v>
      </c>
      <c r="AJ71" s="18">
        <f t="shared" ca="1" si="38"/>
        <v>-2.0957393780504929E-3</v>
      </c>
      <c r="AK71" s="18">
        <f t="shared" ca="1" si="39"/>
        <v>-0.15659200316020289</v>
      </c>
      <c r="AL71" s="18">
        <f t="shared" ca="1" si="40"/>
        <v>-2.0957393780504929E-3</v>
      </c>
      <c r="AM71" s="18">
        <f t="shared" ca="1" si="41"/>
        <v>2.5669586830582479E-4</v>
      </c>
      <c r="AN71" s="18">
        <f t="shared" ca="1" si="42"/>
        <v>8.1730769230769232E-2</v>
      </c>
      <c r="AO71" s="18">
        <f t="shared" ca="1" si="43"/>
        <v>8.1730769230769232E-2</v>
      </c>
      <c r="AP71" s="18">
        <f t="shared" ca="1" si="44"/>
        <v>0.29326923076923073</v>
      </c>
      <c r="AQ71" s="18">
        <f t="shared" ca="1" si="45"/>
        <v>0.33173076923076922</v>
      </c>
      <c r="AR71" s="18">
        <f t="shared" ca="1" si="46"/>
        <v>0.21153846153846154</v>
      </c>
    </row>
    <row r="72" spans="1:44">
      <c r="A72" s="20">
        <v>30.4</v>
      </c>
      <c r="B72" s="20">
        <v>26</v>
      </c>
      <c r="C72" s="20">
        <v>286.89999999999998</v>
      </c>
      <c r="D72" s="21">
        <v>48.8</v>
      </c>
      <c r="E72" s="20">
        <v>139.1</v>
      </c>
      <c r="F72" s="18">
        <f t="shared" si="47"/>
        <v>-3.236528450203166E-2</v>
      </c>
      <c r="G72" s="18">
        <f t="shared" si="48"/>
        <v>-2.2814677766171399E-2</v>
      </c>
      <c r="H72" s="18">
        <f t="shared" si="49"/>
        <v>-1.7412506576053961E-3</v>
      </c>
      <c r="I72" s="18">
        <f t="shared" si="50"/>
        <v>-1.2220111334775333E-2</v>
      </c>
      <c r="J72" s="18">
        <f t="shared" si="51"/>
        <v>-1.4367818563628609E-3</v>
      </c>
      <c r="K72" s="18">
        <f t="shared" si="52"/>
        <v>-3.2778420095251996E-2</v>
      </c>
      <c r="L72" s="18">
        <f t="shared" si="53"/>
        <v>-2.3227813359391739E-2</v>
      </c>
      <c r="M72" s="18">
        <f t="shared" si="54"/>
        <v>-2.1543862508257351E-3</v>
      </c>
      <c r="N72" s="18">
        <f t="shared" si="55"/>
        <v>-1.2633246927995672E-2</v>
      </c>
      <c r="O72" s="18">
        <f t="shared" si="56"/>
        <v>-1.8499174495831998E-3</v>
      </c>
      <c r="W72" s="18">
        <f t="shared" ca="1" si="57"/>
        <v>0.71</v>
      </c>
      <c r="X72" s="18">
        <f t="shared" ca="1" si="57"/>
        <v>0.24</v>
      </c>
      <c r="Y72" s="18">
        <f t="shared" ca="1" si="57"/>
        <v>0.33</v>
      </c>
      <c r="Z72" s="18">
        <f t="shared" ca="1" si="57"/>
        <v>0.91</v>
      </c>
      <c r="AA72" s="18">
        <f t="shared" ca="1" si="30"/>
        <v>0.79</v>
      </c>
      <c r="AB72" s="18">
        <f t="shared" ca="1" si="31"/>
        <v>2.98</v>
      </c>
      <c r="AC72" s="18">
        <f t="shared" ca="1" si="32"/>
        <v>0.23825503355704697</v>
      </c>
      <c r="AD72" s="18">
        <f t="shared" ca="1" si="33"/>
        <v>8.0536912751677847E-2</v>
      </c>
      <c r="AE72" s="18">
        <f t="shared" ca="1" si="34"/>
        <v>0.11073825503355705</v>
      </c>
      <c r="AF72" s="18">
        <f t="shared" ca="1" si="35"/>
        <v>0.30536912751677853</v>
      </c>
      <c r="AG72" s="18">
        <f t="shared" ca="1" si="36"/>
        <v>0.2651006711409396</v>
      </c>
      <c r="AH72" s="18">
        <f t="shared" ca="1" si="37"/>
        <v>1</v>
      </c>
      <c r="AI72" s="18" cm="1">
        <f t="array" aca="1" ref="AI72" ca="1">MMULT(MMULT(AC72:AG72,$Q$2:$U$6),TRANSPOSE(AC72:AG72))</f>
        <v>2.7818962818730922E-4</v>
      </c>
      <c r="AJ72" s="18">
        <f t="shared" ca="1" si="38"/>
        <v>2.0686092788305679E-3</v>
      </c>
      <c r="AK72" s="18">
        <f t="shared" ca="1" si="39"/>
        <v>9.9254867705982117E-2</v>
      </c>
      <c r="AL72" s="18">
        <f t="shared" ca="1" si="40"/>
        <v>2.0686092788305679E-3</v>
      </c>
      <c r="AM72" s="18">
        <f t="shared" ca="1" si="41"/>
        <v>2.7818962818730922E-4</v>
      </c>
      <c r="AN72" s="18">
        <f t="shared" ca="1" si="42"/>
        <v>0.23825503355704697</v>
      </c>
      <c r="AO72" s="18">
        <f t="shared" ca="1" si="43"/>
        <v>8.0536912751677847E-2</v>
      </c>
      <c r="AP72" s="18">
        <f t="shared" ca="1" si="44"/>
        <v>0.11073825503355705</v>
      </c>
      <c r="AQ72" s="18">
        <f t="shared" ca="1" si="45"/>
        <v>0.30536912751677853</v>
      </c>
      <c r="AR72" s="18">
        <f t="shared" ca="1" si="46"/>
        <v>0.2651006711409396</v>
      </c>
    </row>
    <row r="73" spans="1:44">
      <c r="A73" s="20">
        <v>31.7</v>
      </c>
      <c r="B73" s="20">
        <v>26.1</v>
      </c>
      <c r="C73" s="20">
        <v>288.89999999999998</v>
      </c>
      <c r="D73" s="21">
        <v>51.5</v>
      </c>
      <c r="E73" s="20">
        <v>135.9</v>
      </c>
      <c r="F73" s="18">
        <f t="shared" si="47"/>
        <v>4.1874072471059016E-2</v>
      </c>
      <c r="G73" s="18">
        <f t="shared" si="48"/>
        <v>3.8387763071656669E-3</v>
      </c>
      <c r="H73" s="18">
        <f t="shared" si="49"/>
        <v>6.9468844848703777E-3</v>
      </c>
      <c r="I73" s="18">
        <f t="shared" si="50"/>
        <v>5.385149481058895E-2</v>
      </c>
      <c r="J73" s="18">
        <f t="shared" si="51"/>
        <v>-2.3273777772299078E-2</v>
      </c>
      <c r="K73" s="18">
        <f t="shared" si="52"/>
        <v>4.1460936877838681E-2</v>
      </c>
      <c r="L73" s="18">
        <f t="shared" si="53"/>
        <v>3.425640713945328E-3</v>
      </c>
      <c r="M73" s="18">
        <f t="shared" si="54"/>
        <v>6.5337488916500392E-3</v>
      </c>
      <c r="N73" s="18">
        <f t="shared" si="55"/>
        <v>5.3438359217368614E-2</v>
      </c>
      <c r="O73" s="18">
        <f t="shared" si="56"/>
        <v>-2.3686913365519417E-2</v>
      </c>
      <c r="W73" s="18">
        <f t="shared" ca="1" si="57"/>
        <v>0.68</v>
      </c>
      <c r="X73" s="18">
        <f t="shared" ca="1" si="57"/>
        <v>0.04</v>
      </c>
      <c r="Y73" s="18">
        <f t="shared" ca="1" si="57"/>
        <v>0.89</v>
      </c>
      <c r="Z73" s="18">
        <f t="shared" ca="1" si="57"/>
        <v>0.24</v>
      </c>
      <c r="AA73" s="18">
        <f t="shared" ca="1" si="30"/>
        <v>0.96</v>
      </c>
      <c r="AB73" s="18">
        <f t="shared" ca="1" si="31"/>
        <v>2.81</v>
      </c>
      <c r="AC73" s="18">
        <f t="shared" ca="1" si="32"/>
        <v>0.24199288256227761</v>
      </c>
      <c r="AD73" s="18">
        <f t="shared" ca="1" si="33"/>
        <v>1.4234875444839857E-2</v>
      </c>
      <c r="AE73" s="18">
        <f t="shared" ca="1" si="34"/>
        <v>0.31672597864768681</v>
      </c>
      <c r="AF73" s="18">
        <f t="shared" ca="1" si="35"/>
        <v>8.5409252669039135E-2</v>
      </c>
      <c r="AG73" s="18">
        <f t="shared" ca="1" si="36"/>
        <v>0.34163701067615654</v>
      </c>
      <c r="AH73" s="18">
        <f t="shared" ca="1" si="37"/>
        <v>1</v>
      </c>
      <c r="AI73" s="18" cm="1">
        <f t="array" aca="1" ref="AI73" ca="1">MMULT(MMULT(AC73:AG73,$Q$2:$U$6),TRANSPOSE(AC73:AG73))</f>
        <v>2.3933768886347766E-4</v>
      </c>
      <c r="AJ73" s="18">
        <f t="shared" ca="1" si="38"/>
        <v>-2.3730262631707268E-3</v>
      </c>
      <c r="AK73" s="18">
        <f t="shared" ca="1" si="39"/>
        <v>-0.18009464343770995</v>
      </c>
      <c r="AL73" s="18">
        <f t="shared" ca="1" si="40"/>
        <v>-2.3730262631707268E-3</v>
      </c>
      <c r="AM73" s="18">
        <f t="shared" ca="1" si="41"/>
        <v>2.3933768886347766E-4</v>
      </c>
      <c r="AN73" s="18">
        <f t="shared" ca="1" si="42"/>
        <v>0.24199288256227761</v>
      </c>
      <c r="AO73" s="18">
        <f t="shared" ca="1" si="43"/>
        <v>1.4234875444839857E-2</v>
      </c>
      <c r="AP73" s="18">
        <f t="shared" ca="1" si="44"/>
        <v>0.31672597864768681</v>
      </c>
      <c r="AQ73" s="18">
        <f t="shared" ca="1" si="45"/>
        <v>8.5409252669039135E-2</v>
      </c>
      <c r="AR73" s="18">
        <f t="shared" ca="1" si="46"/>
        <v>0.34163701067615654</v>
      </c>
    </row>
    <row r="74" spans="1:44">
      <c r="A74" s="20">
        <v>32.4</v>
      </c>
      <c r="B74" s="20">
        <v>26.8</v>
      </c>
      <c r="C74" s="20">
        <v>292.3</v>
      </c>
      <c r="D74" s="21">
        <v>52.4</v>
      </c>
      <c r="E74" s="20">
        <v>140.1</v>
      </c>
      <c r="F74" s="18">
        <f t="shared" si="47"/>
        <v>2.1841741915048854E-2</v>
      </c>
      <c r="G74" s="18">
        <f t="shared" si="48"/>
        <v>2.6466573188163273E-2</v>
      </c>
      <c r="H74" s="18">
        <f t="shared" si="49"/>
        <v>1.1700064645010789E-2</v>
      </c>
      <c r="I74" s="18">
        <f t="shared" si="50"/>
        <v>1.7324783657305921E-2</v>
      </c>
      <c r="J74" s="18">
        <f t="shared" si="51"/>
        <v>3.043713218586323E-2</v>
      </c>
      <c r="K74" s="18">
        <f t="shared" si="52"/>
        <v>2.1428606321828515E-2</v>
      </c>
      <c r="L74" s="18">
        <f t="shared" si="53"/>
        <v>2.6053437594942934E-2</v>
      </c>
      <c r="M74" s="18">
        <f t="shared" si="54"/>
        <v>1.128692905179045E-2</v>
      </c>
      <c r="N74" s="18">
        <f t="shared" si="55"/>
        <v>1.6911648064085582E-2</v>
      </c>
      <c r="O74" s="18">
        <f t="shared" si="56"/>
        <v>3.002399659264289E-2</v>
      </c>
      <c r="W74" s="18">
        <f t="shared" ca="1" si="57"/>
        <v>0.75</v>
      </c>
      <c r="X74" s="18">
        <f t="shared" ca="1" si="57"/>
        <v>0.14000000000000001</v>
      </c>
      <c r="Y74" s="18">
        <f t="shared" ca="1" si="57"/>
        <v>0.24</v>
      </c>
      <c r="Z74" s="18">
        <f t="shared" ca="1" si="57"/>
        <v>0.6</v>
      </c>
      <c r="AA74" s="18">
        <f t="shared" ca="1" si="30"/>
        <v>0.67</v>
      </c>
      <c r="AB74" s="18">
        <f t="shared" ca="1" si="31"/>
        <v>2.4</v>
      </c>
      <c r="AC74" s="18">
        <f t="shared" ca="1" si="32"/>
        <v>0.3125</v>
      </c>
      <c r="AD74" s="18">
        <f t="shared" ca="1" si="33"/>
        <v>5.8333333333333341E-2</v>
      </c>
      <c r="AE74" s="18">
        <f t="shared" ca="1" si="34"/>
        <v>0.1</v>
      </c>
      <c r="AF74" s="18">
        <f t="shared" ca="1" si="35"/>
        <v>0.25</v>
      </c>
      <c r="AG74" s="18">
        <f t="shared" ca="1" si="36"/>
        <v>0.27916666666666667</v>
      </c>
      <c r="AH74" s="18">
        <f t="shared" ca="1" si="37"/>
        <v>1</v>
      </c>
      <c r="AI74" s="18" cm="1">
        <f t="array" aca="1" ref="AI74" ca="1">MMULT(MMULT(AC74:AG74,$Q$2:$U$6),TRANSPOSE(AC74:AG74))</f>
        <v>2.6296693995119343E-4</v>
      </c>
      <c r="AJ74" s="18">
        <f t="shared" ca="1" si="38"/>
        <v>2.6106284671689826E-3</v>
      </c>
      <c r="AK74" s="18">
        <f t="shared" ca="1" si="39"/>
        <v>0.13551173292458882</v>
      </c>
      <c r="AL74" s="18">
        <f t="shared" ca="1" si="40"/>
        <v>2.6106284671689826E-3</v>
      </c>
      <c r="AM74" s="18">
        <f t="shared" ca="1" si="41"/>
        <v>2.6296693995119343E-4</v>
      </c>
      <c r="AN74" s="18">
        <f t="shared" ca="1" si="42"/>
        <v>0.3125</v>
      </c>
      <c r="AO74" s="18">
        <f t="shared" ca="1" si="43"/>
        <v>5.8333333333333341E-2</v>
      </c>
      <c r="AP74" s="18">
        <f t="shared" ca="1" si="44"/>
        <v>0.1</v>
      </c>
      <c r="AQ74" s="18">
        <f t="shared" ca="1" si="45"/>
        <v>0.25</v>
      </c>
      <c r="AR74" s="18">
        <f t="shared" ca="1" si="46"/>
        <v>0.27916666666666667</v>
      </c>
    </row>
    <row r="75" spans="1:44">
      <c r="A75" s="20">
        <v>29.9</v>
      </c>
      <c r="B75" s="20">
        <v>26.9</v>
      </c>
      <c r="C75" s="20">
        <v>292.39999999999998</v>
      </c>
      <c r="D75" s="21">
        <v>49.2</v>
      </c>
      <c r="E75" s="20">
        <v>145.5</v>
      </c>
      <c r="F75" s="18">
        <f t="shared" si="47"/>
        <v>-8.0299942401642968E-2</v>
      </c>
      <c r="G75" s="18">
        <f t="shared" si="48"/>
        <v>3.7243990909822727E-3</v>
      </c>
      <c r="H75" s="18">
        <f t="shared" si="49"/>
        <v>3.4205575842310184E-4</v>
      </c>
      <c r="I75" s="18">
        <f t="shared" si="50"/>
        <v>-6.3012967828733918E-2</v>
      </c>
      <c r="J75" s="18">
        <f t="shared" si="51"/>
        <v>3.781963326858595E-2</v>
      </c>
      <c r="K75" s="18">
        <f t="shared" si="52"/>
        <v>-8.0713077994863311E-2</v>
      </c>
      <c r="L75" s="18">
        <f t="shared" si="53"/>
        <v>3.3112634977619337E-3</v>
      </c>
      <c r="M75" s="18">
        <f t="shared" si="54"/>
        <v>-7.107983479723713E-5</v>
      </c>
      <c r="N75" s="18">
        <f t="shared" si="55"/>
        <v>-6.3426103421954261E-2</v>
      </c>
      <c r="O75" s="18">
        <f t="shared" si="56"/>
        <v>3.7406497675365614E-2</v>
      </c>
      <c r="W75" s="18">
        <f t="shared" ca="1" si="57"/>
        <v>0.35</v>
      </c>
      <c r="X75" s="18">
        <f t="shared" ca="1" si="57"/>
        <v>0.66</v>
      </c>
      <c r="Y75" s="18">
        <f t="shared" ca="1" si="57"/>
        <v>0.26</v>
      </c>
      <c r="Z75" s="18">
        <f t="shared" ca="1" si="57"/>
        <v>0.75</v>
      </c>
      <c r="AA75" s="18">
        <f t="shared" ca="1" si="30"/>
        <v>0.15</v>
      </c>
      <c r="AB75" s="18">
        <f t="shared" ca="1" si="31"/>
        <v>2.17</v>
      </c>
      <c r="AC75" s="18">
        <f t="shared" ca="1" si="32"/>
        <v>0.16129032258064516</v>
      </c>
      <c r="AD75" s="18">
        <f t="shared" ca="1" si="33"/>
        <v>0.30414746543778803</v>
      </c>
      <c r="AE75" s="18">
        <f t="shared" ca="1" si="34"/>
        <v>0.11981566820276499</v>
      </c>
      <c r="AF75" s="18">
        <f t="shared" ca="1" si="35"/>
        <v>0.34562211981566821</v>
      </c>
      <c r="AG75" s="18">
        <f t="shared" ca="1" si="36"/>
        <v>6.9124423963133647E-2</v>
      </c>
      <c r="AH75" s="18">
        <f t="shared" ca="1" si="37"/>
        <v>1</v>
      </c>
      <c r="AI75" s="18" cm="1">
        <f t="array" aca="1" ref="AI75" ca="1">MMULT(MMULT(AC75:AG75,$Q$2:$U$6),TRANSPOSE(AC75:AG75))</f>
        <v>2.4769943414035484E-4</v>
      </c>
      <c r="AJ75" s="18">
        <f t="shared" ca="1" si="38"/>
        <v>-1.7521162703449898E-3</v>
      </c>
      <c r="AK75" s="18">
        <f t="shared" ca="1" si="39"/>
        <v>-0.13757702496980098</v>
      </c>
      <c r="AL75" s="18">
        <f t="shared" ca="1" si="40"/>
        <v>-1.7521162703449898E-3</v>
      </c>
      <c r="AM75" s="18">
        <f t="shared" ca="1" si="41"/>
        <v>2.4769943414035484E-4</v>
      </c>
      <c r="AN75" s="18">
        <f t="shared" ca="1" si="42"/>
        <v>0.16129032258064516</v>
      </c>
      <c r="AO75" s="18">
        <f t="shared" ca="1" si="43"/>
        <v>0.30414746543778803</v>
      </c>
      <c r="AP75" s="18">
        <f t="shared" ca="1" si="44"/>
        <v>0.11981566820276499</v>
      </c>
      <c r="AQ75" s="18">
        <f t="shared" ca="1" si="45"/>
        <v>0.34562211981566821</v>
      </c>
      <c r="AR75" s="18">
        <f t="shared" ca="1" si="46"/>
        <v>6.9124423963133647E-2</v>
      </c>
    </row>
    <row r="76" spans="1:44">
      <c r="A76" s="20">
        <v>29</v>
      </c>
      <c r="B76" s="20">
        <v>27.1</v>
      </c>
      <c r="C76" s="20">
        <v>291.89999999999998</v>
      </c>
      <c r="D76" s="21">
        <v>48.6</v>
      </c>
      <c r="E76" s="20">
        <v>148</v>
      </c>
      <c r="F76" s="18">
        <f t="shared" si="47"/>
        <v>-3.0562650410166696E-2</v>
      </c>
      <c r="G76" s="18">
        <f t="shared" si="48"/>
        <v>7.4074412778618176E-3</v>
      </c>
      <c r="H76" s="18">
        <f t="shared" si="49"/>
        <v>-1.7114500155543653E-3</v>
      </c>
      <c r="I76" s="18">
        <f t="shared" si="50"/>
        <v>-1.2270092591814359E-2</v>
      </c>
      <c r="J76" s="18">
        <f t="shared" si="51"/>
        <v>1.70361871525678E-2</v>
      </c>
      <c r="K76" s="18">
        <f t="shared" si="52"/>
        <v>-3.0975786003387035E-2</v>
      </c>
      <c r="L76" s="18">
        <f t="shared" si="53"/>
        <v>6.9943056846414782E-3</v>
      </c>
      <c r="M76" s="18">
        <f t="shared" si="54"/>
        <v>-2.1245856087747043E-3</v>
      </c>
      <c r="N76" s="18">
        <f t="shared" si="55"/>
        <v>-1.2683228185034699E-2</v>
      </c>
      <c r="O76" s="18">
        <f t="shared" si="56"/>
        <v>1.6623051559347461E-2</v>
      </c>
      <c r="W76" s="18">
        <f t="shared" ca="1" si="57"/>
        <v>0.23</v>
      </c>
      <c r="X76" s="18">
        <f t="shared" ca="1" si="57"/>
        <v>0.52</v>
      </c>
      <c r="Y76" s="18">
        <f t="shared" ca="1" si="57"/>
        <v>0.11</v>
      </c>
      <c r="Z76" s="18">
        <f t="shared" ca="1" si="57"/>
        <v>0.93</v>
      </c>
      <c r="AA76" s="18">
        <f t="shared" ca="1" si="30"/>
        <v>0.65</v>
      </c>
      <c r="AB76" s="18">
        <f t="shared" ca="1" si="31"/>
        <v>2.44</v>
      </c>
      <c r="AC76" s="18">
        <f t="shared" ca="1" si="32"/>
        <v>9.4262295081967221E-2</v>
      </c>
      <c r="AD76" s="18">
        <f t="shared" ca="1" si="33"/>
        <v>0.21311475409836067</v>
      </c>
      <c r="AE76" s="18">
        <f t="shared" ca="1" si="34"/>
        <v>4.5081967213114756E-2</v>
      </c>
      <c r="AF76" s="18">
        <f t="shared" ca="1" si="35"/>
        <v>0.38114754098360659</v>
      </c>
      <c r="AG76" s="18">
        <f t="shared" ca="1" si="36"/>
        <v>0.26639344262295084</v>
      </c>
      <c r="AH76" s="18">
        <f t="shared" ca="1" si="37"/>
        <v>1</v>
      </c>
      <c r="AI76" s="18" cm="1">
        <f t="array" aca="1" ref="AI76" ca="1">MMULT(MMULT(AC76:AG76,$Q$2:$U$6),TRANSPOSE(AC76:AG76))</f>
        <v>3.2641243506119258E-4</v>
      </c>
      <c r="AJ76" s="18">
        <f t="shared" ca="1" si="38"/>
        <v>1.0887820428908802E-3</v>
      </c>
      <c r="AK76" s="18">
        <f t="shared" ca="1" si="39"/>
        <v>3.7396947213965109E-2</v>
      </c>
      <c r="AL76" s="18">
        <f t="shared" ca="1" si="40"/>
        <v>1.0887820428908802E-3</v>
      </c>
      <c r="AM76" s="18">
        <f t="shared" ca="1" si="41"/>
        <v>3.2641243506119258E-4</v>
      </c>
      <c r="AN76" s="18">
        <f t="shared" ca="1" si="42"/>
        <v>9.4262295081967221E-2</v>
      </c>
      <c r="AO76" s="18">
        <f t="shared" ca="1" si="43"/>
        <v>0.21311475409836067</v>
      </c>
      <c r="AP76" s="18">
        <f t="shared" ca="1" si="44"/>
        <v>4.5081967213114756E-2</v>
      </c>
      <c r="AQ76" s="18">
        <f t="shared" ca="1" si="45"/>
        <v>0.38114754098360659</v>
      </c>
      <c r="AR76" s="18">
        <f t="shared" ca="1" si="46"/>
        <v>0.26639344262295084</v>
      </c>
    </row>
    <row r="77" spans="1:44">
      <c r="A77" s="20">
        <v>29.4</v>
      </c>
      <c r="B77" s="20">
        <v>27.4</v>
      </c>
      <c r="C77" s="20">
        <v>292.60000000000002</v>
      </c>
      <c r="D77" s="21">
        <v>49.5</v>
      </c>
      <c r="E77" s="20">
        <v>149.19999999999999</v>
      </c>
      <c r="F77" s="18">
        <f t="shared" si="47"/>
        <v>1.3698844358161927E-2</v>
      </c>
      <c r="G77" s="18">
        <f t="shared" si="48"/>
        <v>1.1009285508369175E-2</v>
      </c>
      <c r="H77" s="18">
        <f t="shared" si="49"/>
        <v>2.3952107259550717E-3</v>
      </c>
      <c r="I77" s="18">
        <f t="shared" si="50"/>
        <v>1.8349138668196398E-2</v>
      </c>
      <c r="J77" s="18">
        <f t="shared" si="51"/>
        <v>8.0754140055453311E-3</v>
      </c>
      <c r="K77" s="18">
        <f t="shared" si="52"/>
        <v>1.3285708764941588E-2</v>
      </c>
      <c r="L77" s="18">
        <f t="shared" si="53"/>
        <v>1.0596149915148836E-2</v>
      </c>
      <c r="M77" s="18">
        <f t="shared" si="54"/>
        <v>1.9820751327347327E-3</v>
      </c>
      <c r="N77" s="18">
        <f t="shared" si="55"/>
        <v>1.7936003074976059E-2</v>
      </c>
      <c r="O77" s="18">
        <f t="shared" si="56"/>
        <v>7.6622784123249917E-3</v>
      </c>
      <c r="W77" s="18">
        <f t="shared" ca="1" si="57"/>
        <v>0.32</v>
      </c>
      <c r="X77" s="18">
        <f t="shared" ca="1" si="57"/>
        <v>0.76</v>
      </c>
      <c r="Y77" s="18">
        <f t="shared" ca="1" si="57"/>
        <v>0.47</v>
      </c>
      <c r="Z77" s="18">
        <f t="shared" ca="1" si="57"/>
        <v>0.68</v>
      </c>
      <c r="AA77" s="18">
        <f t="shared" ca="1" si="30"/>
        <v>0.76</v>
      </c>
      <c r="AB77" s="18">
        <f t="shared" ca="1" si="31"/>
        <v>2.99</v>
      </c>
      <c r="AC77" s="18">
        <f t="shared" ca="1" si="32"/>
        <v>0.10702341137123746</v>
      </c>
      <c r="AD77" s="18">
        <f t="shared" ca="1" si="33"/>
        <v>0.25418060200668896</v>
      </c>
      <c r="AE77" s="18">
        <f t="shared" ca="1" si="34"/>
        <v>0.157190635451505</v>
      </c>
      <c r="AF77" s="18">
        <f t="shared" ca="1" si="35"/>
        <v>0.22742474916387959</v>
      </c>
      <c r="AG77" s="18">
        <f t="shared" ca="1" si="36"/>
        <v>0.25418060200668896</v>
      </c>
      <c r="AH77" s="18">
        <f t="shared" ca="1" si="37"/>
        <v>1</v>
      </c>
      <c r="AI77" s="18" cm="1">
        <f t="array" aca="1" ref="AI77" ca="1">MMULT(MMULT(AC77:AG77,$Q$2:$U$6),TRANSPOSE(AC77:AG77))</f>
        <v>2.2848345938822516E-4</v>
      </c>
      <c r="AJ77" s="18">
        <f t="shared" ca="1" si="38"/>
        <v>-2.7293199340245322E-3</v>
      </c>
      <c r="AK77" s="18">
        <f t="shared" ca="1" si="39"/>
        <v>-0.20789390519144396</v>
      </c>
      <c r="AL77" s="18">
        <f t="shared" ca="1" si="40"/>
        <v>-2.7293199340245322E-3</v>
      </c>
      <c r="AM77" s="18">
        <f t="shared" ca="1" si="41"/>
        <v>2.2848345938822516E-4</v>
      </c>
      <c r="AN77" s="18">
        <f t="shared" ca="1" si="42"/>
        <v>0.10702341137123746</v>
      </c>
      <c r="AO77" s="18">
        <f t="shared" ca="1" si="43"/>
        <v>0.25418060200668896</v>
      </c>
      <c r="AP77" s="18">
        <f t="shared" ca="1" si="44"/>
        <v>0.157190635451505</v>
      </c>
      <c r="AQ77" s="18">
        <f t="shared" ca="1" si="45"/>
        <v>0.22742474916387959</v>
      </c>
      <c r="AR77" s="18">
        <f t="shared" ca="1" si="46"/>
        <v>0.25418060200668896</v>
      </c>
    </row>
    <row r="78" spans="1:44">
      <c r="A78" s="20">
        <v>29.2</v>
      </c>
      <c r="B78" s="20">
        <v>26.3</v>
      </c>
      <c r="C78" s="20">
        <v>293.2</v>
      </c>
      <c r="D78" s="21">
        <v>49.3</v>
      </c>
      <c r="E78" s="20">
        <v>146.19999999999999</v>
      </c>
      <c r="F78" s="18">
        <f t="shared" si="47"/>
        <v>-6.8259650703998706E-3</v>
      </c>
      <c r="G78" s="18">
        <f t="shared" si="48"/>
        <v>-4.0974074210305564E-2</v>
      </c>
      <c r="H78" s="18">
        <f t="shared" si="49"/>
        <v>2.0484814264722659E-3</v>
      </c>
      <c r="I78" s="18">
        <f t="shared" si="50"/>
        <v>-4.0485885260002205E-3</v>
      </c>
      <c r="J78" s="18">
        <f t="shared" si="51"/>
        <v>-2.0312140453982361E-2</v>
      </c>
      <c r="K78" s="18">
        <f t="shared" si="52"/>
        <v>-7.2391006636202092E-3</v>
      </c>
      <c r="L78" s="18">
        <f t="shared" si="53"/>
        <v>-4.13872098035259E-2</v>
      </c>
      <c r="M78" s="18">
        <f t="shared" si="54"/>
        <v>1.6353458332519269E-3</v>
      </c>
      <c r="N78" s="18">
        <f t="shared" si="55"/>
        <v>-4.461724119220559E-3</v>
      </c>
      <c r="O78" s="18">
        <f t="shared" si="56"/>
        <v>-2.0725276047202701E-2</v>
      </c>
      <c r="W78" s="18">
        <f t="shared" ca="1" si="57"/>
        <v>1</v>
      </c>
      <c r="X78" s="18">
        <f t="shared" ca="1" si="57"/>
        <v>0.99</v>
      </c>
      <c r="Y78" s="18">
        <f t="shared" ca="1" si="57"/>
        <v>0.43</v>
      </c>
      <c r="Z78" s="18">
        <f t="shared" ca="1" si="57"/>
        <v>0.94</v>
      </c>
      <c r="AA78" s="18">
        <f t="shared" ca="1" si="30"/>
        <v>0.4</v>
      </c>
      <c r="AB78" s="18">
        <f t="shared" ca="1" si="31"/>
        <v>3.76</v>
      </c>
      <c r="AC78" s="18">
        <f t="shared" ca="1" si="32"/>
        <v>0.26595744680851063</v>
      </c>
      <c r="AD78" s="18">
        <f t="shared" ca="1" si="33"/>
        <v>0.26329787234042556</v>
      </c>
      <c r="AE78" s="18">
        <f t="shared" ca="1" si="34"/>
        <v>0.11436170212765957</v>
      </c>
      <c r="AF78" s="18">
        <f t="shared" ca="1" si="35"/>
        <v>0.25</v>
      </c>
      <c r="AG78" s="18">
        <f t="shared" ca="1" si="36"/>
        <v>0.10638297872340427</v>
      </c>
      <c r="AH78" s="18">
        <f t="shared" ca="1" si="37"/>
        <v>1</v>
      </c>
      <c r="AI78" s="18" cm="1">
        <f t="array" aca="1" ref="AI78" ca="1">MMULT(MMULT(AC78:AG78,$Q$2:$U$6),TRANSPOSE(AC78:AG78))</f>
        <v>1.9804163580961371E-4</v>
      </c>
      <c r="AJ78" s="18">
        <f t="shared" ca="1" si="38"/>
        <v>-1.143362790492008E-3</v>
      </c>
      <c r="AK78" s="18">
        <f t="shared" ca="1" si="39"/>
        <v>-0.11060389508578812</v>
      </c>
      <c r="AL78" s="18">
        <f t="shared" ca="1" si="40"/>
        <v>-1.143362790492008E-3</v>
      </c>
      <c r="AM78" s="18">
        <f t="shared" ca="1" si="41"/>
        <v>1.9804163580961371E-4</v>
      </c>
      <c r="AN78" s="18">
        <f t="shared" ca="1" si="42"/>
        <v>0.26595744680851063</v>
      </c>
      <c r="AO78" s="18">
        <f t="shared" ca="1" si="43"/>
        <v>0.26329787234042556</v>
      </c>
      <c r="AP78" s="18">
        <f t="shared" ca="1" si="44"/>
        <v>0.11436170212765957</v>
      </c>
      <c r="AQ78" s="18">
        <f t="shared" ca="1" si="45"/>
        <v>0.25</v>
      </c>
      <c r="AR78" s="18">
        <f t="shared" ca="1" si="46"/>
        <v>0.10638297872340427</v>
      </c>
    </row>
    <row r="79" spans="1:44">
      <c r="A79" s="20">
        <v>28.6</v>
      </c>
      <c r="B79" s="20">
        <v>25.4</v>
      </c>
      <c r="C79" s="20">
        <v>294.5</v>
      </c>
      <c r="D79" s="21">
        <v>47.7</v>
      </c>
      <c r="E79" s="20">
        <v>151.30000000000001</v>
      </c>
      <c r="F79" s="18">
        <f t="shared" si="47"/>
        <v>-2.0761991448429128E-2</v>
      </c>
      <c r="G79" s="18">
        <f t="shared" si="48"/>
        <v>-3.4819765159228043E-2</v>
      </c>
      <c r="H79" s="18">
        <f t="shared" si="49"/>
        <v>4.4240330791450325E-3</v>
      </c>
      <c r="I79" s="18">
        <f t="shared" si="50"/>
        <v>-3.2992683154348779E-2</v>
      </c>
      <c r="J79" s="18">
        <f t="shared" si="51"/>
        <v>3.4289073478632165E-2</v>
      </c>
      <c r="K79" s="18">
        <f t="shared" si="52"/>
        <v>-2.1175127041649467E-2</v>
      </c>
      <c r="L79" s="18">
        <f t="shared" si="53"/>
        <v>-3.5232900752448379E-2</v>
      </c>
      <c r="M79" s="18">
        <f t="shared" si="54"/>
        <v>4.010897485924694E-3</v>
      </c>
      <c r="N79" s="18">
        <f t="shared" si="55"/>
        <v>-3.3405818747569115E-2</v>
      </c>
      <c r="O79" s="18">
        <f t="shared" si="56"/>
        <v>3.3875937885411829E-2</v>
      </c>
      <c r="W79" s="18">
        <f t="shared" ca="1" si="57"/>
        <v>0.51</v>
      </c>
      <c r="X79" s="18">
        <f t="shared" ca="1" si="57"/>
        <v>0.44</v>
      </c>
      <c r="Y79" s="18">
        <f t="shared" ca="1" si="57"/>
        <v>0.34</v>
      </c>
      <c r="Z79" s="18">
        <f t="shared" ca="1" si="57"/>
        <v>0.02</v>
      </c>
      <c r="AA79" s="18">
        <f t="shared" ca="1" si="30"/>
        <v>0.21</v>
      </c>
      <c r="AB79" s="18">
        <f t="shared" ca="1" si="31"/>
        <v>1.52</v>
      </c>
      <c r="AC79" s="18">
        <f t="shared" ca="1" si="32"/>
        <v>0.33552631578947367</v>
      </c>
      <c r="AD79" s="18">
        <f t="shared" ca="1" si="33"/>
        <v>0.28947368421052633</v>
      </c>
      <c r="AE79" s="18">
        <f t="shared" ca="1" si="34"/>
        <v>0.22368421052631579</v>
      </c>
      <c r="AF79" s="18">
        <f t="shared" ca="1" si="35"/>
        <v>1.3157894736842105E-2</v>
      </c>
      <c r="AG79" s="18">
        <f t="shared" ca="1" si="36"/>
        <v>0.13815789473684209</v>
      </c>
      <c r="AH79" s="18">
        <f t="shared" ca="1" si="37"/>
        <v>1</v>
      </c>
      <c r="AI79" s="18" cm="1">
        <f t="array" aca="1" ref="AI79" ca="1">MMULT(MMULT(AC79:AG79,$Q$2:$U$6),TRANSPOSE(AC79:AG79))</f>
        <v>1.381545264377953E-4</v>
      </c>
      <c r="AJ79" s="18">
        <f t="shared" ca="1" si="38"/>
        <v>-4.956944792966397E-3</v>
      </c>
      <c r="AK79" s="18">
        <f t="shared" ca="1" si="39"/>
        <v>-0.45687587657728213</v>
      </c>
      <c r="AL79" s="18">
        <f t="shared" ca="1" si="40"/>
        <v>-4.956944792966397E-3</v>
      </c>
      <c r="AM79" s="18">
        <f t="shared" ca="1" si="41"/>
        <v>1.381545264377953E-4</v>
      </c>
      <c r="AN79" s="18">
        <f t="shared" ca="1" si="42"/>
        <v>0.33552631578947367</v>
      </c>
      <c r="AO79" s="18">
        <f t="shared" ca="1" si="43"/>
        <v>0.28947368421052633</v>
      </c>
      <c r="AP79" s="18">
        <f t="shared" ca="1" si="44"/>
        <v>0.22368421052631579</v>
      </c>
      <c r="AQ79" s="18">
        <f t="shared" ca="1" si="45"/>
        <v>1.3157894736842105E-2</v>
      </c>
      <c r="AR79" s="18">
        <f t="shared" ca="1" si="46"/>
        <v>0.13815789473684209</v>
      </c>
    </row>
    <row r="80" spans="1:44">
      <c r="A80" s="20">
        <v>28.8</v>
      </c>
      <c r="B80" s="20">
        <v>25.4</v>
      </c>
      <c r="C80" s="20">
        <v>297.7</v>
      </c>
      <c r="D80" s="21">
        <v>48.9</v>
      </c>
      <c r="E80" s="20">
        <v>152.6</v>
      </c>
      <c r="F80" s="18">
        <f t="shared" si="47"/>
        <v>6.9686693160932152E-3</v>
      </c>
      <c r="G80" s="18">
        <f t="shared" si="48"/>
        <v>0</v>
      </c>
      <c r="H80" s="18">
        <f t="shared" si="49"/>
        <v>1.0807264930089273E-2</v>
      </c>
      <c r="I80" s="18">
        <f t="shared" si="50"/>
        <v>2.4845998586530804E-2</v>
      </c>
      <c r="J80" s="18">
        <f t="shared" si="51"/>
        <v>8.5554980560463272E-3</v>
      </c>
      <c r="K80" s="18">
        <f t="shared" si="52"/>
        <v>6.5555337228728767E-3</v>
      </c>
      <c r="L80" s="18">
        <f t="shared" si="53"/>
        <v>-4.1313559322033898E-4</v>
      </c>
      <c r="M80" s="18">
        <f t="shared" si="54"/>
        <v>1.0394129336868934E-2</v>
      </c>
      <c r="N80" s="18">
        <f t="shared" si="55"/>
        <v>2.4432862993310465E-2</v>
      </c>
      <c r="O80" s="18">
        <f t="shared" si="56"/>
        <v>8.1423624628259878E-3</v>
      </c>
      <c r="W80" s="18">
        <f t="shared" ca="1" si="57"/>
        <v>0.57999999999999996</v>
      </c>
      <c r="X80" s="18">
        <f t="shared" ca="1" si="57"/>
        <v>0.67</v>
      </c>
      <c r="Y80" s="18">
        <f t="shared" ca="1" si="57"/>
        <v>0.25</v>
      </c>
      <c r="Z80" s="18">
        <f t="shared" ca="1" si="57"/>
        <v>0.87</v>
      </c>
      <c r="AA80" s="18">
        <f t="shared" ca="1" si="30"/>
        <v>0.51</v>
      </c>
      <c r="AB80" s="18">
        <f t="shared" ca="1" si="31"/>
        <v>2.88</v>
      </c>
      <c r="AC80" s="18">
        <f t="shared" ca="1" si="32"/>
        <v>0.2013888888888889</v>
      </c>
      <c r="AD80" s="18">
        <f t="shared" ca="1" si="33"/>
        <v>0.23263888888888892</v>
      </c>
      <c r="AE80" s="18">
        <f t="shared" ca="1" si="34"/>
        <v>8.6805555555555552E-2</v>
      </c>
      <c r="AF80" s="18">
        <f t="shared" ca="1" si="35"/>
        <v>0.30208333333333337</v>
      </c>
      <c r="AG80" s="18">
        <f t="shared" ca="1" si="36"/>
        <v>0.17708333333333334</v>
      </c>
      <c r="AH80" s="18">
        <f t="shared" ca="1" si="37"/>
        <v>1</v>
      </c>
      <c r="AI80" s="18" cm="1">
        <f t="array" aca="1" ref="AI80" ca="1">MMULT(MMULT(AC80:AG80,$Q$2:$U$6),TRANSPOSE(AC80:AG80))</f>
        <v>2.3941668953635531E-4</v>
      </c>
      <c r="AJ80" s="18">
        <f t="shared" ca="1" si="38"/>
        <v>-6.8857432186124584E-5</v>
      </c>
      <c r="AK80" s="18">
        <f t="shared" ca="1" si="39"/>
        <v>-3.1150393933005817E-2</v>
      </c>
      <c r="AL80" s="18">
        <f t="shared" ca="1" si="40"/>
        <v>-6.8857432186124584E-5</v>
      </c>
      <c r="AM80" s="18">
        <f t="shared" ca="1" si="41"/>
        <v>2.3941668953635531E-4</v>
      </c>
      <c r="AN80" s="18">
        <f t="shared" ca="1" si="42"/>
        <v>0.2013888888888889</v>
      </c>
      <c r="AO80" s="18">
        <f t="shared" ca="1" si="43"/>
        <v>0.23263888888888892</v>
      </c>
      <c r="AP80" s="18">
        <f t="shared" ca="1" si="44"/>
        <v>8.6805555555555552E-2</v>
      </c>
      <c r="AQ80" s="18">
        <f t="shared" ca="1" si="45"/>
        <v>0.30208333333333337</v>
      </c>
      <c r="AR80" s="18">
        <f t="shared" ca="1" si="46"/>
        <v>0.17708333333333334</v>
      </c>
    </row>
    <row r="81" spans="1:44">
      <c r="A81" s="20">
        <v>27.7</v>
      </c>
      <c r="B81" s="20">
        <v>25.3</v>
      </c>
      <c r="C81" s="20">
        <v>290.10000000000002</v>
      </c>
      <c r="D81" s="21">
        <v>50.6</v>
      </c>
      <c r="E81" s="20">
        <v>138.80000000000001</v>
      </c>
      <c r="F81" s="18">
        <f t="shared" si="47"/>
        <v>-3.8942973948607518E-2</v>
      </c>
      <c r="G81" s="18">
        <f t="shared" si="48"/>
        <v>-3.9447782910162288E-3</v>
      </c>
      <c r="H81" s="18">
        <f t="shared" si="49"/>
        <v>-2.5860576894372288E-2</v>
      </c>
      <c r="I81" s="18">
        <f t="shared" si="50"/>
        <v>3.4174179812593686E-2</v>
      </c>
      <c r="J81" s="18">
        <f t="shared" si="51"/>
        <v>-9.4786070777652359E-2</v>
      </c>
      <c r="K81" s="18">
        <f t="shared" si="52"/>
        <v>-3.9356109541827854E-2</v>
      </c>
      <c r="L81" s="18">
        <f t="shared" si="53"/>
        <v>-4.3579138842365674E-3</v>
      </c>
      <c r="M81" s="18">
        <f t="shared" si="54"/>
        <v>-2.6273712487592627E-2</v>
      </c>
      <c r="N81" s="18">
        <f t="shared" si="55"/>
        <v>3.376104421937335E-2</v>
      </c>
      <c r="O81" s="18">
        <f t="shared" si="56"/>
        <v>-9.5199206370872702E-2</v>
      </c>
      <c r="W81" s="18">
        <f t="shared" ca="1" si="57"/>
        <v>0.56999999999999995</v>
      </c>
      <c r="X81" s="18">
        <f t="shared" ca="1" si="57"/>
        <v>0.2</v>
      </c>
      <c r="Y81" s="18">
        <f t="shared" ca="1" si="57"/>
        <v>0.59</v>
      </c>
      <c r="Z81" s="18">
        <f t="shared" ca="1" si="57"/>
        <v>0.12</v>
      </c>
      <c r="AA81" s="18">
        <f t="shared" ca="1" si="30"/>
        <v>0.14000000000000001</v>
      </c>
      <c r="AB81" s="18">
        <f t="shared" ca="1" si="31"/>
        <v>1.62</v>
      </c>
      <c r="AC81" s="18">
        <f t="shared" ca="1" si="32"/>
        <v>0.3518518518518518</v>
      </c>
      <c r="AD81" s="18">
        <f t="shared" ca="1" si="33"/>
        <v>0.12345679012345678</v>
      </c>
      <c r="AE81" s="18">
        <f t="shared" ca="1" si="34"/>
        <v>0.36419753086419748</v>
      </c>
      <c r="AF81" s="18">
        <f t="shared" ca="1" si="35"/>
        <v>7.407407407407407E-2</v>
      </c>
      <c r="AG81" s="18">
        <f t="shared" ca="1" si="36"/>
        <v>8.6419753086419762E-2</v>
      </c>
      <c r="AH81" s="18">
        <f t="shared" ca="1" si="37"/>
        <v>1</v>
      </c>
      <c r="AI81" s="18" cm="1">
        <f t="array" aca="1" ref="AI81" ca="1">MMULT(MMULT(AC81:AG81,$Q$2:$U$6),TRANSPOSE(AC81:AG81))</f>
        <v>1.310122326292369E-4</v>
      </c>
      <c r="AJ81" s="18">
        <f t="shared" ca="1" si="38"/>
        <v>-4.6069797263807617E-3</v>
      </c>
      <c r="AK81" s="18">
        <f t="shared" ca="1" si="39"/>
        <v>-0.43858903497252399</v>
      </c>
      <c r="AL81" s="18">
        <f t="shared" ca="1" si="40"/>
        <v>-4.6069797263807617E-3</v>
      </c>
      <c r="AM81" s="18">
        <f t="shared" ca="1" si="41"/>
        <v>1.310122326292369E-4</v>
      </c>
      <c r="AN81" s="18">
        <f t="shared" ca="1" si="42"/>
        <v>0.3518518518518518</v>
      </c>
      <c r="AO81" s="18">
        <f t="shared" ca="1" si="43"/>
        <v>0.12345679012345678</v>
      </c>
      <c r="AP81" s="18">
        <f t="shared" ca="1" si="44"/>
        <v>0.36419753086419748</v>
      </c>
      <c r="AQ81" s="18">
        <f t="shared" ca="1" si="45"/>
        <v>7.407407407407407E-2</v>
      </c>
      <c r="AR81" s="18">
        <f t="shared" ca="1" si="46"/>
        <v>8.6419753086419762E-2</v>
      </c>
    </row>
    <row r="82" spans="1:44">
      <c r="A82" s="20">
        <v>27.2</v>
      </c>
      <c r="B82" s="20">
        <v>24.8</v>
      </c>
      <c r="C82" s="20">
        <v>285.39999999999998</v>
      </c>
      <c r="D82" s="21">
        <v>49.7</v>
      </c>
      <c r="E82" s="20">
        <v>141.19999999999999</v>
      </c>
      <c r="F82" s="18">
        <f t="shared" si="47"/>
        <v>-1.8215439891341216E-2</v>
      </c>
      <c r="G82" s="18">
        <f t="shared" si="48"/>
        <v>-1.9960742562538058E-2</v>
      </c>
      <c r="H82" s="18">
        <f t="shared" si="49"/>
        <v>-1.6333986084622502E-2</v>
      </c>
      <c r="I82" s="18">
        <f t="shared" si="50"/>
        <v>-1.7946643190836827E-2</v>
      </c>
      <c r="J82" s="18">
        <f t="shared" si="51"/>
        <v>1.7143276986437438E-2</v>
      </c>
      <c r="K82" s="18">
        <f t="shared" si="52"/>
        <v>-1.8628575484561555E-2</v>
      </c>
      <c r="L82" s="18">
        <f t="shared" si="53"/>
        <v>-2.0373878155758397E-2</v>
      </c>
      <c r="M82" s="18">
        <f t="shared" si="54"/>
        <v>-1.6747121677842841E-2</v>
      </c>
      <c r="N82" s="18">
        <f t="shared" si="55"/>
        <v>-1.8359778784057167E-2</v>
      </c>
      <c r="O82" s="18">
        <f t="shared" si="56"/>
        <v>1.6730141393217098E-2</v>
      </c>
      <c r="W82" s="18">
        <f t="shared" ca="1" si="57"/>
        <v>0.56999999999999995</v>
      </c>
      <c r="X82" s="18">
        <f t="shared" ca="1" si="57"/>
        <v>0.38</v>
      </c>
      <c r="Y82" s="18">
        <f t="shared" ca="1" si="57"/>
        <v>0.69</v>
      </c>
      <c r="Z82" s="18">
        <f t="shared" ca="1" si="57"/>
        <v>0.66</v>
      </c>
      <c r="AA82" s="18">
        <f t="shared" ca="1" si="30"/>
        <v>0.51</v>
      </c>
      <c r="AB82" s="18">
        <f t="shared" ca="1" si="31"/>
        <v>2.8099999999999996</v>
      </c>
      <c r="AC82" s="18">
        <f t="shared" ca="1" si="32"/>
        <v>0.20284697508896798</v>
      </c>
      <c r="AD82" s="18">
        <f t="shared" ca="1" si="33"/>
        <v>0.13523131672597866</v>
      </c>
      <c r="AE82" s="18">
        <f t="shared" ca="1" si="34"/>
        <v>0.24555160142348756</v>
      </c>
      <c r="AF82" s="18">
        <f t="shared" ca="1" si="35"/>
        <v>0.2348754448398577</v>
      </c>
      <c r="AG82" s="18">
        <f t="shared" ca="1" si="36"/>
        <v>0.18149466192170821</v>
      </c>
      <c r="AH82" s="18">
        <f t="shared" ca="1" si="37"/>
        <v>1</v>
      </c>
      <c r="AI82" s="18" cm="1">
        <f t="array" aca="1" ref="AI82" ca="1">MMULT(MMULT(AC82:AG82,$Q$2:$U$6),TRANSPOSE(AC82:AG82))</f>
        <v>1.9718585366117786E-4</v>
      </c>
      <c r="AJ82" s="18">
        <f t="shared" ca="1" si="38"/>
        <v>-2.0852246809086516E-3</v>
      </c>
      <c r="AK82" s="18">
        <f t="shared" ca="1" si="39"/>
        <v>-0.17791689398103391</v>
      </c>
      <c r="AL82" s="18">
        <f t="shared" ca="1" si="40"/>
        <v>-2.0852246809086516E-3</v>
      </c>
      <c r="AM82" s="18">
        <f t="shared" ca="1" si="41"/>
        <v>1.9718585366117786E-4</v>
      </c>
      <c r="AN82" s="18">
        <f t="shared" ca="1" si="42"/>
        <v>0.20284697508896798</v>
      </c>
      <c r="AO82" s="18">
        <f t="shared" ca="1" si="43"/>
        <v>0.13523131672597866</v>
      </c>
      <c r="AP82" s="18">
        <f t="shared" ca="1" si="44"/>
        <v>0.24555160142348756</v>
      </c>
      <c r="AQ82" s="18">
        <f t="shared" ca="1" si="45"/>
        <v>0.2348754448398577</v>
      </c>
      <c r="AR82" s="18">
        <f t="shared" ca="1" si="46"/>
        <v>0.18149466192170821</v>
      </c>
    </row>
    <row r="83" spans="1:44">
      <c r="A83" s="20">
        <v>27.3</v>
      </c>
      <c r="B83" s="20">
        <v>25</v>
      </c>
      <c r="C83" s="20">
        <v>286.5</v>
      </c>
      <c r="D83" s="21">
        <v>47</v>
      </c>
      <c r="E83" s="20">
        <v>147.9</v>
      </c>
      <c r="F83" s="18">
        <f t="shared" si="47"/>
        <v>3.6697288889624017E-3</v>
      </c>
      <c r="G83" s="18">
        <f t="shared" si="48"/>
        <v>8.0321716972642527E-3</v>
      </c>
      <c r="H83" s="18">
        <f t="shared" si="49"/>
        <v>3.846831112058296E-3</v>
      </c>
      <c r="I83" s="18">
        <f t="shared" si="50"/>
        <v>-5.5857331392524481E-2</v>
      </c>
      <c r="J83" s="18">
        <f t="shared" si="51"/>
        <v>4.6359044657612446E-2</v>
      </c>
      <c r="K83" s="18">
        <f t="shared" si="52"/>
        <v>3.2565932957420627E-3</v>
      </c>
      <c r="L83" s="18">
        <f t="shared" si="53"/>
        <v>7.6190361040439133E-3</v>
      </c>
      <c r="M83" s="18">
        <f t="shared" si="54"/>
        <v>3.433695518837957E-3</v>
      </c>
      <c r="N83" s="18">
        <f t="shared" si="55"/>
        <v>-5.6270466985744817E-2</v>
      </c>
      <c r="O83" s="18">
        <f t="shared" si="56"/>
        <v>4.594590906439211E-2</v>
      </c>
      <c r="W83" s="18">
        <f t="shared" ca="1" si="57"/>
        <v>0.36</v>
      </c>
      <c r="X83" s="18">
        <f t="shared" ca="1" si="57"/>
        <v>0.93</v>
      </c>
      <c r="Y83" s="18">
        <f t="shared" ca="1" si="57"/>
        <v>0.03</v>
      </c>
      <c r="Z83" s="18">
        <f t="shared" ca="1" si="57"/>
        <v>0.08</v>
      </c>
      <c r="AA83" s="18">
        <f t="shared" ca="1" si="30"/>
        <v>0.08</v>
      </c>
      <c r="AB83" s="18">
        <f t="shared" ca="1" si="31"/>
        <v>1.4800000000000002</v>
      </c>
      <c r="AC83" s="18">
        <f t="shared" ca="1" si="32"/>
        <v>0.2432432432432432</v>
      </c>
      <c r="AD83" s="18">
        <f t="shared" ca="1" si="33"/>
        <v>0.62837837837837829</v>
      </c>
      <c r="AE83" s="18">
        <f t="shared" ca="1" si="34"/>
        <v>2.0270270270270268E-2</v>
      </c>
      <c r="AF83" s="18">
        <f t="shared" ca="1" si="35"/>
        <v>5.405405405405405E-2</v>
      </c>
      <c r="AG83" s="18">
        <f t="shared" ca="1" si="36"/>
        <v>5.405405405405405E-2</v>
      </c>
      <c r="AH83" s="18">
        <f t="shared" ca="1" si="37"/>
        <v>0.99999999999999989</v>
      </c>
      <c r="AI83" s="18" cm="1">
        <f t="array" aca="1" ref="AI83" ca="1">MMULT(MMULT(AC83:AG83,$Q$2:$U$6),TRANSPOSE(AC83:AG83))</f>
        <v>1.9156954684300815E-4</v>
      </c>
      <c r="AJ83" s="18">
        <f t="shared" ca="1" si="38"/>
        <v>-6.492730145725838E-3</v>
      </c>
      <c r="AK83" s="18">
        <f t="shared" ca="1" si="39"/>
        <v>-0.49894755037126265</v>
      </c>
      <c r="AL83" s="18">
        <f t="shared" ca="1" si="40"/>
        <v>-6.492730145725838E-3</v>
      </c>
      <c r="AM83" s="18">
        <f t="shared" ca="1" si="41"/>
        <v>1.9156954684300815E-4</v>
      </c>
      <c r="AN83" s="18">
        <f t="shared" ca="1" si="42"/>
        <v>0.2432432432432432</v>
      </c>
      <c r="AO83" s="18">
        <f t="shared" ca="1" si="43"/>
        <v>0.62837837837837829</v>
      </c>
      <c r="AP83" s="18">
        <f t="shared" ca="1" si="44"/>
        <v>2.0270270270270268E-2</v>
      </c>
      <c r="AQ83" s="18">
        <f t="shared" ca="1" si="45"/>
        <v>5.405405405405405E-2</v>
      </c>
      <c r="AR83" s="18">
        <f t="shared" ca="1" si="46"/>
        <v>5.405405405405405E-2</v>
      </c>
    </row>
    <row r="84" spans="1:44">
      <c r="A84" s="20">
        <v>27.3</v>
      </c>
      <c r="B84" s="20">
        <v>25</v>
      </c>
      <c r="C84" s="20">
        <v>289.3</v>
      </c>
      <c r="D84" s="21">
        <v>47</v>
      </c>
      <c r="E84" s="20">
        <v>152.5</v>
      </c>
      <c r="F84" s="18">
        <f t="shared" si="47"/>
        <v>0</v>
      </c>
      <c r="G84" s="18">
        <f t="shared" si="48"/>
        <v>0</v>
      </c>
      <c r="H84" s="18">
        <f t="shared" si="49"/>
        <v>9.7256758272951521E-3</v>
      </c>
      <c r="I84" s="18">
        <f t="shared" si="50"/>
        <v>0</v>
      </c>
      <c r="J84" s="18">
        <f t="shared" si="51"/>
        <v>3.0628226330712226E-2</v>
      </c>
      <c r="K84" s="18">
        <f t="shared" si="52"/>
        <v>-4.1313559322033898E-4</v>
      </c>
      <c r="L84" s="18">
        <f t="shared" si="53"/>
        <v>-4.1313559322033898E-4</v>
      </c>
      <c r="M84" s="18">
        <f t="shared" si="54"/>
        <v>9.3125402340748127E-3</v>
      </c>
      <c r="N84" s="18">
        <f t="shared" si="55"/>
        <v>-4.1313559322033898E-4</v>
      </c>
      <c r="O84" s="18">
        <f t="shared" si="56"/>
        <v>3.0215090737491887E-2</v>
      </c>
      <c r="W84" s="18">
        <f t="shared" ca="1" si="57"/>
        <v>0.47</v>
      </c>
      <c r="X84" s="18">
        <f t="shared" ca="1" si="57"/>
        <v>0.06</v>
      </c>
      <c r="Y84" s="18">
        <f t="shared" ca="1" si="57"/>
        <v>0.5</v>
      </c>
      <c r="Z84" s="18">
        <f t="shared" ca="1" si="57"/>
        <v>0.41</v>
      </c>
      <c r="AA84" s="18">
        <f t="shared" ca="1" si="30"/>
        <v>0.16</v>
      </c>
      <c r="AB84" s="18">
        <f t="shared" ca="1" si="31"/>
        <v>1.5999999999999999</v>
      </c>
      <c r="AC84" s="18">
        <f t="shared" ca="1" si="32"/>
        <v>0.29375000000000001</v>
      </c>
      <c r="AD84" s="18">
        <f t="shared" ca="1" si="33"/>
        <v>3.7499999999999999E-2</v>
      </c>
      <c r="AE84" s="18">
        <f t="shared" ca="1" si="34"/>
        <v>0.3125</v>
      </c>
      <c r="AF84" s="18">
        <f t="shared" ca="1" si="35"/>
        <v>0.25625000000000003</v>
      </c>
      <c r="AG84" s="18">
        <f t="shared" ca="1" si="36"/>
        <v>0.1</v>
      </c>
      <c r="AH84" s="18">
        <f t="shared" ca="1" si="37"/>
        <v>1.0000000000000002</v>
      </c>
      <c r="AI84" s="18" cm="1">
        <f t="array" aca="1" ref="AI84" ca="1">MMULT(MMULT(AC84:AG84,$Q$2:$U$6),TRANSPOSE(AC84:AG84))</f>
        <v>1.9469804610410023E-4</v>
      </c>
      <c r="AJ84" s="18">
        <f t="shared" ca="1" si="38"/>
        <v>-1.287211190605319E-3</v>
      </c>
      <c r="AK84" s="18">
        <f t="shared" ca="1" si="39"/>
        <v>-0.12185874685322927</v>
      </c>
      <c r="AL84" s="18">
        <f t="shared" ca="1" si="40"/>
        <v>-1.287211190605319E-3</v>
      </c>
      <c r="AM84" s="18">
        <f t="shared" ca="1" si="41"/>
        <v>1.9469804610410023E-4</v>
      </c>
      <c r="AN84" s="18">
        <f t="shared" ca="1" si="42"/>
        <v>0.29375000000000001</v>
      </c>
      <c r="AO84" s="18">
        <f t="shared" ca="1" si="43"/>
        <v>3.7499999999999999E-2</v>
      </c>
      <c r="AP84" s="18">
        <f t="shared" ca="1" si="44"/>
        <v>0.3125</v>
      </c>
      <c r="AQ84" s="18">
        <f t="shared" ca="1" si="45"/>
        <v>0.25625000000000003</v>
      </c>
      <c r="AR84" s="18">
        <f t="shared" ca="1" si="46"/>
        <v>0.1</v>
      </c>
    </row>
    <row r="85" spans="1:44">
      <c r="A85" s="20">
        <v>26.9</v>
      </c>
      <c r="B85" s="20">
        <v>24.2</v>
      </c>
      <c r="C85" s="20">
        <v>287</v>
      </c>
      <c r="D85" s="21">
        <v>42.9</v>
      </c>
      <c r="E85" s="20">
        <v>157.6</v>
      </c>
      <c r="F85" s="18">
        <f t="shared" si="47"/>
        <v>-1.4760415583120686E-2</v>
      </c>
      <c r="G85" s="18">
        <f t="shared" si="48"/>
        <v>-3.2523191705560062E-2</v>
      </c>
      <c r="H85" s="18">
        <f t="shared" si="49"/>
        <v>-7.9819962224683405E-3</v>
      </c>
      <c r="I85" s="18">
        <f t="shared" si="50"/>
        <v>-9.1275775776087378E-2</v>
      </c>
      <c r="J85" s="18">
        <f t="shared" si="51"/>
        <v>3.2895581376312336E-2</v>
      </c>
      <c r="K85" s="18">
        <f t="shared" si="52"/>
        <v>-1.5173551176341026E-2</v>
      </c>
      <c r="L85" s="18">
        <f t="shared" si="53"/>
        <v>-3.2936327298780398E-2</v>
      </c>
      <c r="M85" s="18">
        <f t="shared" si="54"/>
        <v>-8.3951318156886799E-3</v>
      </c>
      <c r="N85" s="18">
        <f t="shared" si="55"/>
        <v>-9.1688911369307721E-2</v>
      </c>
      <c r="O85" s="18">
        <f t="shared" si="56"/>
        <v>3.2482445783092E-2</v>
      </c>
      <c r="W85" s="18">
        <f t="shared" ca="1" si="57"/>
        <v>0.68</v>
      </c>
      <c r="X85" s="18">
        <f t="shared" ca="1" si="57"/>
        <v>0.08</v>
      </c>
      <c r="Y85" s="18">
        <f t="shared" ca="1" si="57"/>
        <v>0.23</v>
      </c>
      <c r="Z85" s="18">
        <f t="shared" ca="1" si="57"/>
        <v>0.9</v>
      </c>
      <c r="AA85" s="18">
        <f t="shared" ca="1" si="30"/>
        <v>7.0000000000000007E-2</v>
      </c>
      <c r="AB85" s="18">
        <f t="shared" ca="1" si="31"/>
        <v>1.9600000000000002</v>
      </c>
      <c r="AC85" s="18">
        <f t="shared" ca="1" si="32"/>
        <v>0.34693877551020408</v>
      </c>
      <c r="AD85" s="18">
        <f t="shared" ca="1" si="33"/>
        <v>4.0816326530612242E-2</v>
      </c>
      <c r="AE85" s="18">
        <f t="shared" ca="1" si="34"/>
        <v>0.1173469387755102</v>
      </c>
      <c r="AF85" s="18">
        <f t="shared" ca="1" si="35"/>
        <v>0.45918367346938771</v>
      </c>
      <c r="AG85" s="18">
        <f t="shared" ca="1" si="36"/>
        <v>3.5714285714285712E-2</v>
      </c>
      <c r="AH85" s="18">
        <f t="shared" ca="1" si="37"/>
        <v>0.99999999999999989</v>
      </c>
      <c r="AI85" s="18" cm="1">
        <f t="array" aca="1" ref="AI85" ca="1">MMULT(MMULT(AC85:AG85,$Q$2:$U$6),TRANSPOSE(AC85:AG85))</f>
        <v>3.4107035987143193E-4</v>
      </c>
      <c r="AJ85" s="18">
        <f t="shared" ca="1" si="38"/>
        <v>4.0930371175646584E-3</v>
      </c>
      <c r="AK85" s="18">
        <f t="shared" ca="1" si="39"/>
        <v>0.19925728441006421</v>
      </c>
      <c r="AL85" s="18">
        <f t="shared" ca="1" si="40"/>
        <v>4.0930371175646584E-3</v>
      </c>
      <c r="AM85" s="18">
        <f t="shared" ca="1" si="41"/>
        <v>3.4107035987143193E-4</v>
      </c>
      <c r="AN85" s="18">
        <f t="shared" ca="1" si="42"/>
        <v>0.34693877551020408</v>
      </c>
      <c r="AO85" s="18">
        <f t="shared" ca="1" si="43"/>
        <v>4.0816326530612242E-2</v>
      </c>
      <c r="AP85" s="18">
        <f t="shared" ca="1" si="44"/>
        <v>0.1173469387755102</v>
      </c>
      <c r="AQ85" s="18">
        <f t="shared" ca="1" si="45"/>
        <v>0.45918367346938771</v>
      </c>
      <c r="AR85" s="18">
        <f t="shared" ca="1" si="46"/>
        <v>3.5714285714285712E-2</v>
      </c>
    </row>
    <row r="86" spans="1:44">
      <c r="A86" s="20">
        <v>27</v>
      </c>
      <c r="B86" s="20">
        <v>23.8</v>
      </c>
      <c r="C86" s="20">
        <v>286.2</v>
      </c>
      <c r="D86" s="21">
        <v>42.6</v>
      </c>
      <c r="E86" s="20">
        <v>161.6</v>
      </c>
      <c r="F86" s="18">
        <f t="shared" si="47"/>
        <v>3.7105793965357746E-3</v>
      </c>
      <c r="G86" s="18">
        <f t="shared" si="48"/>
        <v>-1.6667052485211647E-2</v>
      </c>
      <c r="H86" s="18">
        <f t="shared" si="49"/>
        <v>-2.7913486372706416E-3</v>
      </c>
      <c r="I86" s="18">
        <f t="shared" si="50"/>
        <v>-7.0175726586465346E-3</v>
      </c>
      <c r="J86" s="18">
        <f t="shared" si="51"/>
        <v>2.506396866321622E-2</v>
      </c>
      <c r="K86" s="18">
        <f t="shared" si="52"/>
        <v>3.2974438033154356E-3</v>
      </c>
      <c r="L86" s="18">
        <f t="shared" si="53"/>
        <v>-1.7080188078431986E-2</v>
      </c>
      <c r="M86" s="18">
        <f t="shared" si="54"/>
        <v>-3.2044842304909805E-3</v>
      </c>
      <c r="N86" s="18">
        <f t="shared" si="55"/>
        <v>-7.430708251866874E-3</v>
      </c>
      <c r="O86" s="18">
        <f t="shared" si="56"/>
        <v>2.4650833069995881E-2</v>
      </c>
      <c r="W86" s="18">
        <f t="shared" ca="1" si="57"/>
        <v>0.56000000000000005</v>
      </c>
      <c r="X86" s="18">
        <f t="shared" ca="1" si="57"/>
        <v>0.13</v>
      </c>
      <c r="Y86" s="18">
        <f t="shared" ca="1" si="57"/>
        <v>0.32</v>
      </c>
      <c r="Z86" s="18">
        <f t="shared" ca="1" si="57"/>
        <v>0.76</v>
      </c>
      <c r="AA86" s="18">
        <f t="shared" ca="1" si="30"/>
        <v>0.42</v>
      </c>
      <c r="AB86" s="18">
        <f t="shared" ca="1" si="31"/>
        <v>2.19</v>
      </c>
      <c r="AC86" s="18">
        <f t="shared" ca="1" si="32"/>
        <v>0.25570776255707767</v>
      </c>
      <c r="AD86" s="18">
        <f t="shared" ca="1" si="33"/>
        <v>5.936073059360731E-2</v>
      </c>
      <c r="AE86" s="18">
        <f t="shared" ca="1" si="34"/>
        <v>0.14611872146118723</v>
      </c>
      <c r="AF86" s="18">
        <f t="shared" ca="1" si="35"/>
        <v>0.34703196347031967</v>
      </c>
      <c r="AG86" s="18">
        <f t="shared" ca="1" si="36"/>
        <v>0.19178082191780821</v>
      </c>
      <c r="AH86" s="18">
        <f t="shared" ca="1" si="37"/>
        <v>1</v>
      </c>
      <c r="AI86" s="18" cm="1">
        <f t="array" aca="1" ref="AI86" ca="1">MMULT(MMULT(AC86:AG86,$Q$2:$U$6),TRANSPOSE(AC86:AG86))</f>
        <v>2.7070238612649026E-4</v>
      </c>
      <c r="AJ86" s="18">
        <f t="shared" ca="1" si="38"/>
        <v>2.0655096276044425E-3</v>
      </c>
      <c r="AK86" s="18">
        <f t="shared" ca="1" si="39"/>
        <v>0.10042973571844946</v>
      </c>
      <c r="AL86" s="18">
        <f t="shared" ca="1" si="40"/>
        <v>2.0655096276044425E-3</v>
      </c>
      <c r="AM86" s="18">
        <f t="shared" ca="1" si="41"/>
        <v>2.7070238612649026E-4</v>
      </c>
      <c r="AN86" s="18">
        <f t="shared" ca="1" si="42"/>
        <v>0.25570776255707767</v>
      </c>
      <c r="AO86" s="18">
        <f t="shared" ca="1" si="43"/>
        <v>5.936073059360731E-2</v>
      </c>
      <c r="AP86" s="18">
        <f t="shared" ca="1" si="44"/>
        <v>0.14611872146118723</v>
      </c>
      <c r="AQ86" s="18">
        <f t="shared" ca="1" si="45"/>
        <v>0.34703196347031967</v>
      </c>
      <c r="AR86" s="18">
        <f t="shared" ca="1" si="46"/>
        <v>0.19178082191780821</v>
      </c>
    </row>
    <row r="87" spans="1:44">
      <c r="A87" s="20">
        <v>27.2</v>
      </c>
      <c r="B87" s="20">
        <v>23.6</v>
      </c>
      <c r="C87" s="20">
        <v>286.60000000000002</v>
      </c>
      <c r="D87" s="21">
        <v>42.9</v>
      </c>
      <c r="E87" s="20">
        <v>151.6</v>
      </c>
      <c r="F87" s="18">
        <f t="shared" si="47"/>
        <v>7.38010729762246E-3</v>
      </c>
      <c r="G87" s="18">
        <f t="shared" si="48"/>
        <v>-8.4388686458645949E-3</v>
      </c>
      <c r="H87" s="18">
        <f t="shared" si="49"/>
        <v>1.3966482717210399E-3</v>
      </c>
      <c r="I87" s="18">
        <f t="shared" si="50"/>
        <v>7.0175726586465398E-3</v>
      </c>
      <c r="J87" s="18">
        <f t="shared" si="51"/>
        <v>-6.3878672878723786E-2</v>
      </c>
      <c r="K87" s="18">
        <f t="shared" si="52"/>
        <v>6.9669717044021206E-3</v>
      </c>
      <c r="L87" s="18">
        <f t="shared" si="53"/>
        <v>-8.8520042390849343E-3</v>
      </c>
      <c r="M87" s="18">
        <f t="shared" si="54"/>
        <v>9.8351267850070091E-4</v>
      </c>
      <c r="N87" s="18">
        <f t="shared" si="55"/>
        <v>6.6044370654262004E-3</v>
      </c>
      <c r="O87" s="18">
        <f t="shared" si="56"/>
        <v>-6.4291808471944129E-2</v>
      </c>
      <c r="W87" s="18">
        <f t="shared" ca="1" si="57"/>
        <v>0.44</v>
      </c>
      <c r="X87" s="18">
        <f t="shared" ca="1" si="57"/>
        <v>0.34</v>
      </c>
      <c r="Y87" s="18">
        <f t="shared" ca="1" si="57"/>
        <v>0.53</v>
      </c>
      <c r="Z87" s="18">
        <f t="shared" ca="1" si="57"/>
        <v>0.44</v>
      </c>
      <c r="AA87" s="18">
        <f t="shared" ca="1" si="30"/>
        <v>0.31</v>
      </c>
      <c r="AB87" s="18">
        <f t="shared" ca="1" si="31"/>
        <v>2.06</v>
      </c>
      <c r="AC87" s="18">
        <f t="shared" ca="1" si="32"/>
        <v>0.21359223300970873</v>
      </c>
      <c r="AD87" s="18">
        <f t="shared" ca="1" si="33"/>
        <v>0.1650485436893204</v>
      </c>
      <c r="AE87" s="18">
        <f t="shared" ca="1" si="34"/>
        <v>0.25728155339805825</v>
      </c>
      <c r="AF87" s="18">
        <f t="shared" ca="1" si="35"/>
        <v>0.21359223300970873</v>
      </c>
      <c r="AG87" s="18">
        <f t="shared" ca="1" si="36"/>
        <v>0.15048543689320387</v>
      </c>
      <c r="AH87" s="18">
        <f t="shared" ca="1" si="37"/>
        <v>1</v>
      </c>
      <c r="AI87" s="18" cm="1">
        <f t="array" aca="1" ref="AI87" ca="1">MMULT(MMULT(AC87:AG87,$Q$2:$U$6),TRANSPOSE(AC87:AG87))</f>
        <v>1.7921005598804191E-4</v>
      </c>
      <c r="AJ87" s="18">
        <f t="shared" ca="1" si="38"/>
        <v>-2.8807553968050017E-3</v>
      </c>
      <c r="AK87" s="18">
        <f t="shared" ca="1" si="39"/>
        <v>-0.24605264305790533</v>
      </c>
      <c r="AL87" s="18">
        <f t="shared" ca="1" si="40"/>
        <v>-2.8807553968050017E-3</v>
      </c>
      <c r="AM87" s="18">
        <f t="shared" ca="1" si="41"/>
        <v>1.7921005598804191E-4</v>
      </c>
      <c r="AN87" s="18">
        <f t="shared" ca="1" si="42"/>
        <v>0.21359223300970873</v>
      </c>
      <c r="AO87" s="18">
        <f t="shared" ca="1" si="43"/>
        <v>0.1650485436893204</v>
      </c>
      <c r="AP87" s="18">
        <f t="shared" ca="1" si="44"/>
        <v>0.25728155339805825</v>
      </c>
      <c r="AQ87" s="18">
        <f t="shared" ca="1" si="45"/>
        <v>0.21359223300970873</v>
      </c>
      <c r="AR87" s="18">
        <f t="shared" ca="1" si="46"/>
        <v>0.15048543689320387</v>
      </c>
    </row>
    <row r="88" spans="1:44">
      <c r="A88" s="20">
        <v>27.4</v>
      </c>
      <c r="B88" s="20">
        <v>24.2</v>
      </c>
      <c r="C88" s="20">
        <v>288.39999999999998</v>
      </c>
      <c r="D88" s="21">
        <v>42.4</v>
      </c>
      <c r="E88" s="20">
        <v>151.5</v>
      </c>
      <c r="F88" s="18">
        <f t="shared" si="47"/>
        <v>7.3260400920728812E-3</v>
      </c>
      <c r="G88" s="18">
        <f t="shared" si="48"/>
        <v>2.5105921131076261E-2</v>
      </c>
      <c r="H88" s="18">
        <f t="shared" si="49"/>
        <v>6.2608900167224124E-3</v>
      </c>
      <c r="I88" s="18">
        <f t="shared" si="50"/>
        <v>-1.1723463696059259E-2</v>
      </c>
      <c r="J88" s="18">
        <f t="shared" si="51"/>
        <v>-6.5984825884743132E-4</v>
      </c>
      <c r="K88" s="18">
        <f t="shared" si="52"/>
        <v>6.9129044988525418E-3</v>
      </c>
      <c r="L88" s="18">
        <f t="shared" si="53"/>
        <v>2.4692785537855921E-2</v>
      </c>
      <c r="M88" s="18">
        <f t="shared" si="54"/>
        <v>5.8477544235020738E-3</v>
      </c>
      <c r="N88" s="18">
        <f t="shared" si="55"/>
        <v>-1.2136599289279598E-2</v>
      </c>
      <c r="O88" s="18">
        <f t="shared" si="56"/>
        <v>-1.0729838520677703E-3</v>
      </c>
      <c r="W88" s="18">
        <f t="shared" ca="1" si="57"/>
        <v>0.73</v>
      </c>
      <c r="X88" s="18">
        <f t="shared" ca="1" si="57"/>
        <v>0.27</v>
      </c>
      <c r="Y88" s="18">
        <f t="shared" ca="1" si="57"/>
        <v>0.11</v>
      </c>
      <c r="Z88" s="18">
        <f t="shared" ca="1" si="57"/>
        <v>0.93</v>
      </c>
      <c r="AA88" s="18">
        <f t="shared" ca="1" si="30"/>
        <v>0.34</v>
      </c>
      <c r="AB88" s="18">
        <f t="shared" ca="1" si="31"/>
        <v>2.38</v>
      </c>
      <c r="AC88" s="18">
        <f t="shared" ca="1" si="32"/>
        <v>0.30672268907563027</v>
      </c>
      <c r="AD88" s="18">
        <f t="shared" ca="1" si="33"/>
        <v>0.11344537815126052</v>
      </c>
      <c r="AE88" s="18">
        <f t="shared" ca="1" si="34"/>
        <v>4.6218487394957986E-2</v>
      </c>
      <c r="AF88" s="18">
        <f t="shared" ca="1" si="35"/>
        <v>0.39075630252100846</v>
      </c>
      <c r="AG88" s="18">
        <f t="shared" ca="1" si="36"/>
        <v>0.14285714285714288</v>
      </c>
      <c r="AH88" s="18">
        <f t="shared" ca="1" si="37"/>
        <v>1</v>
      </c>
      <c r="AI88" s="18" cm="1">
        <f t="array" aca="1" ref="AI88" ca="1">MMULT(MMULT(AC88:AG88,$Q$2:$U$6),TRANSPOSE(AC88:AG88))</f>
        <v>2.953244320999111E-4</v>
      </c>
      <c r="AJ88" s="18">
        <f t="shared" ca="1" si="38"/>
        <v>3.6996644746377983E-3</v>
      </c>
      <c r="AK88" s="18">
        <f t="shared" ca="1" si="39"/>
        <v>0.19124397608715402</v>
      </c>
      <c r="AL88" s="18">
        <f t="shared" ca="1" si="40"/>
        <v>3.6996644746377983E-3</v>
      </c>
      <c r="AM88" s="18">
        <f t="shared" ca="1" si="41"/>
        <v>2.953244320999111E-4</v>
      </c>
      <c r="AN88" s="18">
        <f t="shared" ca="1" si="42"/>
        <v>0.30672268907563027</v>
      </c>
      <c r="AO88" s="18">
        <f t="shared" ca="1" si="43"/>
        <v>0.11344537815126052</v>
      </c>
      <c r="AP88" s="18">
        <f t="shared" ca="1" si="44"/>
        <v>4.6218487394957986E-2</v>
      </c>
      <c r="AQ88" s="18">
        <f t="shared" ca="1" si="45"/>
        <v>0.39075630252100846</v>
      </c>
      <c r="AR88" s="18">
        <f t="shared" ca="1" si="46"/>
        <v>0.14285714285714288</v>
      </c>
    </row>
    <row r="89" spans="1:44">
      <c r="A89" s="20">
        <v>27.7</v>
      </c>
      <c r="B89" s="20">
        <v>24.6</v>
      </c>
      <c r="C89" s="20">
        <v>289.60000000000002</v>
      </c>
      <c r="D89" s="21">
        <v>43.1</v>
      </c>
      <c r="E89" s="20">
        <v>154.5</v>
      </c>
      <c r="F89" s="18">
        <f t="shared" si="47"/>
        <v>1.0889399799268317E-2</v>
      </c>
      <c r="G89" s="18">
        <f t="shared" si="48"/>
        <v>1.639380977567657E-2</v>
      </c>
      <c r="H89" s="18">
        <f t="shared" si="49"/>
        <v>4.1522551007675094E-3</v>
      </c>
      <c r="I89" s="18">
        <f t="shared" si="50"/>
        <v>1.6374634871790104E-2</v>
      </c>
      <c r="J89" s="18">
        <f t="shared" si="51"/>
        <v>1.9608471388376337E-2</v>
      </c>
      <c r="K89" s="18">
        <f t="shared" si="52"/>
        <v>1.0476264206047978E-2</v>
      </c>
      <c r="L89" s="18">
        <f t="shared" si="53"/>
        <v>1.5980674182456231E-2</v>
      </c>
      <c r="M89" s="18">
        <f t="shared" si="54"/>
        <v>3.7391195075471705E-3</v>
      </c>
      <c r="N89" s="18">
        <f t="shared" si="55"/>
        <v>1.5961499278569765E-2</v>
      </c>
      <c r="O89" s="18">
        <f t="shared" si="56"/>
        <v>1.9195335795155997E-2</v>
      </c>
      <c r="W89" s="18">
        <f t="shared" ca="1" si="57"/>
        <v>0.06</v>
      </c>
      <c r="X89" s="18">
        <f t="shared" ca="1" si="57"/>
        <v>0.91</v>
      </c>
      <c r="Y89" s="18">
        <f t="shared" ca="1" si="57"/>
        <v>0.48</v>
      </c>
      <c r="Z89" s="18">
        <f t="shared" ca="1" si="57"/>
        <v>0.05</v>
      </c>
      <c r="AA89" s="18">
        <f t="shared" ca="1" si="30"/>
        <v>0.95</v>
      </c>
      <c r="AB89" s="18">
        <f t="shared" ca="1" si="31"/>
        <v>2.4500000000000002</v>
      </c>
      <c r="AC89" s="18">
        <f t="shared" ca="1" si="32"/>
        <v>2.4489795918367346E-2</v>
      </c>
      <c r="AD89" s="18">
        <f t="shared" ca="1" si="33"/>
        <v>0.37142857142857144</v>
      </c>
      <c r="AE89" s="18">
        <f t="shared" ca="1" si="34"/>
        <v>0.19591836734693877</v>
      </c>
      <c r="AF89" s="18">
        <f t="shared" ca="1" si="35"/>
        <v>2.0408163265306121E-2</v>
      </c>
      <c r="AG89" s="18">
        <f t="shared" ca="1" si="36"/>
        <v>0.38775510204081626</v>
      </c>
      <c r="AH89" s="18">
        <f t="shared" ca="1" si="37"/>
        <v>1</v>
      </c>
      <c r="AI89" s="18" cm="1">
        <f t="array" aca="1" ref="AI89" ca="1">MMULT(MMULT(AC89:AG89,$Q$2:$U$6),TRANSPOSE(AC89:AG89))</f>
        <v>2.7977017553533712E-4</v>
      </c>
      <c r="AJ89" s="18">
        <f t="shared" ca="1" si="38"/>
        <v>-7.1084259334784506E-3</v>
      </c>
      <c r="AK89" s="18">
        <f t="shared" ca="1" si="39"/>
        <v>-0.44968386469557814</v>
      </c>
      <c r="AL89" s="18">
        <f t="shared" ca="1" si="40"/>
        <v>-7.1084259334784506E-3</v>
      </c>
      <c r="AM89" s="18">
        <f t="shared" ca="1" si="41"/>
        <v>2.7977017553533712E-4</v>
      </c>
      <c r="AN89" s="18">
        <f t="shared" ca="1" si="42"/>
        <v>2.4489795918367346E-2</v>
      </c>
      <c r="AO89" s="18">
        <f t="shared" ca="1" si="43"/>
        <v>0.37142857142857144</v>
      </c>
      <c r="AP89" s="18">
        <f t="shared" ca="1" si="44"/>
        <v>0.19591836734693877</v>
      </c>
      <c r="AQ89" s="18">
        <f t="shared" ca="1" si="45"/>
        <v>2.0408163265306121E-2</v>
      </c>
      <c r="AR89" s="18">
        <f t="shared" ca="1" si="46"/>
        <v>0.38775510204081626</v>
      </c>
    </row>
    <row r="90" spans="1:44">
      <c r="A90" s="20">
        <v>27.8</v>
      </c>
      <c r="B90" s="20">
        <v>25</v>
      </c>
      <c r="C90" s="20">
        <v>290.10000000000002</v>
      </c>
      <c r="D90" s="21">
        <v>42.6</v>
      </c>
      <c r="E90" s="20">
        <v>157.19999999999999</v>
      </c>
      <c r="F90" s="18">
        <f t="shared" si="47"/>
        <v>3.6036075032986181E-3</v>
      </c>
      <c r="G90" s="18">
        <f t="shared" si="48"/>
        <v>1.6129381929883498E-2</v>
      </c>
      <c r="H90" s="18">
        <f t="shared" si="49"/>
        <v>1.7250306157970768E-3</v>
      </c>
      <c r="I90" s="18">
        <f t="shared" si="50"/>
        <v>-1.1668743834377378E-2</v>
      </c>
      <c r="J90" s="18">
        <f t="shared" si="51"/>
        <v>1.7324783657305921E-2</v>
      </c>
      <c r="K90" s="18">
        <f t="shared" si="52"/>
        <v>3.1904719100782791E-3</v>
      </c>
      <c r="L90" s="18">
        <f t="shared" si="53"/>
        <v>1.5716246336663159E-2</v>
      </c>
      <c r="M90" s="18">
        <f t="shared" si="54"/>
        <v>1.3118950225767378E-3</v>
      </c>
      <c r="N90" s="18">
        <f t="shared" si="55"/>
        <v>-1.2081879427597718E-2</v>
      </c>
      <c r="O90" s="18">
        <f t="shared" si="56"/>
        <v>1.6911648064085582E-2</v>
      </c>
      <c r="W90" s="18">
        <f t="shared" ca="1" si="57"/>
        <v>0.87</v>
      </c>
      <c r="X90" s="18">
        <f t="shared" ca="1" si="57"/>
        <v>0.66</v>
      </c>
      <c r="Y90" s="18">
        <f t="shared" ca="1" si="57"/>
        <v>0.77</v>
      </c>
      <c r="Z90" s="18">
        <f t="shared" ca="1" si="57"/>
        <v>0.67</v>
      </c>
      <c r="AA90" s="18">
        <f t="shared" ca="1" si="30"/>
        <v>0.42</v>
      </c>
      <c r="AB90" s="18">
        <f t="shared" ca="1" si="31"/>
        <v>3.3899999999999997</v>
      </c>
      <c r="AC90" s="18">
        <f t="shared" ca="1" si="32"/>
        <v>0.25663716814159293</v>
      </c>
      <c r="AD90" s="18">
        <f t="shared" ca="1" si="33"/>
        <v>0.19469026548672569</v>
      </c>
      <c r="AE90" s="18">
        <f t="shared" ca="1" si="34"/>
        <v>0.22713864306784665</v>
      </c>
      <c r="AF90" s="18">
        <f t="shared" ca="1" si="35"/>
        <v>0.19764011799410033</v>
      </c>
      <c r="AG90" s="18">
        <f t="shared" ca="1" si="36"/>
        <v>0.12389380530973453</v>
      </c>
      <c r="AH90" s="18">
        <f t="shared" ca="1" si="37"/>
        <v>1</v>
      </c>
      <c r="AI90" s="18" cm="1">
        <f t="array" aca="1" ref="AI90" ca="1">MMULT(MMULT(AC90:AG90,$Q$2:$U$6),TRANSPOSE(AC90:AG90))</f>
        <v>1.6973794305457388E-4</v>
      </c>
      <c r="AJ90" s="18">
        <f t="shared" ca="1" si="38"/>
        <v>-2.663916257218151E-3</v>
      </c>
      <c r="AK90" s="18">
        <f t="shared" ca="1" si="39"/>
        <v>-0.23618121204355402</v>
      </c>
      <c r="AL90" s="18">
        <f t="shared" ca="1" si="40"/>
        <v>-2.663916257218151E-3</v>
      </c>
      <c r="AM90" s="18">
        <f t="shared" ca="1" si="41"/>
        <v>1.6973794305457388E-4</v>
      </c>
      <c r="AN90" s="18">
        <f t="shared" ca="1" si="42"/>
        <v>0.25663716814159293</v>
      </c>
      <c r="AO90" s="18">
        <f t="shared" ca="1" si="43"/>
        <v>0.19469026548672569</v>
      </c>
      <c r="AP90" s="18">
        <f t="shared" ca="1" si="44"/>
        <v>0.22713864306784665</v>
      </c>
      <c r="AQ90" s="18">
        <f t="shared" ca="1" si="45"/>
        <v>0.19764011799410033</v>
      </c>
      <c r="AR90" s="18">
        <f t="shared" ca="1" si="46"/>
        <v>0.12389380530973453</v>
      </c>
    </row>
    <row r="91" spans="1:44">
      <c r="A91" s="20">
        <v>27.1</v>
      </c>
      <c r="B91" s="20">
        <v>23.6</v>
      </c>
      <c r="C91" s="20">
        <v>292.60000000000002</v>
      </c>
      <c r="D91" s="21">
        <v>41.2</v>
      </c>
      <c r="E91" s="20">
        <v>158.4</v>
      </c>
      <c r="F91" s="18">
        <f t="shared" si="47"/>
        <v>-2.550229281093612E-2</v>
      </c>
      <c r="G91" s="18">
        <f t="shared" si="48"/>
        <v>-5.7629112836636298E-2</v>
      </c>
      <c r="H91" s="18">
        <f t="shared" si="49"/>
        <v>8.580797458665539E-3</v>
      </c>
      <c r="I91" s="18">
        <f t="shared" si="50"/>
        <v>-3.3415996919843947E-2</v>
      </c>
      <c r="J91" s="18">
        <f t="shared" si="51"/>
        <v>7.6045993852194328E-3</v>
      </c>
      <c r="K91" s="18">
        <f t="shared" si="52"/>
        <v>-2.5915428404156459E-2</v>
      </c>
      <c r="L91" s="18">
        <f t="shared" si="53"/>
        <v>-5.8042248429856634E-2</v>
      </c>
      <c r="M91" s="18">
        <f t="shared" si="54"/>
        <v>8.1676618654451996E-3</v>
      </c>
      <c r="N91" s="18">
        <f t="shared" si="55"/>
        <v>-3.3829132513064283E-2</v>
      </c>
      <c r="O91" s="18">
        <f t="shared" si="56"/>
        <v>7.1914637919990934E-3</v>
      </c>
      <c r="W91" s="18">
        <f t="shared" ca="1" si="57"/>
        <v>0.9</v>
      </c>
      <c r="X91" s="18">
        <f t="shared" ca="1" si="57"/>
        <v>0.82</v>
      </c>
      <c r="Y91" s="18">
        <f t="shared" ca="1" si="57"/>
        <v>0.99</v>
      </c>
      <c r="Z91" s="18">
        <f t="shared" ca="1" si="57"/>
        <v>0.14000000000000001</v>
      </c>
      <c r="AA91" s="18">
        <f t="shared" ca="1" si="30"/>
        <v>0.4</v>
      </c>
      <c r="AB91" s="18">
        <f t="shared" ca="1" si="31"/>
        <v>3.25</v>
      </c>
      <c r="AC91" s="18">
        <f t="shared" ca="1" si="32"/>
        <v>0.27692307692307694</v>
      </c>
      <c r="AD91" s="18">
        <f t="shared" ca="1" si="33"/>
        <v>0.25230769230769229</v>
      </c>
      <c r="AE91" s="18">
        <f t="shared" ca="1" si="34"/>
        <v>0.30461538461538462</v>
      </c>
      <c r="AF91" s="18">
        <f t="shared" ca="1" si="35"/>
        <v>4.3076923076923082E-2</v>
      </c>
      <c r="AG91" s="18">
        <f t="shared" ca="1" si="36"/>
        <v>0.12307692307692308</v>
      </c>
      <c r="AH91" s="18">
        <f t="shared" ca="1" si="37"/>
        <v>1</v>
      </c>
      <c r="AI91" s="18" cm="1">
        <f t="array" aca="1" ref="AI91" ca="1">MMULT(MMULT(AC91:AG91,$Q$2:$U$6),TRANSPOSE(AC91:AG91))</f>
        <v>1.3159499938230197E-4</v>
      </c>
      <c r="AJ91" s="18">
        <f t="shared" ca="1" si="38"/>
        <v>-6.0337779017868715E-3</v>
      </c>
      <c r="AK91" s="18">
        <f t="shared" ca="1" si="39"/>
        <v>-0.56199460914313315</v>
      </c>
      <c r="AL91" s="18">
        <f t="shared" ca="1" si="40"/>
        <v>-6.0337779017868715E-3</v>
      </c>
      <c r="AM91" s="18">
        <f t="shared" ca="1" si="41"/>
        <v>1.3159499938230197E-4</v>
      </c>
      <c r="AN91" s="18">
        <f t="shared" ca="1" si="42"/>
        <v>0.27692307692307694</v>
      </c>
      <c r="AO91" s="18">
        <f t="shared" ca="1" si="43"/>
        <v>0.25230769230769229</v>
      </c>
      <c r="AP91" s="18">
        <f t="shared" ca="1" si="44"/>
        <v>0.30461538461538462</v>
      </c>
      <c r="AQ91" s="18">
        <f t="shared" ca="1" si="45"/>
        <v>4.3076923076923082E-2</v>
      </c>
      <c r="AR91" s="18">
        <f t="shared" ca="1" si="46"/>
        <v>0.12307692307692308</v>
      </c>
    </row>
    <row r="92" spans="1:44">
      <c r="A92" s="20">
        <v>26.8</v>
      </c>
      <c r="B92" s="20">
        <v>23.1</v>
      </c>
      <c r="C92" s="20">
        <v>290.60000000000002</v>
      </c>
      <c r="D92" s="21">
        <v>41</v>
      </c>
      <c r="E92" s="20">
        <v>153.80000000000001</v>
      </c>
      <c r="F92" s="18">
        <f t="shared" si="47"/>
        <v>-1.1131840368844294E-2</v>
      </c>
      <c r="G92" s="18">
        <f t="shared" si="48"/>
        <v>-2.1414094503816473E-2</v>
      </c>
      <c r="H92" s="18">
        <f t="shared" si="49"/>
        <v>-6.8587374498414256E-3</v>
      </c>
      <c r="I92" s="18">
        <f t="shared" si="50"/>
        <v>-4.8661896511730113E-3</v>
      </c>
      <c r="J92" s="18">
        <f t="shared" si="51"/>
        <v>-2.9470422308781816E-2</v>
      </c>
      <c r="K92" s="18">
        <f t="shared" si="52"/>
        <v>-1.1544975962064634E-2</v>
      </c>
      <c r="L92" s="18">
        <f t="shared" si="53"/>
        <v>-2.1827230097036812E-2</v>
      </c>
      <c r="M92" s="18">
        <f t="shared" si="54"/>
        <v>-7.2718730430617641E-3</v>
      </c>
      <c r="N92" s="18">
        <f t="shared" si="55"/>
        <v>-5.2793252443933507E-3</v>
      </c>
      <c r="O92" s="18">
        <f t="shared" si="56"/>
        <v>-2.9883557902002155E-2</v>
      </c>
      <c r="W92" s="18">
        <f t="shared" ca="1" si="57"/>
        <v>0.54</v>
      </c>
      <c r="X92" s="18">
        <f t="shared" ca="1" si="57"/>
        <v>0.7</v>
      </c>
      <c r="Y92" s="18">
        <f t="shared" ca="1" si="57"/>
        <v>0.69</v>
      </c>
      <c r="Z92" s="18">
        <f t="shared" ca="1" si="57"/>
        <v>0.47</v>
      </c>
      <c r="AA92" s="18">
        <f t="shared" ca="1" si="30"/>
        <v>0.89</v>
      </c>
      <c r="AB92" s="18">
        <f t="shared" ca="1" si="31"/>
        <v>3.29</v>
      </c>
      <c r="AC92" s="18">
        <f t="shared" ca="1" si="32"/>
        <v>0.16413373860182373</v>
      </c>
      <c r="AD92" s="18">
        <f t="shared" ca="1" si="33"/>
        <v>0.21276595744680848</v>
      </c>
      <c r="AE92" s="18">
        <f t="shared" ca="1" si="34"/>
        <v>0.20972644376899693</v>
      </c>
      <c r="AF92" s="18">
        <f t="shared" ca="1" si="35"/>
        <v>0.14285714285714285</v>
      </c>
      <c r="AG92" s="18">
        <f t="shared" ca="1" si="36"/>
        <v>0.27051671732522797</v>
      </c>
      <c r="AH92" s="18">
        <f t="shared" ca="1" si="37"/>
        <v>0.99999999999999989</v>
      </c>
      <c r="AI92" s="18" cm="1">
        <f t="array" aca="1" ref="AI92" ca="1">MMULT(MMULT(AC92:AG92,$Q$2:$U$6),TRANSPOSE(AC92:AG92))</f>
        <v>2.0429042000236807E-4</v>
      </c>
      <c r="AJ92" s="18">
        <f t="shared" ca="1" si="38"/>
        <v>-3.400744031627267E-3</v>
      </c>
      <c r="AK92" s="18">
        <f t="shared" ca="1" si="39"/>
        <v>-0.26683511473082966</v>
      </c>
      <c r="AL92" s="18">
        <f t="shared" ca="1" si="40"/>
        <v>-3.400744031627267E-3</v>
      </c>
      <c r="AM92" s="18">
        <f t="shared" ca="1" si="41"/>
        <v>2.0429042000236807E-4</v>
      </c>
      <c r="AN92" s="18">
        <f t="shared" ca="1" si="42"/>
        <v>0.16413373860182373</v>
      </c>
      <c r="AO92" s="18">
        <f t="shared" ca="1" si="43"/>
        <v>0.21276595744680848</v>
      </c>
      <c r="AP92" s="18">
        <f t="shared" ca="1" si="44"/>
        <v>0.20972644376899693</v>
      </c>
      <c r="AQ92" s="18">
        <f t="shared" ca="1" si="45"/>
        <v>0.14285714285714285</v>
      </c>
      <c r="AR92" s="18">
        <f t="shared" ca="1" si="46"/>
        <v>0.27051671732522797</v>
      </c>
    </row>
    <row r="93" spans="1:44">
      <c r="A93" s="20">
        <v>26.8</v>
      </c>
      <c r="B93" s="20">
        <v>23.4</v>
      </c>
      <c r="C93" s="20">
        <v>288.60000000000002</v>
      </c>
      <c r="D93" s="21">
        <v>41.6</v>
      </c>
      <c r="E93" s="20">
        <v>166.8</v>
      </c>
      <c r="F93" s="18">
        <f t="shared" si="47"/>
        <v>0</v>
      </c>
      <c r="G93" s="18">
        <f t="shared" si="48"/>
        <v>1.2903404835907782E-2</v>
      </c>
      <c r="H93" s="18">
        <f t="shared" si="49"/>
        <v>-6.9061047964120471E-3</v>
      </c>
      <c r="I93" s="18">
        <f t="shared" si="50"/>
        <v>1.4528100562909808E-2</v>
      </c>
      <c r="J93" s="18">
        <f t="shared" si="51"/>
        <v>8.1142432853102797E-2</v>
      </c>
      <c r="K93" s="18">
        <f t="shared" si="52"/>
        <v>-4.1313559322033898E-4</v>
      </c>
      <c r="L93" s="18">
        <f t="shared" si="53"/>
        <v>1.2490269242687443E-2</v>
      </c>
      <c r="M93" s="18">
        <f t="shared" si="54"/>
        <v>-7.3192403896323865E-3</v>
      </c>
      <c r="N93" s="18">
        <f t="shared" si="55"/>
        <v>1.4114964969689468E-2</v>
      </c>
      <c r="O93" s="18">
        <f t="shared" si="56"/>
        <v>8.0729297259882454E-2</v>
      </c>
      <c r="W93" s="18">
        <f t="shared" ca="1" si="57"/>
        <v>0.22</v>
      </c>
      <c r="X93" s="18">
        <f t="shared" ca="1" si="57"/>
        <v>0.94</v>
      </c>
      <c r="Y93" s="18">
        <f t="shared" ca="1" si="57"/>
        <v>0.01</v>
      </c>
      <c r="Z93" s="18">
        <f t="shared" ca="1" si="57"/>
        <v>0.96</v>
      </c>
      <c r="AA93" s="18">
        <f t="shared" ca="1" si="30"/>
        <v>0.13</v>
      </c>
      <c r="AB93" s="18">
        <f t="shared" ca="1" si="31"/>
        <v>2.2599999999999998</v>
      </c>
      <c r="AC93" s="18">
        <f t="shared" ca="1" si="32"/>
        <v>9.7345132743362844E-2</v>
      </c>
      <c r="AD93" s="18">
        <f t="shared" ca="1" si="33"/>
        <v>0.41592920353982304</v>
      </c>
      <c r="AE93" s="18">
        <f t="shared" ca="1" si="34"/>
        <v>4.4247787610619477E-3</v>
      </c>
      <c r="AF93" s="18">
        <f t="shared" ca="1" si="35"/>
        <v>0.42477876106194695</v>
      </c>
      <c r="AG93" s="18">
        <f t="shared" ca="1" si="36"/>
        <v>5.7522123893805316E-2</v>
      </c>
      <c r="AH93" s="18">
        <f t="shared" ca="1" si="37"/>
        <v>1</v>
      </c>
      <c r="AI93" s="18" cm="1">
        <f t="array" aca="1" ref="AI93" ca="1">MMULT(MMULT(AC93:AG93,$Q$2:$U$6),TRANSPOSE(AC93:AG93))</f>
        <v>3.2255605519475664E-4</v>
      </c>
      <c r="AJ93" s="18">
        <f t="shared" ca="1" si="38"/>
        <v>-1.0285181496303901E-3</v>
      </c>
      <c r="AK93" s="18">
        <f t="shared" ca="1" si="39"/>
        <v>-8.0270942870843701E-2</v>
      </c>
      <c r="AL93" s="18">
        <f t="shared" ca="1" si="40"/>
        <v>-1.0285181496303901E-3</v>
      </c>
      <c r="AM93" s="18">
        <f t="shared" ca="1" si="41"/>
        <v>3.2255605519475664E-4</v>
      </c>
      <c r="AN93" s="18">
        <f t="shared" ca="1" si="42"/>
        <v>9.7345132743362844E-2</v>
      </c>
      <c r="AO93" s="18">
        <f t="shared" ca="1" si="43"/>
        <v>0.41592920353982304</v>
      </c>
      <c r="AP93" s="18">
        <f t="shared" ca="1" si="44"/>
        <v>4.4247787610619477E-3</v>
      </c>
      <c r="AQ93" s="18">
        <f t="shared" ca="1" si="45"/>
        <v>0.42477876106194695</v>
      </c>
      <c r="AR93" s="18">
        <f t="shared" ca="1" si="46"/>
        <v>5.7522123893805316E-2</v>
      </c>
    </row>
    <row r="94" spans="1:44">
      <c r="A94" s="20">
        <v>26.8</v>
      </c>
      <c r="B94" s="20">
        <v>23.6</v>
      </c>
      <c r="C94" s="20">
        <v>291.10000000000002</v>
      </c>
      <c r="D94" s="21">
        <v>41.7</v>
      </c>
      <c r="E94" s="20">
        <v>168.9</v>
      </c>
      <c r="F94" s="18">
        <f t="shared" si="47"/>
        <v>0</v>
      </c>
      <c r="G94" s="18">
        <f t="shared" si="48"/>
        <v>8.5106896679088308E-3</v>
      </c>
      <c r="H94" s="18">
        <f t="shared" si="49"/>
        <v>8.6252044118071084E-3</v>
      </c>
      <c r="I94" s="18">
        <f t="shared" si="50"/>
        <v>2.4009615375382679E-3</v>
      </c>
      <c r="J94" s="18">
        <f t="shared" si="51"/>
        <v>1.2511333889107929E-2</v>
      </c>
      <c r="K94" s="18">
        <f t="shared" si="52"/>
        <v>-4.1313559322033898E-4</v>
      </c>
      <c r="L94" s="18">
        <f t="shared" si="53"/>
        <v>8.0975540746884914E-3</v>
      </c>
      <c r="M94" s="18">
        <f t="shared" si="54"/>
        <v>8.212068818586769E-3</v>
      </c>
      <c r="N94" s="18">
        <f t="shared" si="55"/>
        <v>1.9878259443179289E-3</v>
      </c>
      <c r="O94" s="18">
        <f t="shared" si="56"/>
        <v>1.209819829588759E-2</v>
      </c>
      <c r="W94" s="18">
        <f t="shared" ca="1" si="57"/>
        <v>0.83</v>
      </c>
      <c r="X94" s="18">
        <f t="shared" ca="1" si="57"/>
        <v>0.9</v>
      </c>
      <c r="Y94" s="18">
        <f t="shared" ca="1" si="57"/>
        <v>0.52</v>
      </c>
      <c r="Z94" s="18">
        <f t="shared" ca="1" si="57"/>
        <v>0.83</v>
      </c>
      <c r="AA94" s="18">
        <f t="shared" ca="1" si="30"/>
        <v>0.59</v>
      </c>
      <c r="AB94" s="18">
        <f t="shared" ca="1" si="31"/>
        <v>3.67</v>
      </c>
      <c r="AC94" s="18">
        <f t="shared" ca="1" si="32"/>
        <v>0.22615803814713895</v>
      </c>
      <c r="AD94" s="18">
        <f t="shared" ca="1" si="33"/>
        <v>0.24523160762942781</v>
      </c>
      <c r="AE94" s="18">
        <f t="shared" ca="1" si="34"/>
        <v>0.14168937329700274</v>
      </c>
      <c r="AF94" s="18">
        <f t="shared" ca="1" si="35"/>
        <v>0.22615803814713895</v>
      </c>
      <c r="AG94" s="18">
        <f t="shared" ca="1" si="36"/>
        <v>0.16076294277929154</v>
      </c>
      <c r="AH94" s="18">
        <f t="shared" ca="1" si="37"/>
        <v>1</v>
      </c>
      <c r="AI94" s="18" cm="1">
        <f t="array" aca="1" ref="AI94" ca="1">MMULT(MMULT(AC94:AG94,$Q$2:$U$6),TRANSPOSE(AC94:AG94))</f>
        <v>1.9443155571125282E-4</v>
      </c>
      <c r="AJ94" s="18">
        <f t="shared" ca="1" si="38"/>
        <v>-1.7371636358927442E-3</v>
      </c>
      <c r="AK94" s="18">
        <f t="shared" ca="1" si="39"/>
        <v>-0.15421106045404206</v>
      </c>
      <c r="AL94" s="18">
        <f t="shared" ca="1" si="40"/>
        <v>-1.7371636358927442E-3</v>
      </c>
      <c r="AM94" s="18">
        <f t="shared" ca="1" si="41"/>
        <v>1.9443155571125282E-4</v>
      </c>
      <c r="AN94" s="18">
        <f t="shared" ca="1" si="42"/>
        <v>0.22615803814713895</v>
      </c>
      <c r="AO94" s="18">
        <f t="shared" ca="1" si="43"/>
        <v>0.24523160762942781</v>
      </c>
      <c r="AP94" s="18">
        <f t="shared" ca="1" si="44"/>
        <v>0.14168937329700274</v>
      </c>
      <c r="AQ94" s="18">
        <f t="shared" ca="1" si="45"/>
        <v>0.22615803814713895</v>
      </c>
      <c r="AR94" s="18">
        <f t="shared" ca="1" si="46"/>
        <v>0.16076294277929154</v>
      </c>
    </row>
    <row r="95" spans="1:44">
      <c r="A95" s="20">
        <v>26.7</v>
      </c>
      <c r="B95" s="20">
        <v>23.7</v>
      </c>
      <c r="C95" s="20">
        <v>294.39999999999998</v>
      </c>
      <c r="D95" s="21">
        <v>42</v>
      </c>
      <c r="E95" s="20">
        <v>160</v>
      </c>
      <c r="F95" s="18">
        <f t="shared" si="47"/>
        <v>-3.7383221106072153E-3</v>
      </c>
      <c r="G95" s="18">
        <f t="shared" si="48"/>
        <v>4.2283361095211049E-3</v>
      </c>
      <c r="H95" s="18">
        <f t="shared" si="49"/>
        <v>1.1272536103143455E-2</v>
      </c>
      <c r="I95" s="18">
        <f t="shared" si="50"/>
        <v>7.168489478612497E-3</v>
      </c>
      <c r="J95" s="18">
        <f t="shared" si="51"/>
        <v>-5.413300857992745E-2</v>
      </c>
      <c r="K95" s="18">
        <f t="shared" si="52"/>
        <v>-4.1514577038275543E-3</v>
      </c>
      <c r="L95" s="18">
        <f t="shared" si="53"/>
        <v>3.815200516300766E-3</v>
      </c>
      <c r="M95" s="18">
        <f t="shared" si="54"/>
        <v>1.0859400509923116E-2</v>
      </c>
      <c r="N95" s="18">
        <f t="shared" si="55"/>
        <v>6.7553538853921576E-3</v>
      </c>
      <c r="O95" s="18">
        <f t="shared" si="56"/>
        <v>-5.4546144173147786E-2</v>
      </c>
      <c r="W95" s="18">
        <f t="shared" ca="1" si="57"/>
        <v>0.06</v>
      </c>
      <c r="X95" s="18">
        <f t="shared" ca="1" si="57"/>
        <v>0.46</v>
      </c>
      <c r="Y95" s="18">
        <f t="shared" ca="1" si="57"/>
        <v>0.48</v>
      </c>
      <c r="Z95" s="18">
        <f t="shared" ca="1" si="57"/>
        <v>0.46</v>
      </c>
      <c r="AA95" s="18">
        <f t="shared" ca="1" si="30"/>
        <v>0.98</v>
      </c>
      <c r="AB95" s="18">
        <f t="shared" ca="1" si="31"/>
        <v>2.44</v>
      </c>
      <c r="AC95" s="18">
        <f t="shared" ca="1" si="32"/>
        <v>2.4590163934426229E-2</v>
      </c>
      <c r="AD95" s="18">
        <f t="shared" ca="1" si="33"/>
        <v>0.18852459016393444</v>
      </c>
      <c r="AE95" s="18">
        <f t="shared" ca="1" si="34"/>
        <v>0.19672131147540983</v>
      </c>
      <c r="AF95" s="18">
        <f t="shared" ca="1" si="35"/>
        <v>0.18852459016393444</v>
      </c>
      <c r="AG95" s="18">
        <f t="shared" ca="1" si="36"/>
        <v>0.40163934426229508</v>
      </c>
      <c r="AH95" s="18">
        <f t="shared" ca="1" si="37"/>
        <v>1</v>
      </c>
      <c r="AI95" s="18" cm="1">
        <f t="array" aca="1" ref="AI95" ca="1">MMULT(MMULT(AC95:AG95,$Q$2:$U$6),TRANSPOSE(AC95:AG95))</f>
        <v>3.1085100922401864E-4</v>
      </c>
      <c r="AJ95" s="18">
        <f t="shared" ca="1" si="38"/>
        <v>-3.1052951593735327E-3</v>
      </c>
      <c r="AK95" s="18">
        <f t="shared" ca="1" si="39"/>
        <v>-0.19955971135465325</v>
      </c>
      <c r="AL95" s="18">
        <f t="shared" ca="1" si="40"/>
        <v>-3.1052951593735327E-3</v>
      </c>
      <c r="AM95" s="18">
        <f t="shared" ca="1" si="41"/>
        <v>3.1085100922401864E-4</v>
      </c>
      <c r="AN95" s="18">
        <f t="shared" ca="1" si="42"/>
        <v>2.4590163934426229E-2</v>
      </c>
      <c r="AO95" s="18">
        <f t="shared" ca="1" si="43"/>
        <v>0.18852459016393444</v>
      </c>
      <c r="AP95" s="18">
        <f t="shared" ca="1" si="44"/>
        <v>0.19672131147540983</v>
      </c>
      <c r="AQ95" s="18">
        <f t="shared" ca="1" si="45"/>
        <v>0.18852459016393444</v>
      </c>
      <c r="AR95" s="18">
        <f t="shared" ca="1" si="46"/>
        <v>0.40163934426229508</v>
      </c>
    </row>
    <row r="96" spans="1:44">
      <c r="A96" s="20">
        <v>27.2</v>
      </c>
      <c r="B96" s="20">
        <v>23.9</v>
      </c>
      <c r="C96" s="20">
        <v>297</v>
      </c>
      <c r="D96" s="21">
        <v>43.4</v>
      </c>
      <c r="E96" s="20">
        <v>161.69999999999999</v>
      </c>
      <c r="F96" s="18">
        <f t="shared" si="47"/>
        <v>1.8553407895747834E-2</v>
      </c>
      <c r="G96" s="18">
        <f t="shared" si="48"/>
        <v>8.4034107963793792E-3</v>
      </c>
      <c r="H96" s="18">
        <f t="shared" si="49"/>
        <v>8.7927519479786085E-3</v>
      </c>
      <c r="I96" s="18">
        <f t="shared" si="50"/>
        <v>3.2789822822990755E-2</v>
      </c>
      <c r="J96" s="18">
        <f t="shared" si="51"/>
        <v>1.0568951349234126E-2</v>
      </c>
      <c r="K96" s="18">
        <f t="shared" si="52"/>
        <v>1.8140272302527495E-2</v>
      </c>
      <c r="L96" s="18">
        <f t="shared" si="53"/>
        <v>7.9902752031590397E-3</v>
      </c>
      <c r="M96" s="18">
        <f t="shared" si="54"/>
        <v>8.3796163547582691E-3</v>
      </c>
      <c r="N96" s="18">
        <f t="shared" si="55"/>
        <v>3.2376687229770419E-2</v>
      </c>
      <c r="O96" s="18">
        <f t="shared" si="56"/>
        <v>1.0155815756013787E-2</v>
      </c>
      <c r="W96" s="18">
        <f t="shared" ca="1" si="57"/>
        <v>0.91</v>
      </c>
      <c r="X96" s="18">
        <f t="shared" ca="1" si="57"/>
        <v>0.88</v>
      </c>
      <c r="Y96" s="18">
        <f t="shared" ca="1" si="57"/>
        <v>0.55000000000000004</v>
      </c>
      <c r="Z96" s="18">
        <f t="shared" ca="1" si="57"/>
        <v>0.81</v>
      </c>
      <c r="AA96" s="18">
        <f t="shared" ca="1" si="30"/>
        <v>0.23</v>
      </c>
      <c r="AB96" s="18">
        <f t="shared" ca="1" si="31"/>
        <v>3.38</v>
      </c>
      <c r="AC96" s="18">
        <f t="shared" ca="1" si="32"/>
        <v>0.26923076923076927</v>
      </c>
      <c r="AD96" s="18">
        <f t="shared" ca="1" si="33"/>
        <v>0.26035502958579881</v>
      </c>
      <c r="AE96" s="18">
        <f t="shared" ca="1" si="34"/>
        <v>0.16272189349112429</v>
      </c>
      <c r="AF96" s="18">
        <f t="shared" ca="1" si="35"/>
        <v>0.23964497041420121</v>
      </c>
      <c r="AG96" s="18">
        <f t="shared" ca="1" si="36"/>
        <v>6.8047337278106509E-2</v>
      </c>
      <c r="AH96" s="18">
        <f t="shared" ca="1" si="37"/>
        <v>1</v>
      </c>
      <c r="AI96" s="18" cm="1">
        <f t="array" aca="1" ref="AI96" ca="1">MMULT(MMULT(AC96:AG96,$Q$2:$U$6),TRANSPOSE(AC96:AG96))</f>
        <v>1.8686059980945342E-4</v>
      </c>
      <c r="AJ96" s="18">
        <f t="shared" ca="1" si="38"/>
        <v>-2.1019839097701459E-3</v>
      </c>
      <c r="AK96" s="18">
        <f t="shared" ca="1" si="39"/>
        <v>-0.18399234543641194</v>
      </c>
      <c r="AL96" s="18">
        <f t="shared" ca="1" si="40"/>
        <v>-2.1019839097701459E-3</v>
      </c>
      <c r="AM96" s="18">
        <f t="shared" ca="1" si="41"/>
        <v>1.8686059980945342E-4</v>
      </c>
      <c r="AN96" s="18">
        <f t="shared" ca="1" si="42"/>
        <v>0.26923076923076927</v>
      </c>
      <c r="AO96" s="18">
        <f t="shared" ca="1" si="43"/>
        <v>0.26035502958579881</v>
      </c>
      <c r="AP96" s="18">
        <f t="shared" ca="1" si="44"/>
        <v>0.16272189349112429</v>
      </c>
      <c r="AQ96" s="18">
        <f t="shared" ca="1" si="45"/>
        <v>0.23964497041420121</v>
      </c>
      <c r="AR96" s="18">
        <f t="shared" ca="1" si="46"/>
        <v>6.8047337278106509E-2</v>
      </c>
    </row>
    <row r="97" spans="1:44">
      <c r="A97" s="20">
        <v>27.6</v>
      </c>
      <c r="B97" s="20">
        <v>24.7</v>
      </c>
      <c r="C97" s="20">
        <v>299.2</v>
      </c>
      <c r="D97" s="21">
        <v>43.5</v>
      </c>
      <c r="E97" s="20">
        <v>159.5</v>
      </c>
      <c r="F97" s="18">
        <f t="shared" si="47"/>
        <v>1.4598799421152851E-2</v>
      </c>
      <c r="G97" s="18">
        <f t="shared" si="48"/>
        <v>3.2924784696466612E-2</v>
      </c>
      <c r="H97" s="18">
        <f t="shared" si="49"/>
        <v>7.38010729762246E-3</v>
      </c>
      <c r="I97" s="18">
        <f t="shared" si="50"/>
        <v>2.3014969882791674E-3</v>
      </c>
      <c r="J97" s="18">
        <f t="shared" si="51"/>
        <v>-1.3698844358161802E-2</v>
      </c>
      <c r="K97" s="18">
        <f t="shared" si="52"/>
        <v>1.4185663827932512E-2</v>
      </c>
      <c r="L97" s="18">
        <f t="shared" si="53"/>
        <v>3.2511649103246276E-2</v>
      </c>
      <c r="M97" s="18">
        <f t="shared" si="54"/>
        <v>6.9669717044021206E-3</v>
      </c>
      <c r="N97" s="18">
        <f t="shared" si="55"/>
        <v>1.8883613950588284E-3</v>
      </c>
      <c r="O97" s="18">
        <f t="shared" si="56"/>
        <v>-1.4111979951382142E-2</v>
      </c>
      <c r="W97" s="18">
        <f t="shared" ca="1" si="57"/>
        <v>0.52</v>
      </c>
      <c r="X97" s="18">
        <f t="shared" ca="1" si="57"/>
        <v>0.72</v>
      </c>
      <c r="Y97" s="18">
        <f t="shared" ca="1" si="57"/>
        <v>0.56000000000000005</v>
      </c>
      <c r="Z97" s="18">
        <f t="shared" ca="1" si="57"/>
        <v>0.71</v>
      </c>
      <c r="AA97" s="18">
        <f t="shared" ca="1" si="30"/>
        <v>0.81</v>
      </c>
      <c r="AB97" s="18">
        <f t="shared" ca="1" si="31"/>
        <v>3.32</v>
      </c>
      <c r="AC97" s="18">
        <f t="shared" ca="1" si="32"/>
        <v>0.15662650602409639</v>
      </c>
      <c r="AD97" s="18">
        <f t="shared" ca="1" si="33"/>
        <v>0.21686746987951808</v>
      </c>
      <c r="AE97" s="18">
        <f t="shared" ca="1" si="34"/>
        <v>0.16867469879518074</v>
      </c>
      <c r="AF97" s="18">
        <f t="shared" ca="1" si="35"/>
        <v>0.21385542168674698</v>
      </c>
      <c r="AG97" s="18">
        <f t="shared" ca="1" si="36"/>
        <v>0.24397590361445787</v>
      </c>
      <c r="AH97" s="18">
        <f t="shared" ca="1" si="37"/>
        <v>1</v>
      </c>
      <c r="AI97" s="18" cm="1">
        <f t="array" aca="1" ref="AI97" ca="1">MMULT(MMULT(AC97:AG97,$Q$2:$U$6),TRANSPOSE(AC97:AG97))</f>
        <v>2.1643996770744989E-4</v>
      </c>
      <c r="AJ97" s="18">
        <f t="shared" ca="1" si="38"/>
        <v>-2.2223196118927417E-3</v>
      </c>
      <c r="AK97" s="18">
        <f t="shared" ca="1" si="39"/>
        <v>-0.17913766485078286</v>
      </c>
      <c r="AL97" s="18">
        <f t="shared" ca="1" si="40"/>
        <v>-2.2223196118927417E-3</v>
      </c>
      <c r="AM97" s="18">
        <f t="shared" ca="1" si="41"/>
        <v>2.1643996770744989E-4</v>
      </c>
      <c r="AN97" s="18">
        <f t="shared" ca="1" si="42"/>
        <v>0.15662650602409639</v>
      </c>
      <c r="AO97" s="18">
        <f t="shared" ca="1" si="43"/>
        <v>0.21686746987951808</v>
      </c>
      <c r="AP97" s="18">
        <f t="shared" ca="1" si="44"/>
        <v>0.16867469879518074</v>
      </c>
      <c r="AQ97" s="18">
        <f t="shared" ca="1" si="45"/>
        <v>0.21385542168674698</v>
      </c>
      <c r="AR97" s="18">
        <f t="shared" ca="1" si="46"/>
        <v>0.24397590361445787</v>
      </c>
    </row>
    <row r="98" spans="1:44">
      <c r="A98" s="20">
        <v>27.9</v>
      </c>
      <c r="B98" s="20">
        <v>25.4</v>
      </c>
      <c r="C98" s="20">
        <v>300</v>
      </c>
      <c r="D98" s="21">
        <v>43.9</v>
      </c>
      <c r="E98" s="20">
        <v>147</v>
      </c>
      <c r="F98" s="18">
        <f t="shared" si="47"/>
        <v>1.0810916104215456E-2</v>
      </c>
      <c r="G98" s="18">
        <f t="shared" si="48"/>
        <v>2.7945930390559322E-2</v>
      </c>
      <c r="H98" s="18">
        <f t="shared" si="49"/>
        <v>2.6702285558788921E-3</v>
      </c>
      <c r="I98" s="18">
        <f t="shared" si="50"/>
        <v>9.1533819864872013E-3</v>
      </c>
      <c r="J98" s="18">
        <f t="shared" si="51"/>
        <v>-8.1611335446162919E-2</v>
      </c>
      <c r="K98" s="18">
        <f t="shared" si="52"/>
        <v>1.0397780510995117E-2</v>
      </c>
      <c r="L98" s="18">
        <f t="shared" si="53"/>
        <v>2.7532794797338982E-2</v>
      </c>
      <c r="M98" s="18">
        <f t="shared" si="54"/>
        <v>2.2570929626585532E-3</v>
      </c>
      <c r="N98" s="18">
        <f t="shared" si="55"/>
        <v>8.7402463932668619E-3</v>
      </c>
      <c r="O98" s="18">
        <f t="shared" si="56"/>
        <v>-8.2024471039383262E-2</v>
      </c>
      <c r="W98" s="18">
        <f t="shared" ca="1" si="57"/>
        <v>0.38</v>
      </c>
      <c r="X98" s="18">
        <f t="shared" ca="1" si="57"/>
        <v>0.56000000000000005</v>
      </c>
      <c r="Y98" s="18">
        <f t="shared" ca="1" si="57"/>
        <v>0.26</v>
      </c>
      <c r="Z98" s="18">
        <f t="shared" ca="1" si="57"/>
        <v>0.82</v>
      </c>
      <c r="AA98" s="18">
        <f t="shared" ca="1" si="30"/>
        <v>0.67</v>
      </c>
      <c r="AB98" s="18">
        <f t="shared" ca="1" si="31"/>
        <v>2.69</v>
      </c>
      <c r="AC98" s="18">
        <f t="shared" ca="1" si="32"/>
        <v>0.14126394052044611</v>
      </c>
      <c r="AD98" s="18">
        <f t="shared" ca="1" si="33"/>
        <v>0.20817843866171007</v>
      </c>
      <c r="AE98" s="18">
        <f t="shared" ca="1" si="34"/>
        <v>9.6654275092936809E-2</v>
      </c>
      <c r="AF98" s="18">
        <f t="shared" ca="1" si="35"/>
        <v>0.30483271375464682</v>
      </c>
      <c r="AG98" s="18">
        <f t="shared" ca="1" si="36"/>
        <v>0.24907063197026025</v>
      </c>
      <c r="AH98" s="18">
        <f t="shared" ca="1" si="37"/>
        <v>1</v>
      </c>
      <c r="AI98" s="18" cm="1">
        <f t="array" aca="1" ref="AI98" ca="1">MMULT(MMULT(AC98:AG98,$Q$2:$U$6),TRANSPOSE(AC98:AG98))</f>
        <v>2.6659493643147857E-4</v>
      </c>
      <c r="AJ98" s="18">
        <f t="shared" ca="1" si="38"/>
        <v>-1.3527976449675104E-4</v>
      </c>
      <c r="AK98" s="18">
        <f t="shared" ca="1" si="39"/>
        <v>-3.3587962527488149E-2</v>
      </c>
      <c r="AL98" s="18">
        <f t="shared" ca="1" si="40"/>
        <v>-1.3527976449675104E-4</v>
      </c>
      <c r="AM98" s="18">
        <f t="shared" ca="1" si="41"/>
        <v>2.6659493643147857E-4</v>
      </c>
      <c r="AN98" s="18">
        <f t="shared" ca="1" si="42"/>
        <v>0.14126394052044611</v>
      </c>
      <c r="AO98" s="18">
        <f t="shared" ca="1" si="43"/>
        <v>0.20817843866171007</v>
      </c>
      <c r="AP98" s="18">
        <f t="shared" ca="1" si="44"/>
        <v>9.6654275092936809E-2</v>
      </c>
      <c r="AQ98" s="18">
        <f t="shared" ca="1" si="45"/>
        <v>0.30483271375464682</v>
      </c>
      <c r="AR98" s="18">
        <f t="shared" ca="1" si="46"/>
        <v>0.24907063197026025</v>
      </c>
    </row>
    <row r="99" spans="1:44">
      <c r="A99" s="20">
        <v>28.4</v>
      </c>
      <c r="B99" s="20">
        <v>25.5</v>
      </c>
      <c r="C99" s="20">
        <v>306.60000000000002</v>
      </c>
      <c r="D99" s="21">
        <v>44.2</v>
      </c>
      <c r="E99" s="20">
        <v>148.19999999999999</v>
      </c>
      <c r="F99" s="18">
        <f t="shared" si="47"/>
        <v>1.7762456339840468E-2</v>
      </c>
      <c r="G99" s="18">
        <f t="shared" si="48"/>
        <v>3.929278139889557E-3</v>
      </c>
      <c r="H99" s="18">
        <f t="shared" si="49"/>
        <v>2.176149178151271E-2</v>
      </c>
      <c r="I99" s="18">
        <f t="shared" si="50"/>
        <v>6.8104690025268793E-3</v>
      </c>
      <c r="J99" s="18">
        <f t="shared" si="51"/>
        <v>8.1301260832500888E-3</v>
      </c>
      <c r="K99" s="18">
        <f t="shared" si="52"/>
        <v>1.7349320746620128E-2</v>
      </c>
      <c r="L99" s="18">
        <f t="shared" si="53"/>
        <v>3.516142546669218E-3</v>
      </c>
      <c r="M99" s="18">
        <f t="shared" si="54"/>
        <v>2.134835618829237E-2</v>
      </c>
      <c r="N99" s="18">
        <f t="shared" si="55"/>
        <v>6.3973334093065399E-3</v>
      </c>
      <c r="O99" s="18">
        <f t="shared" si="56"/>
        <v>7.7169904900297494E-3</v>
      </c>
      <c r="W99" s="18">
        <f t="shared" ca="1" si="57"/>
        <v>0.19</v>
      </c>
      <c r="X99" s="18">
        <f t="shared" ca="1" si="57"/>
        <v>0.68</v>
      </c>
      <c r="Y99" s="18">
        <f t="shared" ca="1" si="57"/>
        <v>0.17</v>
      </c>
      <c r="Z99" s="18">
        <f t="shared" ca="1" si="57"/>
        <v>0.74</v>
      </c>
      <c r="AA99" s="18">
        <f t="shared" ca="1" si="30"/>
        <v>1</v>
      </c>
      <c r="AB99" s="18">
        <f t="shared" ca="1" si="31"/>
        <v>2.7800000000000002</v>
      </c>
      <c r="AC99" s="18">
        <f t="shared" ca="1" si="32"/>
        <v>6.8345323741007186E-2</v>
      </c>
      <c r="AD99" s="18">
        <f t="shared" ca="1" si="33"/>
        <v>0.2446043165467626</v>
      </c>
      <c r="AE99" s="18">
        <f t="shared" ca="1" si="34"/>
        <v>6.1151079136690649E-2</v>
      </c>
      <c r="AF99" s="18">
        <f t="shared" ca="1" si="35"/>
        <v>0.26618705035971219</v>
      </c>
      <c r="AG99" s="18">
        <f t="shared" ca="1" si="36"/>
        <v>0.35971223021582732</v>
      </c>
      <c r="AH99" s="18">
        <f t="shared" ca="1" si="37"/>
        <v>1</v>
      </c>
      <c r="AI99" s="18" cm="1">
        <f t="array" aca="1" ref="AI99" ca="1">MMULT(MMULT(AC99:AG99,$Q$2:$U$6),TRANSPOSE(AC99:AG99))</f>
        <v>3.1917178997074023E-4</v>
      </c>
      <c r="AJ99" s="18">
        <f t="shared" ca="1" si="38"/>
        <v>-6.0955853184587057E-4</v>
      </c>
      <c r="AK99" s="18">
        <f t="shared" ca="1" si="39"/>
        <v>-5.7244466404327586E-2</v>
      </c>
      <c r="AL99" s="18">
        <f t="shared" ca="1" si="40"/>
        <v>-6.0955853184587057E-4</v>
      </c>
      <c r="AM99" s="18">
        <f t="shared" ca="1" si="41"/>
        <v>3.1917178997074023E-4</v>
      </c>
      <c r="AN99" s="18">
        <f t="shared" ca="1" si="42"/>
        <v>6.8345323741007186E-2</v>
      </c>
      <c r="AO99" s="18">
        <f t="shared" ca="1" si="43"/>
        <v>0.2446043165467626</v>
      </c>
      <c r="AP99" s="18">
        <f t="shared" ca="1" si="44"/>
        <v>6.1151079136690649E-2</v>
      </c>
      <c r="AQ99" s="18">
        <f t="shared" ca="1" si="45"/>
        <v>0.26618705035971219</v>
      </c>
      <c r="AR99" s="18">
        <f t="shared" ca="1" si="46"/>
        <v>0.35971223021582732</v>
      </c>
    </row>
    <row r="100" spans="1:44">
      <c r="A100" s="20">
        <v>27.5</v>
      </c>
      <c r="B100" s="20">
        <v>25.8</v>
      </c>
      <c r="C100" s="20">
        <v>302.3</v>
      </c>
      <c r="D100" s="21">
        <v>42.5</v>
      </c>
      <c r="E100" s="20">
        <v>150.1</v>
      </c>
      <c r="F100" s="18">
        <f t="shared" si="47"/>
        <v>-3.2203140494634706E-2</v>
      </c>
      <c r="G100" s="18">
        <f t="shared" si="48"/>
        <v>1.1696039763191236E-2</v>
      </c>
      <c r="H100" s="18">
        <f t="shared" si="49"/>
        <v>-1.4124064652301467E-2</v>
      </c>
      <c r="I100" s="18">
        <f t="shared" si="50"/>
        <v>-3.9220713153281385E-2</v>
      </c>
      <c r="J100" s="18">
        <f t="shared" si="51"/>
        <v>1.2739025777429712E-2</v>
      </c>
      <c r="K100" s="18">
        <f t="shared" si="52"/>
        <v>-3.2616276087855042E-2</v>
      </c>
      <c r="L100" s="18">
        <f t="shared" si="53"/>
        <v>1.1282904169970897E-2</v>
      </c>
      <c r="M100" s="18">
        <f t="shared" si="54"/>
        <v>-1.4537200245521806E-2</v>
      </c>
      <c r="N100" s="18">
        <f t="shared" si="55"/>
        <v>-3.9633848746501721E-2</v>
      </c>
      <c r="O100" s="18">
        <f t="shared" si="56"/>
        <v>1.2325890184209373E-2</v>
      </c>
      <c r="W100" s="18">
        <f t="shared" ca="1" si="57"/>
        <v>0.96</v>
      </c>
      <c r="X100" s="18">
        <f t="shared" ca="1" si="57"/>
        <v>0.18</v>
      </c>
      <c r="Y100" s="18">
        <f t="shared" ca="1" si="57"/>
        <v>0.69</v>
      </c>
      <c r="Z100" s="18">
        <f t="shared" ca="1" si="57"/>
        <v>0.45</v>
      </c>
      <c r="AA100" s="18">
        <f t="shared" ca="1" si="30"/>
        <v>0.72</v>
      </c>
      <c r="AB100" s="18">
        <f t="shared" ca="1" si="31"/>
        <v>3</v>
      </c>
      <c r="AC100" s="18">
        <f t="shared" ca="1" si="32"/>
        <v>0.32</v>
      </c>
      <c r="AD100" s="18">
        <f t="shared" ca="1" si="33"/>
        <v>0.06</v>
      </c>
      <c r="AE100" s="18">
        <f t="shared" ca="1" si="34"/>
        <v>0.22999999999999998</v>
      </c>
      <c r="AF100" s="18">
        <f t="shared" ca="1" si="35"/>
        <v>0.15</v>
      </c>
      <c r="AG100" s="18">
        <f t="shared" ca="1" si="36"/>
        <v>0.24</v>
      </c>
      <c r="AH100" s="18">
        <f t="shared" ca="1" si="37"/>
        <v>1</v>
      </c>
      <c r="AI100" s="18" cm="1">
        <f t="array" aca="1" ref="AI100" ca="1">MMULT(MMULT(AC100:AG100,$Q$2:$U$6),TRANSPOSE(AC100:AG100))</f>
        <v>1.961986295596219E-4</v>
      </c>
      <c r="AJ100" s="18">
        <f t="shared" ca="1" si="38"/>
        <v>-6.0249113142200764E-4</v>
      </c>
      <c r="AK100" s="18">
        <f t="shared" ca="1" si="39"/>
        <v>-7.2508034943758515E-2</v>
      </c>
      <c r="AL100" s="18">
        <f t="shared" ca="1" si="40"/>
        <v>-6.0249113142200764E-4</v>
      </c>
      <c r="AM100" s="18">
        <f t="shared" ca="1" si="41"/>
        <v>1.961986295596219E-4</v>
      </c>
      <c r="AN100" s="18">
        <f t="shared" ca="1" si="42"/>
        <v>0.32</v>
      </c>
      <c r="AO100" s="18">
        <f t="shared" ca="1" si="43"/>
        <v>0.06</v>
      </c>
      <c r="AP100" s="18">
        <f t="shared" ca="1" si="44"/>
        <v>0.22999999999999998</v>
      </c>
      <c r="AQ100" s="18">
        <f t="shared" ca="1" si="45"/>
        <v>0.15</v>
      </c>
      <c r="AR100" s="18">
        <f t="shared" ca="1" si="46"/>
        <v>0.24</v>
      </c>
    </row>
    <row r="101" spans="1:44">
      <c r="A101" s="20">
        <v>27.2</v>
      </c>
      <c r="B101" s="20">
        <v>25.2</v>
      </c>
      <c r="C101" s="20">
        <v>287.89999999999998</v>
      </c>
      <c r="D101" s="21">
        <v>42.7</v>
      </c>
      <c r="E101" s="20">
        <v>144.80000000000001</v>
      </c>
      <c r="F101" s="18">
        <f t="shared" si="47"/>
        <v>-1.0969031370574046E-2</v>
      </c>
      <c r="G101" s="18">
        <f t="shared" si="48"/>
        <v>-2.3530497410194161E-2</v>
      </c>
      <c r="H101" s="18">
        <f t="shared" si="49"/>
        <v>-4.880670416728234E-2</v>
      </c>
      <c r="I101" s="18">
        <f t="shared" si="50"/>
        <v>4.6948443042078847E-3</v>
      </c>
      <c r="J101" s="18">
        <f t="shared" si="51"/>
        <v>-3.5948258687800216E-2</v>
      </c>
      <c r="K101" s="18">
        <f t="shared" si="52"/>
        <v>-1.1382166963794385E-2</v>
      </c>
      <c r="L101" s="18">
        <f t="shared" si="53"/>
        <v>-2.39436330034145E-2</v>
      </c>
      <c r="M101" s="18">
        <f t="shared" si="54"/>
        <v>-4.9219839760502676E-2</v>
      </c>
      <c r="N101" s="18">
        <f t="shared" si="55"/>
        <v>4.2817087109875453E-3</v>
      </c>
      <c r="O101" s="18">
        <f t="shared" si="56"/>
        <v>-3.6361394281020552E-2</v>
      </c>
      <c r="W101" s="18">
        <f t="shared" ca="1" si="57"/>
        <v>0.81</v>
      </c>
      <c r="X101" s="18">
        <f t="shared" ca="1" si="57"/>
        <v>0.8</v>
      </c>
      <c r="Y101" s="18">
        <f t="shared" ca="1" si="57"/>
        <v>0.88</v>
      </c>
      <c r="Z101" s="18">
        <f t="shared" ca="1" si="57"/>
        <v>0.43</v>
      </c>
      <c r="AA101" s="18">
        <f t="shared" ca="1" si="30"/>
        <v>0.28000000000000003</v>
      </c>
      <c r="AB101" s="18">
        <f t="shared" ca="1" si="31"/>
        <v>3.2</v>
      </c>
      <c r="AC101" s="18">
        <f t="shared" ca="1" si="32"/>
        <v>0.25312499999999999</v>
      </c>
      <c r="AD101" s="18">
        <f t="shared" ca="1" si="33"/>
        <v>0.25</v>
      </c>
      <c r="AE101" s="18">
        <f t="shared" ca="1" si="34"/>
        <v>0.27499999999999997</v>
      </c>
      <c r="AF101" s="18">
        <f t="shared" ca="1" si="35"/>
        <v>0.13437499999999999</v>
      </c>
      <c r="AG101" s="18">
        <f t="shared" ca="1" si="36"/>
        <v>8.7500000000000008E-2</v>
      </c>
      <c r="AH101" s="18">
        <f t="shared" ca="1" si="37"/>
        <v>1</v>
      </c>
      <c r="AI101" s="18" cm="1">
        <f t="array" aca="1" ref="AI101" ca="1">MMULT(MMULT(AC101:AG101,$Q$2:$U$6),TRANSPOSE(AC101:AG101))</f>
        <v>1.4418838052965841E-4</v>
      </c>
      <c r="AJ101" s="18">
        <f t="shared" ca="1" si="38"/>
        <v>-4.9198702101444849E-3</v>
      </c>
      <c r="AK101" s="18">
        <f t="shared" ca="1" si="39"/>
        <v>-0.44412674234186961</v>
      </c>
      <c r="AL101" s="18">
        <f t="shared" ca="1" si="40"/>
        <v>-4.9198702101444849E-3</v>
      </c>
      <c r="AM101" s="18">
        <f t="shared" ca="1" si="41"/>
        <v>1.4418838052965841E-4</v>
      </c>
      <c r="AN101" s="18">
        <f t="shared" ca="1" si="42"/>
        <v>0.25312499999999999</v>
      </c>
      <c r="AO101" s="18">
        <f t="shared" ca="1" si="43"/>
        <v>0.25</v>
      </c>
      <c r="AP101" s="18">
        <f t="shared" ca="1" si="44"/>
        <v>0.27499999999999997</v>
      </c>
      <c r="AQ101" s="18">
        <f t="shared" ca="1" si="45"/>
        <v>0.13437499999999999</v>
      </c>
      <c r="AR101" s="18">
        <f t="shared" ca="1" si="46"/>
        <v>8.7500000000000008E-2</v>
      </c>
    </row>
    <row r="102" spans="1:44">
      <c r="A102" s="20">
        <v>27.7</v>
      </c>
      <c r="B102" s="20">
        <v>25.1</v>
      </c>
      <c r="C102" s="20">
        <v>285.7</v>
      </c>
      <c r="D102" s="21">
        <v>43.1</v>
      </c>
      <c r="E102" s="20">
        <v>136.4</v>
      </c>
      <c r="F102" s="18">
        <f t="shared" si="47"/>
        <v>1.8215439891341119E-2</v>
      </c>
      <c r="G102" s="18">
        <f t="shared" si="48"/>
        <v>-3.9761483796392945E-3</v>
      </c>
      <c r="H102" s="18">
        <f t="shared" si="49"/>
        <v>-7.6708883814027911E-3</v>
      </c>
      <c r="I102" s="18">
        <f t="shared" si="50"/>
        <v>9.3240768751232436E-3</v>
      </c>
      <c r="J102" s="18">
        <f t="shared" si="51"/>
        <v>-5.9761734542254287E-2</v>
      </c>
      <c r="K102" s="18">
        <f t="shared" si="52"/>
        <v>1.7802304298120779E-2</v>
      </c>
      <c r="L102" s="18">
        <f t="shared" si="53"/>
        <v>-4.3892839728596339E-3</v>
      </c>
      <c r="M102" s="18">
        <f t="shared" si="54"/>
        <v>-8.0840239746231297E-3</v>
      </c>
      <c r="N102" s="18">
        <f t="shared" si="55"/>
        <v>8.9109412819029041E-3</v>
      </c>
      <c r="O102" s="18">
        <f t="shared" si="56"/>
        <v>-6.0174870135474623E-2</v>
      </c>
      <c r="W102" s="18">
        <f t="shared" ca="1" si="57"/>
        <v>0.8</v>
      </c>
      <c r="X102" s="18">
        <f t="shared" ca="1" si="57"/>
        <v>0.42</v>
      </c>
      <c r="Y102" s="18">
        <f t="shared" ca="1" si="57"/>
        <v>0.7</v>
      </c>
      <c r="Z102" s="18">
        <f t="shared" ca="1" si="57"/>
        <v>0.84</v>
      </c>
      <c r="AA102" s="18">
        <f t="shared" ca="1" si="30"/>
        <v>0.21</v>
      </c>
      <c r="AB102" s="18">
        <f t="shared" ca="1" si="31"/>
        <v>2.9699999999999998</v>
      </c>
      <c r="AC102" s="18">
        <f t="shared" ca="1" si="32"/>
        <v>0.26936026936026941</v>
      </c>
      <c r="AD102" s="18">
        <f t="shared" ca="1" si="33"/>
        <v>0.14141414141414141</v>
      </c>
      <c r="AE102" s="18">
        <f t="shared" ca="1" si="34"/>
        <v>0.2356902356902357</v>
      </c>
      <c r="AF102" s="18">
        <f t="shared" ca="1" si="35"/>
        <v>0.28282828282828282</v>
      </c>
      <c r="AG102" s="18">
        <f t="shared" ca="1" si="36"/>
        <v>7.0707070707070704E-2</v>
      </c>
      <c r="AH102" s="18">
        <f t="shared" ca="1" si="37"/>
        <v>1</v>
      </c>
      <c r="AI102" s="18" cm="1">
        <f t="array" aca="1" ref="AI102" ca="1">MMULT(MMULT(AC102:AG102,$Q$2:$U$6),TRANSPOSE(AC102:AG102))</f>
        <v>2.0334496025101439E-4</v>
      </c>
      <c r="AJ102" s="18">
        <f t="shared" ca="1" si="38"/>
        <v>-1.3627311527098702E-3</v>
      </c>
      <c r="AK102" s="18">
        <f t="shared" ca="1" si="39"/>
        <v>-0.1245356432479026</v>
      </c>
      <c r="AL102" s="18">
        <f t="shared" ca="1" si="40"/>
        <v>-1.3627311527098702E-3</v>
      </c>
      <c r="AM102" s="18">
        <f t="shared" ca="1" si="41"/>
        <v>2.0334496025101439E-4</v>
      </c>
      <c r="AN102" s="18">
        <f t="shared" ca="1" si="42"/>
        <v>0.26936026936026941</v>
      </c>
      <c r="AO102" s="18">
        <f t="shared" ca="1" si="43"/>
        <v>0.14141414141414141</v>
      </c>
      <c r="AP102" s="18">
        <f t="shared" ca="1" si="44"/>
        <v>0.2356902356902357</v>
      </c>
      <c r="AQ102" s="18">
        <f t="shared" ca="1" si="45"/>
        <v>0.28282828282828282</v>
      </c>
      <c r="AR102" s="18">
        <f t="shared" ca="1" si="46"/>
        <v>7.0707070707070704E-2</v>
      </c>
    </row>
    <row r="103" spans="1:44">
      <c r="A103" s="20">
        <v>27.5</v>
      </c>
      <c r="B103" s="20">
        <v>24.5</v>
      </c>
      <c r="C103" s="20">
        <v>289.8</v>
      </c>
      <c r="D103" s="21">
        <v>43.4</v>
      </c>
      <c r="E103" s="20">
        <v>135.9</v>
      </c>
      <c r="F103" s="18">
        <f t="shared" si="47"/>
        <v>-7.2464085207671978E-3</v>
      </c>
      <c r="G103" s="18">
        <f t="shared" si="48"/>
        <v>-2.4194728587056992E-2</v>
      </c>
      <c r="H103" s="18">
        <f t="shared" si="49"/>
        <v>1.4248720649854623E-2</v>
      </c>
      <c r="I103" s="18">
        <f t="shared" si="50"/>
        <v>6.9364439966569484E-3</v>
      </c>
      <c r="J103" s="18">
        <f t="shared" si="51"/>
        <v>-3.672424252263694E-3</v>
      </c>
      <c r="K103" s="18">
        <f t="shared" si="52"/>
        <v>-7.6595441139875372E-3</v>
      </c>
      <c r="L103" s="18">
        <f t="shared" si="53"/>
        <v>-2.4607864180277331E-2</v>
      </c>
      <c r="M103" s="18">
        <f t="shared" si="54"/>
        <v>1.3835585056634283E-2</v>
      </c>
      <c r="N103" s="18">
        <f t="shared" si="55"/>
        <v>6.523308403436609E-3</v>
      </c>
      <c r="O103" s="18">
        <f t="shared" si="56"/>
        <v>-4.0855598454840325E-3</v>
      </c>
      <c r="W103" s="18">
        <f t="shared" ca="1" si="57"/>
        <v>0.73</v>
      </c>
      <c r="X103" s="18">
        <f t="shared" ca="1" si="57"/>
        <v>0.01</v>
      </c>
      <c r="Y103" s="18">
        <f t="shared" ca="1" si="57"/>
        <v>0.56000000000000005</v>
      </c>
      <c r="Z103" s="18">
        <f t="shared" ca="1" si="57"/>
        <v>0.94</v>
      </c>
      <c r="AA103" s="18">
        <f t="shared" ca="1" si="30"/>
        <v>0.75</v>
      </c>
      <c r="AB103" s="18">
        <f t="shared" ca="1" si="31"/>
        <v>2.99</v>
      </c>
      <c r="AC103" s="18">
        <f t="shared" ca="1" si="32"/>
        <v>0.24414715719063543</v>
      </c>
      <c r="AD103" s="18">
        <f t="shared" ca="1" si="33"/>
        <v>3.3444816053511705E-3</v>
      </c>
      <c r="AE103" s="18">
        <f t="shared" ca="1" si="34"/>
        <v>0.18729096989966557</v>
      </c>
      <c r="AF103" s="18">
        <f t="shared" ca="1" si="35"/>
        <v>0.31438127090300999</v>
      </c>
      <c r="AG103" s="18">
        <f t="shared" ca="1" si="36"/>
        <v>0.25083612040133779</v>
      </c>
      <c r="AH103" s="18">
        <f t="shared" ca="1" si="37"/>
        <v>1</v>
      </c>
      <c r="AI103" s="18" cm="1">
        <f t="array" aca="1" ref="AI103" ca="1">MMULT(MMULT(AC103:AG103,$Q$2:$U$6),TRANSPOSE(AC103:AG103))</f>
        <v>2.758604132550902E-4</v>
      </c>
      <c r="AJ103" s="18">
        <f t="shared" ca="1" si="38"/>
        <v>1.8746736007365598E-3</v>
      </c>
      <c r="AK103" s="18">
        <f t="shared" ca="1" si="39"/>
        <v>8.7996504815751483E-2</v>
      </c>
      <c r="AL103" s="18">
        <f t="shared" ca="1" si="40"/>
        <v>1.8746736007365598E-3</v>
      </c>
      <c r="AM103" s="18">
        <f t="shared" ca="1" si="41"/>
        <v>2.758604132550902E-4</v>
      </c>
      <c r="AN103" s="18">
        <f t="shared" ca="1" si="42"/>
        <v>0.24414715719063543</v>
      </c>
      <c r="AO103" s="18">
        <f t="shared" ca="1" si="43"/>
        <v>3.3444816053511705E-3</v>
      </c>
      <c r="AP103" s="18">
        <f t="shared" ca="1" si="44"/>
        <v>0.18729096989966557</v>
      </c>
      <c r="AQ103" s="18">
        <f t="shared" ca="1" si="45"/>
        <v>0.31438127090300999</v>
      </c>
      <c r="AR103" s="18">
        <f t="shared" ca="1" si="46"/>
        <v>0.25083612040133779</v>
      </c>
    </row>
    <row r="104" spans="1:44">
      <c r="A104" s="20">
        <v>26.8</v>
      </c>
      <c r="B104" s="20">
        <v>23.7</v>
      </c>
      <c r="C104" s="20">
        <v>296.2</v>
      </c>
      <c r="D104" s="21">
        <v>43.1</v>
      </c>
      <c r="E104" s="20">
        <v>136.1</v>
      </c>
      <c r="F104" s="18">
        <f t="shared" si="47"/>
        <v>-2.5784117155714555E-2</v>
      </c>
      <c r="G104" s="18">
        <f t="shared" si="48"/>
        <v>-3.3198069409595861E-2</v>
      </c>
      <c r="H104" s="18">
        <f t="shared" si="49"/>
        <v>2.1843871947116251E-2</v>
      </c>
      <c r="I104" s="18">
        <f t="shared" si="50"/>
        <v>-6.9364439966569866E-3</v>
      </c>
      <c r="J104" s="18">
        <f t="shared" si="51"/>
        <v>1.47058850032222E-3</v>
      </c>
      <c r="K104" s="18">
        <f t="shared" si="52"/>
        <v>-2.6197252748934894E-2</v>
      </c>
      <c r="L104" s="18">
        <f t="shared" si="53"/>
        <v>-3.3611205002816197E-2</v>
      </c>
      <c r="M104" s="18">
        <f t="shared" si="54"/>
        <v>2.1430736353895911E-2</v>
      </c>
      <c r="N104" s="18">
        <f t="shared" si="55"/>
        <v>-7.349579589877326E-3</v>
      </c>
      <c r="O104" s="18">
        <f t="shared" si="56"/>
        <v>1.057452907101881E-3</v>
      </c>
      <c r="W104" s="18">
        <f t="shared" ca="1" si="57"/>
        <v>0.56999999999999995</v>
      </c>
      <c r="X104" s="18">
        <f t="shared" ca="1" si="57"/>
        <v>0.19</v>
      </c>
      <c r="Y104" s="18">
        <f t="shared" ca="1" si="57"/>
        <v>0.49</v>
      </c>
      <c r="Z104" s="18">
        <f t="shared" ca="1" si="57"/>
        <v>0.42</v>
      </c>
      <c r="AA104" s="18">
        <f t="shared" ca="1" si="30"/>
        <v>0.04</v>
      </c>
      <c r="AB104" s="18">
        <f t="shared" ca="1" si="31"/>
        <v>1.71</v>
      </c>
      <c r="AC104" s="18">
        <f t="shared" ca="1" si="32"/>
        <v>0.33333333333333331</v>
      </c>
      <c r="AD104" s="18">
        <f t="shared" ca="1" si="33"/>
        <v>0.11111111111111112</v>
      </c>
      <c r="AE104" s="18">
        <f t="shared" ca="1" si="34"/>
        <v>0.28654970760233917</v>
      </c>
      <c r="AF104" s="18">
        <f t="shared" ca="1" si="35"/>
        <v>0.24561403508771928</v>
      </c>
      <c r="AG104" s="18">
        <f t="shared" ca="1" si="36"/>
        <v>2.3391812865497078E-2</v>
      </c>
      <c r="AH104" s="18">
        <f t="shared" ca="1" si="37"/>
        <v>0.99999999999999989</v>
      </c>
      <c r="AI104" s="18" cm="1">
        <f t="array" aca="1" ref="AI104" ca="1">MMULT(MMULT(AC104:AG104,$Q$2:$U$6),TRANSPOSE(AC104:AG104))</f>
        <v>1.8715773403360655E-4</v>
      </c>
      <c r="AJ104" s="18">
        <f t="shared" ca="1" si="38"/>
        <v>-1.8320593035557333E-3</v>
      </c>
      <c r="AK104" s="18">
        <f t="shared" ca="1" si="39"/>
        <v>-0.1641157104737401</v>
      </c>
      <c r="AL104" s="18">
        <f t="shared" ca="1" si="40"/>
        <v>-1.8320593035557333E-3</v>
      </c>
      <c r="AM104" s="18">
        <f t="shared" ca="1" si="41"/>
        <v>1.8715773403360655E-4</v>
      </c>
      <c r="AN104" s="18">
        <f t="shared" ca="1" si="42"/>
        <v>0.33333333333333331</v>
      </c>
      <c r="AO104" s="18">
        <f t="shared" ca="1" si="43"/>
        <v>0.11111111111111112</v>
      </c>
      <c r="AP104" s="18">
        <f t="shared" ca="1" si="44"/>
        <v>0.28654970760233917</v>
      </c>
      <c r="AQ104" s="18">
        <f t="shared" ca="1" si="45"/>
        <v>0.24561403508771928</v>
      </c>
      <c r="AR104" s="18">
        <f t="shared" ca="1" si="46"/>
        <v>2.3391812865497078E-2</v>
      </c>
    </row>
    <row r="105" spans="1:44">
      <c r="A105" s="20">
        <v>26.8</v>
      </c>
      <c r="B105" s="20">
        <v>23.7</v>
      </c>
      <c r="C105" s="20">
        <v>321.8</v>
      </c>
      <c r="D105" s="21">
        <v>44</v>
      </c>
      <c r="E105" s="20">
        <v>123.8</v>
      </c>
      <c r="F105" s="18">
        <f t="shared" si="47"/>
        <v>0</v>
      </c>
      <c r="G105" s="18">
        <f t="shared" si="48"/>
        <v>0</v>
      </c>
      <c r="H105" s="18">
        <f t="shared" si="49"/>
        <v>8.2895332724584547E-2</v>
      </c>
      <c r="I105" s="18">
        <f t="shared" si="50"/>
        <v>2.0666636808559125E-2</v>
      </c>
      <c r="J105" s="18">
        <f t="shared" si="51"/>
        <v>-9.4722549406924636E-2</v>
      </c>
      <c r="K105" s="18">
        <f t="shared" si="52"/>
        <v>-4.1313559322033898E-4</v>
      </c>
      <c r="L105" s="18">
        <f t="shared" si="53"/>
        <v>-4.1313559322033898E-4</v>
      </c>
      <c r="M105" s="18">
        <f t="shared" si="54"/>
        <v>8.2482197131364204E-2</v>
      </c>
      <c r="N105" s="18">
        <f t="shared" si="55"/>
        <v>2.0253501215338785E-2</v>
      </c>
      <c r="O105" s="18">
        <f t="shared" si="56"/>
        <v>-9.5135685000144979E-2</v>
      </c>
      <c r="W105" s="18">
        <f t="shared" ca="1" si="57"/>
        <v>0.38</v>
      </c>
      <c r="X105" s="18">
        <f t="shared" ca="1" si="57"/>
        <v>0.87</v>
      </c>
      <c r="Y105" s="18">
        <f t="shared" ca="1" si="57"/>
        <v>0.76</v>
      </c>
      <c r="Z105" s="18">
        <f t="shared" ca="1" si="57"/>
        <v>0.47</v>
      </c>
      <c r="AA105" s="18">
        <f t="shared" ca="1" si="30"/>
        <v>0.75</v>
      </c>
      <c r="AB105" s="18">
        <f t="shared" ca="1" si="31"/>
        <v>3.2299999999999995</v>
      </c>
      <c r="AC105" s="18">
        <f t="shared" ca="1" si="32"/>
        <v>0.11764705882352942</v>
      </c>
      <c r="AD105" s="18">
        <f t="shared" ca="1" si="33"/>
        <v>0.26934984520123845</v>
      </c>
      <c r="AE105" s="18">
        <f t="shared" ca="1" si="34"/>
        <v>0.23529411764705885</v>
      </c>
      <c r="AF105" s="18">
        <f t="shared" ca="1" si="35"/>
        <v>0.14551083591331271</v>
      </c>
      <c r="AG105" s="18">
        <f t="shared" ca="1" si="36"/>
        <v>0.23219814241486073</v>
      </c>
      <c r="AH105" s="18">
        <f t="shared" ca="1" si="37"/>
        <v>1.0000000000000002</v>
      </c>
      <c r="AI105" s="18" cm="1">
        <f t="array" aca="1" ref="AI105" ca="1">MMULT(MMULT(AC105:AG105,$Q$2:$U$6),TRANSPOSE(AC105:AG105))</f>
        <v>1.8685413503961157E-4</v>
      </c>
      <c r="AJ105" s="18">
        <f t="shared" ca="1" si="38"/>
        <v>-5.0009866502092803E-3</v>
      </c>
      <c r="AK105" s="18">
        <f t="shared" ca="1" si="39"/>
        <v>-0.39607433412606685</v>
      </c>
      <c r="AL105" s="18">
        <f t="shared" ca="1" si="40"/>
        <v>-5.0009866502092803E-3</v>
      </c>
      <c r="AM105" s="18">
        <f t="shared" ca="1" si="41"/>
        <v>1.8685413503961157E-4</v>
      </c>
      <c r="AN105" s="18">
        <f t="shared" ca="1" si="42"/>
        <v>0.11764705882352942</v>
      </c>
      <c r="AO105" s="18">
        <f t="shared" ca="1" si="43"/>
        <v>0.26934984520123845</v>
      </c>
      <c r="AP105" s="18">
        <f t="shared" ca="1" si="44"/>
        <v>0.23529411764705885</v>
      </c>
      <c r="AQ105" s="18">
        <f t="shared" ca="1" si="45"/>
        <v>0.14551083591331271</v>
      </c>
      <c r="AR105" s="18">
        <f t="shared" ca="1" si="46"/>
        <v>0.23219814241486073</v>
      </c>
    </row>
    <row r="106" spans="1:44">
      <c r="A106" s="20">
        <v>26.3</v>
      </c>
      <c r="B106" s="20">
        <v>23.2</v>
      </c>
      <c r="C106" s="20">
        <v>328.6</v>
      </c>
      <c r="D106" s="21">
        <v>44.7</v>
      </c>
      <c r="E106" s="20">
        <v>119.8</v>
      </c>
      <c r="F106" s="18">
        <f t="shared" si="47"/>
        <v>-1.8832948333092125E-2</v>
      </c>
      <c r="G106" s="18">
        <f t="shared" si="48"/>
        <v>-2.1322769468821192E-2</v>
      </c>
      <c r="H106" s="18">
        <f t="shared" si="49"/>
        <v>2.0910971044884884E-2</v>
      </c>
      <c r="I106" s="18">
        <f t="shared" si="50"/>
        <v>1.5783867701261951E-2</v>
      </c>
      <c r="J106" s="18">
        <f t="shared" si="51"/>
        <v>-3.2843674569146809E-2</v>
      </c>
      <c r="K106" s="18">
        <f t="shared" si="52"/>
        <v>-1.9246083926312465E-2</v>
      </c>
      <c r="L106" s="18">
        <f t="shared" si="53"/>
        <v>-2.1735905062041531E-2</v>
      </c>
      <c r="M106" s="18">
        <f t="shared" si="54"/>
        <v>2.0497835451664545E-2</v>
      </c>
      <c r="N106" s="18">
        <f t="shared" si="55"/>
        <v>1.5370732108041612E-2</v>
      </c>
      <c r="O106" s="18">
        <f t="shared" si="56"/>
        <v>-3.3256810162367145E-2</v>
      </c>
      <c r="W106" s="18">
        <f t="shared" ca="1" si="57"/>
        <v>0.18</v>
      </c>
      <c r="X106" s="18">
        <f t="shared" ca="1" si="57"/>
        <v>0.88</v>
      </c>
      <c r="Y106" s="18">
        <f t="shared" ca="1" si="57"/>
        <v>0.89</v>
      </c>
      <c r="Z106" s="18">
        <f t="shared" ca="1" si="57"/>
        <v>0.67</v>
      </c>
      <c r="AA106" s="18">
        <f t="shared" ca="1" si="30"/>
        <v>0.22</v>
      </c>
      <c r="AB106" s="18">
        <f t="shared" ca="1" si="31"/>
        <v>2.8400000000000003</v>
      </c>
      <c r="AC106" s="18">
        <f t="shared" ca="1" si="32"/>
        <v>6.338028169014083E-2</v>
      </c>
      <c r="AD106" s="18">
        <f t="shared" ca="1" si="33"/>
        <v>0.30985915492957744</v>
      </c>
      <c r="AE106" s="18">
        <f t="shared" ca="1" si="34"/>
        <v>0.31338028169014082</v>
      </c>
      <c r="AF106" s="18">
        <f t="shared" ca="1" si="35"/>
        <v>0.23591549295774647</v>
      </c>
      <c r="AG106" s="18">
        <f t="shared" ca="1" si="36"/>
        <v>7.746478873239436E-2</v>
      </c>
      <c r="AH106" s="18">
        <f t="shared" ca="1" si="37"/>
        <v>0.99999999999999989</v>
      </c>
      <c r="AI106" s="18" cm="1">
        <f t="array" aca="1" ref="AI106" ca="1">MMULT(MMULT(AC106:AG106,$Q$2:$U$6),TRANSPOSE(AC106:AG106))</f>
        <v>1.8217969271424429E-4</v>
      </c>
      <c r="AJ106" s="18">
        <f t="shared" ca="1" si="38"/>
        <v>-6.8345827513600858E-3</v>
      </c>
      <c r="AK106" s="18">
        <f t="shared" ca="1" si="39"/>
        <v>-0.53697161032059038</v>
      </c>
      <c r="AL106" s="18">
        <f t="shared" ca="1" si="40"/>
        <v>-6.8345827513600858E-3</v>
      </c>
      <c r="AM106" s="18">
        <f t="shared" ca="1" si="41"/>
        <v>1.8217969271424429E-4</v>
      </c>
      <c r="AN106" s="18">
        <f t="shared" ca="1" si="42"/>
        <v>6.338028169014083E-2</v>
      </c>
      <c r="AO106" s="18">
        <f t="shared" ca="1" si="43"/>
        <v>0.30985915492957744</v>
      </c>
      <c r="AP106" s="18">
        <f t="shared" ca="1" si="44"/>
        <v>0.31338028169014082</v>
      </c>
      <c r="AQ106" s="18">
        <f t="shared" ca="1" si="45"/>
        <v>0.23591549295774647</v>
      </c>
      <c r="AR106" s="18">
        <f t="shared" ca="1" si="46"/>
        <v>7.746478873239436E-2</v>
      </c>
    </row>
    <row r="107" spans="1:44">
      <c r="A107" s="20">
        <v>25.8</v>
      </c>
      <c r="B107" s="20">
        <v>22.5</v>
      </c>
      <c r="C107" s="20">
        <v>312.7</v>
      </c>
      <c r="D107" s="21">
        <v>42.5</v>
      </c>
      <c r="E107" s="20">
        <v>124.1</v>
      </c>
      <c r="F107" s="18">
        <f t="shared" si="47"/>
        <v>-1.919444725614718E-2</v>
      </c>
      <c r="G107" s="18">
        <f t="shared" si="48"/>
        <v>-3.0636969461889801E-2</v>
      </c>
      <c r="H107" s="18">
        <f t="shared" si="49"/>
        <v>-4.9596941139372179E-2</v>
      </c>
      <c r="I107" s="18">
        <f t="shared" si="50"/>
        <v>-5.0469425689152081E-2</v>
      </c>
      <c r="J107" s="18">
        <f t="shared" si="51"/>
        <v>3.5264006529212626E-2</v>
      </c>
      <c r="K107" s="18">
        <f t="shared" si="52"/>
        <v>-1.9607582849367519E-2</v>
      </c>
      <c r="L107" s="18">
        <f t="shared" si="53"/>
        <v>-3.105010505511014E-2</v>
      </c>
      <c r="M107" s="18">
        <f t="shared" si="54"/>
        <v>-5.0010076732592515E-2</v>
      </c>
      <c r="N107" s="18">
        <f t="shared" si="55"/>
        <v>-5.0882561282372417E-2</v>
      </c>
      <c r="O107" s="18">
        <f t="shared" si="56"/>
        <v>3.485087093599229E-2</v>
      </c>
      <c r="W107" s="18">
        <f t="shared" ca="1" si="57"/>
        <v>0.59</v>
      </c>
      <c r="X107" s="18">
        <f t="shared" ca="1" si="57"/>
        <v>0.54</v>
      </c>
      <c r="Y107" s="18">
        <f t="shared" ca="1" si="57"/>
        <v>0.59</v>
      </c>
      <c r="Z107" s="18">
        <f t="shared" ca="1" si="57"/>
        <v>0.27</v>
      </c>
      <c r="AA107" s="18">
        <f t="shared" ca="1" si="30"/>
        <v>0.66</v>
      </c>
      <c r="AB107" s="18">
        <f t="shared" ca="1" si="31"/>
        <v>2.65</v>
      </c>
      <c r="AC107" s="18">
        <f t="shared" ca="1" si="32"/>
        <v>0.22264150943396227</v>
      </c>
      <c r="AD107" s="18">
        <f t="shared" ca="1" si="33"/>
        <v>0.20377358490566039</v>
      </c>
      <c r="AE107" s="18">
        <f t="shared" ca="1" si="34"/>
        <v>0.22264150943396227</v>
      </c>
      <c r="AF107" s="18">
        <f t="shared" ca="1" si="35"/>
        <v>0.10188679245283019</v>
      </c>
      <c r="AG107" s="18">
        <f t="shared" ca="1" si="36"/>
        <v>0.24905660377358493</v>
      </c>
      <c r="AH107" s="18">
        <f t="shared" ca="1" si="37"/>
        <v>1</v>
      </c>
      <c r="AI107" s="18" cm="1">
        <f t="array" aca="1" ref="AI107" ca="1">MMULT(MMULT(AC107:AG107,$Q$2:$U$6),TRANSPOSE(AC107:AG107))</f>
        <v>1.8358833611473646E-4</v>
      </c>
      <c r="AJ107" s="18">
        <f t="shared" ca="1" si="38"/>
        <v>-3.5118509370844655E-3</v>
      </c>
      <c r="AK107" s="18">
        <f t="shared" ca="1" si="39"/>
        <v>-0.28967807632638398</v>
      </c>
      <c r="AL107" s="18">
        <f t="shared" ca="1" si="40"/>
        <v>-3.5118509370844655E-3</v>
      </c>
      <c r="AM107" s="18">
        <f t="shared" ca="1" si="41"/>
        <v>1.8358833611473646E-4</v>
      </c>
      <c r="AN107" s="18">
        <f t="shared" ca="1" si="42"/>
        <v>0.22264150943396227</v>
      </c>
      <c r="AO107" s="18">
        <f t="shared" ca="1" si="43"/>
        <v>0.20377358490566039</v>
      </c>
      <c r="AP107" s="18">
        <f t="shared" ca="1" si="44"/>
        <v>0.22264150943396227</v>
      </c>
      <c r="AQ107" s="18">
        <f t="shared" ca="1" si="45"/>
        <v>0.10188679245283019</v>
      </c>
      <c r="AR107" s="18">
        <f t="shared" ca="1" si="46"/>
        <v>0.24905660377358493</v>
      </c>
    </row>
    <row r="108" spans="1:44">
      <c r="A108" s="20">
        <v>25.8</v>
      </c>
      <c r="B108" s="20">
        <v>21.7</v>
      </c>
      <c r="C108" s="20">
        <v>300</v>
      </c>
      <c r="D108" s="21">
        <v>42.4</v>
      </c>
      <c r="E108" s="20">
        <v>125</v>
      </c>
      <c r="F108" s="18">
        <f t="shared" si="47"/>
        <v>0</v>
      </c>
      <c r="G108" s="18">
        <f t="shared" si="48"/>
        <v>-3.6203048663960589E-2</v>
      </c>
      <c r="H108" s="18">
        <f t="shared" si="49"/>
        <v>-4.1461789807594483E-2</v>
      </c>
      <c r="I108" s="18">
        <f t="shared" si="50"/>
        <v>-2.3557136924591479E-3</v>
      </c>
      <c r="J108" s="18">
        <f t="shared" si="51"/>
        <v>7.2260450917396276E-3</v>
      </c>
      <c r="K108" s="18">
        <f t="shared" si="52"/>
        <v>-4.1313559322033898E-4</v>
      </c>
      <c r="L108" s="18">
        <f t="shared" si="53"/>
        <v>-3.6616184257180925E-2</v>
      </c>
      <c r="M108" s="18">
        <f t="shared" si="54"/>
        <v>-4.1874925400814819E-2</v>
      </c>
      <c r="N108" s="18">
        <f t="shared" si="55"/>
        <v>-2.7688492856794869E-3</v>
      </c>
      <c r="O108" s="18">
        <f t="shared" si="56"/>
        <v>6.812909498519289E-3</v>
      </c>
      <c r="W108" s="18">
        <f t="shared" ca="1" si="57"/>
        <v>0.93</v>
      </c>
      <c r="X108" s="18">
        <f t="shared" ca="1" si="57"/>
        <v>0.38</v>
      </c>
      <c r="Y108" s="18">
        <f t="shared" ca="1" si="57"/>
        <v>0.82</v>
      </c>
      <c r="Z108" s="18">
        <f t="shared" ca="1" si="57"/>
        <v>0.82</v>
      </c>
      <c r="AA108" s="18">
        <f t="shared" ca="1" si="30"/>
        <v>0.47</v>
      </c>
      <c r="AB108" s="18">
        <f t="shared" ca="1" si="31"/>
        <v>3.42</v>
      </c>
      <c r="AC108" s="18">
        <f t="shared" ca="1" si="32"/>
        <v>0.27192982456140352</v>
      </c>
      <c r="AD108" s="18">
        <f t="shared" ca="1" si="33"/>
        <v>0.11111111111111112</v>
      </c>
      <c r="AE108" s="18">
        <f t="shared" ca="1" si="34"/>
        <v>0.23976608187134502</v>
      </c>
      <c r="AF108" s="18">
        <f t="shared" ca="1" si="35"/>
        <v>0.23976608187134502</v>
      </c>
      <c r="AG108" s="18">
        <f t="shared" ca="1" si="36"/>
        <v>0.13742690058479531</v>
      </c>
      <c r="AH108" s="18">
        <f t="shared" ca="1" si="37"/>
        <v>0.99999999999999989</v>
      </c>
      <c r="AI108" s="18" cm="1">
        <f t="array" aca="1" ref="AI108" ca="1">MMULT(MMULT(AC108:AG108,$Q$2:$U$6),TRANSPOSE(AC108:AG108))</f>
        <v>1.905727368368701E-4</v>
      </c>
      <c r="AJ108" s="18">
        <f t="shared" ca="1" si="38"/>
        <v>-1.2350414918874451E-3</v>
      </c>
      <c r="AK108" s="18">
        <f t="shared" ca="1" si="39"/>
        <v>-0.11939152136256799</v>
      </c>
      <c r="AL108" s="18">
        <f t="shared" ca="1" si="40"/>
        <v>-1.2350414918874451E-3</v>
      </c>
      <c r="AM108" s="18">
        <f t="shared" ca="1" si="41"/>
        <v>1.905727368368701E-4</v>
      </c>
      <c r="AN108" s="18">
        <f t="shared" ca="1" si="42"/>
        <v>0.27192982456140352</v>
      </c>
      <c r="AO108" s="18">
        <f t="shared" ca="1" si="43"/>
        <v>0.11111111111111112</v>
      </c>
      <c r="AP108" s="18">
        <f t="shared" ca="1" si="44"/>
        <v>0.23976608187134502</v>
      </c>
      <c r="AQ108" s="18">
        <f t="shared" ca="1" si="45"/>
        <v>0.23976608187134502</v>
      </c>
      <c r="AR108" s="18">
        <f t="shared" ca="1" si="46"/>
        <v>0.13742690058479531</v>
      </c>
    </row>
    <row r="109" spans="1:44">
      <c r="A109" s="20">
        <v>25.8</v>
      </c>
      <c r="B109" s="20">
        <v>21.4</v>
      </c>
      <c r="C109" s="20">
        <v>290.10000000000002</v>
      </c>
      <c r="D109" s="21">
        <v>43.1</v>
      </c>
      <c r="E109" s="20">
        <v>127.1</v>
      </c>
      <c r="F109" s="18">
        <f t="shared" si="47"/>
        <v>0</v>
      </c>
      <c r="G109" s="18">
        <f t="shared" si="48"/>
        <v>-1.392133851860812E-2</v>
      </c>
      <c r="H109" s="18">
        <f t="shared" si="49"/>
        <v>-3.3556783528842643E-2</v>
      </c>
      <c r="I109" s="18">
        <f t="shared" si="50"/>
        <v>1.6374634871790104E-2</v>
      </c>
      <c r="J109" s="18">
        <f t="shared" si="51"/>
        <v>1.666044089310717E-2</v>
      </c>
      <c r="K109" s="18">
        <f t="shared" si="52"/>
        <v>-4.1313559322033898E-4</v>
      </c>
      <c r="L109" s="18">
        <f t="shared" si="53"/>
        <v>-1.433447411182846E-2</v>
      </c>
      <c r="M109" s="18">
        <f t="shared" si="54"/>
        <v>-3.3969919122062979E-2</v>
      </c>
      <c r="N109" s="18">
        <f t="shared" si="55"/>
        <v>1.5961499278569765E-2</v>
      </c>
      <c r="O109" s="18">
        <f t="shared" si="56"/>
        <v>1.6247305299886831E-2</v>
      </c>
      <c r="W109" s="18">
        <f t="shared" ca="1" si="57"/>
        <v>0.89</v>
      </c>
      <c r="X109" s="18">
        <f t="shared" ca="1" si="57"/>
        <v>0.46</v>
      </c>
      <c r="Y109" s="18">
        <f t="shared" ca="1" si="57"/>
        <v>0.87</v>
      </c>
      <c r="Z109" s="18">
        <f t="shared" ca="1" si="57"/>
        <v>0.06</v>
      </c>
      <c r="AA109" s="18">
        <f t="shared" ca="1" si="30"/>
        <v>0.06</v>
      </c>
      <c r="AB109" s="18">
        <f t="shared" ca="1" si="31"/>
        <v>2.3400000000000003</v>
      </c>
      <c r="AC109" s="18">
        <f t="shared" ca="1" si="32"/>
        <v>0.38034188034188032</v>
      </c>
      <c r="AD109" s="18">
        <f t="shared" ca="1" si="33"/>
        <v>0.19658119658119658</v>
      </c>
      <c r="AE109" s="18">
        <f t="shared" ca="1" si="34"/>
        <v>0.37179487179487175</v>
      </c>
      <c r="AF109" s="18">
        <f t="shared" ca="1" si="35"/>
        <v>2.5641025641025637E-2</v>
      </c>
      <c r="AG109" s="18">
        <f t="shared" ca="1" si="36"/>
        <v>2.5641025641025637E-2</v>
      </c>
      <c r="AH109" s="18">
        <f t="shared" ca="1" si="37"/>
        <v>1</v>
      </c>
      <c r="AI109" s="18" cm="1">
        <f t="array" aca="1" ref="AI109" ca="1">MMULT(MMULT(AC109:AG109,$Q$2:$U$6),TRANSPOSE(AC109:AG109))</f>
        <v>1.2453480380988929E-4</v>
      </c>
      <c r="AJ109" s="18">
        <f t="shared" ca="1" si="38"/>
        <v>-6.1063855242824974E-3</v>
      </c>
      <c r="AK109" s="18">
        <f t="shared" ca="1" si="39"/>
        <v>-0.58421180170568465</v>
      </c>
      <c r="AL109" s="18">
        <f t="shared" ca="1" si="40"/>
        <v>-6.1063855242824974E-3</v>
      </c>
      <c r="AM109" s="18">
        <f t="shared" ca="1" si="41"/>
        <v>1.2453480380988929E-4</v>
      </c>
      <c r="AN109" s="18">
        <f t="shared" ca="1" si="42"/>
        <v>0.38034188034188032</v>
      </c>
      <c r="AO109" s="18">
        <f t="shared" ca="1" si="43"/>
        <v>0.19658119658119658</v>
      </c>
      <c r="AP109" s="18">
        <f t="shared" ca="1" si="44"/>
        <v>0.37179487179487175</v>
      </c>
      <c r="AQ109" s="18">
        <f t="shared" ca="1" si="45"/>
        <v>2.5641025641025637E-2</v>
      </c>
      <c r="AR109" s="18">
        <f t="shared" ca="1" si="46"/>
        <v>2.5641025641025637E-2</v>
      </c>
    </row>
    <row r="110" spans="1:44">
      <c r="A110" s="20">
        <v>25.4</v>
      </c>
      <c r="B110" s="20">
        <v>21.3</v>
      </c>
      <c r="C110" s="20">
        <v>284.8</v>
      </c>
      <c r="D110" s="21">
        <v>42.3</v>
      </c>
      <c r="E110" s="20">
        <v>122.7</v>
      </c>
      <c r="F110" s="18">
        <f t="shared" si="47"/>
        <v>-1.562531790308087E-2</v>
      </c>
      <c r="G110" s="18">
        <f t="shared" si="48"/>
        <v>-4.6838493124263143E-3</v>
      </c>
      <c r="H110" s="18">
        <f t="shared" si="49"/>
        <v>-1.8438511589537618E-2</v>
      </c>
      <c r="I110" s="18">
        <f t="shared" si="50"/>
        <v>-1.8735911057469929E-2</v>
      </c>
      <c r="J110" s="18">
        <f t="shared" si="51"/>
        <v>-3.5231826478542547E-2</v>
      </c>
      <c r="K110" s="18">
        <f t="shared" si="52"/>
        <v>-1.603845349630121E-2</v>
      </c>
      <c r="L110" s="18">
        <f t="shared" si="53"/>
        <v>-5.0969849056466537E-3</v>
      </c>
      <c r="M110" s="18">
        <f t="shared" si="54"/>
        <v>-1.8851647182757957E-2</v>
      </c>
      <c r="N110" s="18">
        <f t="shared" si="55"/>
        <v>-1.9149046650690268E-2</v>
      </c>
      <c r="O110" s="18">
        <f t="shared" si="56"/>
        <v>-3.5644962071762883E-2</v>
      </c>
      <c r="W110" s="18">
        <f t="shared" ca="1" si="57"/>
        <v>0.91</v>
      </c>
      <c r="X110" s="18">
        <f t="shared" ca="1" si="57"/>
        <v>0.04</v>
      </c>
      <c r="Y110" s="18">
        <f t="shared" ca="1" si="57"/>
        <v>0.94</v>
      </c>
      <c r="Z110" s="18">
        <f t="shared" ca="1" si="57"/>
        <v>0.22</v>
      </c>
      <c r="AA110" s="18">
        <f t="shared" ca="1" si="30"/>
        <v>0.59</v>
      </c>
      <c r="AB110" s="18">
        <f t="shared" ca="1" si="31"/>
        <v>2.7</v>
      </c>
      <c r="AC110" s="18">
        <f t="shared" ca="1" si="32"/>
        <v>0.33703703703703702</v>
      </c>
      <c r="AD110" s="18">
        <f t="shared" ca="1" si="33"/>
        <v>1.4814814814814814E-2</v>
      </c>
      <c r="AE110" s="18">
        <f t="shared" ca="1" si="34"/>
        <v>0.3481481481481481</v>
      </c>
      <c r="AF110" s="18">
        <f t="shared" ca="1" si="35"/>
        <v>8.1481481481481474E-2</v>
      </c>
      <c r="AG110" s="18">
        <f t="shared" ca="1" si="36"/>
        <v>0.2185185185185185</v>
      </c>
      <c r="AH110" s="18">
        <f t="shared" ca="1" si="37"/>
        <v>1</v>
      </c>
      <c r="AI110" s="18" cm="1">
        <f t="array" aca="1" ref="AI110" ca="1">MMULT(MMULT(AC110:AG110,$Q$2:$U$6),TRANSPOSE(AC110:AG110))</f>
        <v>1.7058625864146482E-4</v>
      </c>
      <c r="AJ110" s="18">
        <f t="shared" ca="1" si="38"/>
        <v>-2.585392354495977E-3</v>
      </c>
      <c r="AK110" s="18">
        <f t="shared" ca="1" si="39"/>
        <v>-0.22958107172900008</v>
      </c>
      <c r="AL110" s="18">
        <f t="shared" ca="1" si="40"/>
        <v>-2.585392354495977E-3</v>
      </c>
      <c r="AM110" s="18">
        <f t="shared" ca="1" si="41"/>
        <v>1.7058625864146482E-4</v>
      </c>
      <c r="AN110" s="18">
        <f t="shared" ca="1" si="42"/>
        <v>0.33703703703703702</v>
      </c>
      <c r="AO110" s="18">
        <f t="shared" ca="1" si="43"/>
        <v>1.4814814814814814E-2</v>
      </c>
      <c r="AP110" s="18">
        <f t="shared" ca="1" si="44"/>
        <v>0.3481481481481481</v>
      </c>
      <c r="AQ110" s="18">
        <f t="shared" ca="1" si="45"/>
        <v>8.1481481481481474E-2</v>
      </c>
      <c r="AR110" s="18">
        <f t="shared" ca="1" si="46"/>
        <v>0.2185185185185185</v>
      </c>
    </row>
    <row r="111" spans="1:44">
      <c r="A111" s="20">
        <v>25.1</v>
      </c>
      <c r="B111" s="20">
        <v>21.4</v>
      </c>
      <c r="C111" s="20">
        <v>283.7</v>
      </c>
      <c r="D111" s="21">
        <v>43.3</v>
      </c>
      <c r="E111" s="20">
        <v>111.6</v>
      </c>
      <c r="F111" s="18">
        <f t="shared" si="47"/>
        <v>-1.1881327886752563E-2</v>
      </c>
      <c r="G111" s="18">
        <f t="shared" si="48"/>
        <v>4.6838493124262163E-3</v>
      </c>
      <c r="H111" s="18">
        <f t="shared" si="49"/>
        <v>-3.8698377230151509E-3</v>
      </c>
      <c r="I111" s="18">
        <f t="shared" si="50"/>
        <v>2.3365548956211912E-2</v>
      </c>
      <c r="J111" s="18">
        <f t="shared" si="51"/>
        <v>-9.4821301769655225E-2</v>
      </c>
      <c r="K111" s="18">
        <f t="shared" si="52"/>
        <v>-1.2294463479972902E-2</v>
      </c>
      <c r="L111" s="18">
        <f t="shared" si="53"/>
        <v>4.2707137192058778E-3</v>
      </c>
      <c r="M111" s="18">
        <f t="shared" si="54"/>
        <v>-4.2829733162354899E-3</v>
      </c>
      <c r="N111" s="18">
        <f t="shared" si="55"/>
        <v>2.2952413362991572E-2</v>
      </c>
      <c r="O111" s="18">
        <f t="shared" si="56"/>
        <v>-9.5234437362875568E-2</v>
      </c>
      <c r="W111" s="18">
        <f t="shared" ca="1" si="57"/>
        <v>0.94</v>
      </c>
      <c r="X111" s="18">
        <f t="shared" ca="1" si="57"/>
        <v>0.39</v>
      </c>
      <c r="Y111" s="18">
        <f t="shared" ca="1" si="57"/>
        <v>0.79</v>
      </c>
      <c r="Z111" s="18">
        <f t="shared" ca="1" si="57"/>
        <v>0.89</v>
      </c>
      <c r="AA111" s="18">
        <f t="shared" ca="1" si="30"/>
        <v>0.04</v>
      </c>
      <c r="AB111" s="18">
        <f t="shared" ca="1" si="31"/>
        <v>3.0500000000000003</v>
      </c>
      <c r="AC111" s="18">
        <f t="shared" ca="1" si="32"/>
        <v>0.30819672131147535</v>
      </c>
      <c r="AD111" s="18">
        <f t="shared" ca="1" si="33"/>
        <v>0.12786885245901639</v>
      </c>
      <c r="AE111" s="18">
        <f t="shared" ca="1" si="34"/>
        <v>0.25901639344262295</v>
      </c>
      <c r="AF111" s="18">
        <f t="shared" ca="1" si="35"/>
        <v>0.29180327868852457</v>
      </c>
      <c r="AG111" s="18">
        <f t="shared" ca="1" si="36"/>
        <v>1.3114754098360656E-2</v>
      </c>
      <c r="AH111" s="18">
        <f t="shared" ca="1" si="37"/>
        <v>0.99999999999999989</v>
      </c>
      <c r="AI111" s="18" cm="1">
        <f t="array" aca="1" ref="AI111" ca="1">MMULT(MMULT(AC111:AG111,$Q$2:$U$6),TRANSPOSE(AC111:AG111))</f>
        <v>2.1136735703713446E-4</v>
      </c>
      <c r="AJ111" s="18">
        <f t="shared" ca="1" si="38"/>
        <v>-1.3669646989136358E-3</v>
      </c>
      <c r="AK111" s="18">
        <f t="shared" ca="1" si="39"/>
        <v>-0.12244061800397357</v>
      </c>
      <c r="AL111" s="18">
        <f t="shared" ca="1" si="40"/>
        <v>-1.3669646989136358E-3</v>
      </c>
      <c r="AM111" s="18">
        <f t="shared" ca="1" si="41"/>
        <v>2.1136735703713446E-4</v>
      </c>
      <c r="AN111" s="18">
        <f t="shared" ca="1" si="42"/>
        <v>0.30819672131147535</v>
      </c>
      <c r="AO111" s="18">
        <f t="shared" ca="1" si="43"/>
        <v>0.12786885245901639</v>
      </c>
      <c r="AP111" s="18">
        <f t="shared" ca="1" si="44"/>
        <v>0.25901639344262295</v>
      </c>
      <c r="AQ111" s="18">
        <f t="shared" ca="1" si="45"/>
        <v>0.29180327868852457</v>
      </c>
      <c r="AR111" s="18">
        <f t="shared" ca="1" si="46"/>
        <v>1.3114754098360656E-2</v>
      </c>
    </row>
    <row r="112" spans="1:44">
      <c r="A112" s="20">
        <v>25</v>
      </c>
      <c r="B112" s="20">
        <v>21.1</v>
      </c>
      <c r="C112" s="20">
        <v>280.2</v>
      </c>
      <c r="D112" s="21">
        <v>42.4</v>
      </c>
      <c r="E112" s="20">
        <v>113.7</v>
      </c>
      <c r="F112" s="18">
        <f t="shared" si="47"/>
        <v>-3.9920212695375608E-3</v>
      </c>
      <c r="G112" s="18">
        <f t="shared" si="48"/>
        <v>-1.4117881545784819E-2</v>
      </c>
      <c r="H112" s="18">
        <f t="shared" si="49"/>
        <v>-1.2413707911899019E-2</v>
      </c>
      <c r="I112" s="18">
        <f t="shared" si="50"/>
        <v>-2.1004272770532011E-2</v>
      </c>
      <c r="J112" s="18">
        <f t="shared" si="51"/>
        <v>1.8642350809279774E-2</v>
      </c>
      <c r="K112" s="18">
        <f t="shared" si="52"/>
        <v>-4.4051568627579002E-3</v>
      </c>
      <c r="L112" s="18">
        <f t="shared" si="53"/>
        <v>-1.4531017139005158E-2</v>
      </c>
      <c r="M112" s="18">
        <f t="shared" si="54"/>
        <v>-1.2826843505119359E-2</v>
      </c>
      <c r="N112" s="18">
        <f t="shared" si="55"/>
        <v>-2.141740836375235E-2</v>
      </c>
      <c r="O112" s="18">
        <f t="shared" si="56"/>
        <v>1.8229215216059434E-2</v>
      </c>
      <c r="W112" s="18">
        <f t="shared" ca="1" si="57"/>
        <v>0.13</v>
      </c>
      <c r="X112" s="18">
        <f t="shared" ca="1" si="57"/>
        <v>0.19</v>
      </c>
      <c r="Y112" s="18">
        <f t="shared" ca="1" si="57"/>
        <v>0.77</v>
      </c>
      <c r="Z112" s="18">
        <f t="shared" ca="1" si="57"/>
        <v>0.87</v>
      </c>
      <c r="AA112" s="18">
        <f t="shared" ca="1" si="30"/>
        <v>0.65</v>
      </c>
      <c r="AB112" s="18">
        <f t="shared" ca="1" si="31"/>
        <v>2.61</v>
      </c>
      <c r="AC112" s="18">
        <f t="shared" ca="1" si="32"/>
        <v>4.980842911877395E-2</v>
      </c>
      <c r="AD112" s="18">
        <f t="shared" ca="1" si="33"/>
        <v>7.2796934865900387E-2</v>
      </c>
      <c r="AE112" s="18">
        <f t="shared" ca="1" si="34"/>
        <v>0.29501915708812265</v>
      </c>
      <c r="AF112" s="18">
        <f t="shared" ca="1" si="35"/>
        <v>0.33333333333333337</v>
      </c>
      <c r="AG112" s="18">
        <f t="shared" ca="1" si="36"/>
        <v>0.24904214559386975</v>
      </c>
      <c r="AH112" s="18">
        <f t="shared" ca="1" si="37"/>
        <v>1.0000000000000002</v>
      </c>
      <c r="AI112" s="18" cm="1">
        <f t="array" aca="1" ref="AI112" ca="1">MMULT(MMULT(AC112:AG112,$Q$2:$U$6),TRANSPOSE(AC112:AG112))</f>
        <v>2.7384458701927865E-4</v>
      </c>
      <c r="AJ112" s="18">
        <f t="shared" ca="1" si="38"/>
        <v>-2.1259417850574198E-3</v>
      </c>
      <c r="AK112" s="18">
        <f t="shared" ca="1" si="39"/>
        <v>-0.15343479441960872</v>
      </c>
      <c r="AL112" s="18">
        <f t="shared" ca="1" si="40"/>
        <v>-2.1259417850574198E-3</v>
      </c>
      <c r="AM112" s="18">
        <f t="shared" ca="1" si="41"/>
        <v>2.7384458701927865E-4</v>
      </c>
      <c r="AN112" s="18">
        <f t="shared" ca="1" si="42"/>
        <v>4.980842911877395E-2</v>
      </c>
      <c r="AO112" s="18">
        <f t="shared" ca="1" si="43"/>
        <v>7.2796934865900387E-2</v>
      </c>
      <c r="AP112" s="18">
        <f t="shared" ca="1" si="44"/>
        <v>0.29501915708812265</v>
      </c>
      <c r="AQ112" s="18">
        <f t="shared" ca="1" si="45"/>
        <v>0.33333333333333337</v>
      </c>
      <c r="AR112" s="18">
        <f t="shared" ca="1" si="46"/>
        <v>0.24904214559386975</v>
      </c>
    </row>
    <row r="113" spans="1:44">
      <c r="A113" s="20">
        <v>24.9</v>
      </c>
      <c r="B113" s="20">
        <v>21.3</v>
      </c>
      <c r="C113" s="20">
        <v>282</v>
      </c>
      <c r="D113" s="21">
        <v>40.9</v>
      </c>
      <c r="E113" s="20">
        <v>114.9</v>
      </c>
      <c r="F113" s="18">
        <f t="shared" si="47"/>
        <v>-4.0080213975388218E-3</v>
      </c>
      <c r="G113" s="18">
        <f t="shared" si="48"/>
        <v>9.4340322333584942E-3</v>
      </c>
      <c r="H113" s="18">
        <f t="shared" si="49"/>
        <v>6.4034370352070071E-3</v>
      </c>
      <c r="I113" s="18">
        <f t="shared" si="50"/>
        <v>-3.6018299189155979E-2</v>
      </c>
      <c r="J113" s="18">
        <f t="shared" si="51"/>
        <v>1.049878409821957E-2</v>
      </c>
      <c r="K113" s="18">
        <f t="shared" si="52"/>
        <v>-4.4211569907591612E-3</v>
      </c>
      <c r="L113" s="18">
        <f t="shared" si="53"/>
        <v>9.0208966401381548E-3</v>
      </c>
      <c r="M113" s="18">
        <f t="shared" si="54"/>
        <v>5.9903014419866677E-3</v>
      </c>
      <c r="N113" s="18">
        <f t="shared" si="55"/>
        <v>-3.6431434782376315E-2</v>
      </c>
      <c r="O113" s="18">
        <f t="shared" si="56"/>
        <v>1.0085648504999231E-2</v>
      </c>
      <c r="W113" s="18">
        <f t="shared" ca="1" si="57"/>
        <v>0.31</v>
      </c>
      <c r="X113" s="18">
        <f t="shared" ca="1" si="57"/>
        <v>0.85</v>
      </c>
      <c r="Y113" s="18">
        <f t="shared" ca="1" si="57"/>
        <v>0.57999999999999996</v>
      </c>
      <c r="Z113" s="18">
        <f t="shared" ca="1" si="57"/>
        <v>0.02</v>
      </c>
      <c r="AA113" s="18">
        <f t="shared" ca="1" si="30"/>
        <v>0.85</v>
      </c>
      <c r="AB113" s="18">
        <f t="shared" ca="1" si="31"/>
        <v>2.61</v>
      </c>
      <c r="AC113" s="18">
        <f t="shared" ca="1" si="32"/>
        <v>0.11877394636015326</v>
      </c>
      <c r="AD113" s="18">
        <f t="shared" ca="1" si="33"/>
        <v>0.32567049808429122</v>
      </c>
      <c r="AE113" s="18">
        <f t="shared" ca="1" si="34"/>
        <v>0.22222222222222221</v>
      </c>
      <c r="AF113" s="18">
        <f t="shared" ca="1" si="35"/>
        <v>7.6628352490421461E-3</v>
      </c>
      <c r="AG113" s="18">
        <f t="shared" ca="1" si="36"/>
        <v>0.32567049808429122</v>
      </c>
      <c r="AH113" s="18">
        <f t="shared" ca="1" si="37"/>
        <v>1</v>
      </c>
      <c r="AI113" s="18" cm="1">
        <f t="array" aca="1" ref="AI113" ca="1">MMULT(MMULT(AC113:AG113,$Q$2:$U$6),TRANSPOSE(AC113:AG113))</f>
        <v>2.2450035258262562E-4</v>
      </c>
      <c r="AJ113" s="18">
        <f t="shared" ca="1" si="38"/>
        <v>-6.5460666243739116E-3</v>
      </c>
      <c r="AK113" s="18">
        <f t="shared" ca="1" si="39"/>
        <v>-0.46446280699691517</v>
      </c>
      <c r="AL113" s="18">
        <f t="shared" ca="1" si="40"/>
        <v>-6.5460666243739116E-3</v>
      </c>
      <c r="AM113" s="18">
        <f t="shared" ca="1" si="41"/>
        <v>2.2450035258262562E-4</v>
      </c>
      <c r="AN113" s="18">
        <f t="shared" ca="1" si="42"/>
        <v>0.11877394636015326</v>
      </c>
      <c r="AO113" s="18">
        <f t="shared" ca="1" si="43"/>
        <v>0.32567049808429122</v>
      </c>
      <c r="AP113" s="18">
        <f t="shared" ca="1" si="44"/>
        <v>0.22222222222222221</v>
      </c>
      <c r="AQ113" s="18">
        <f t="shared" ca="1" si="45"/>
        <v>7.6628352490421461E-3</v>
      </c>
      <c r="AR113" s="18">
        <f t="shared" ca="1" si="46"/>
        <v>0.32567049808429122</v>
      </c>
    </row>
    <row r="114" spans="1:44">
      <c r="A114" s="20">
        <v>25</v>
      </c>
      <c r="B114" s="20">
        <v>21.5</v>
      </c>
      <c r="C114" s="20">
        <v>286.8</v>
      </c>
      <c r="D114" s="21">
        <v>41.7</v>
      </c>
      <c r="E114" s="20">
        <v>112</v>
      </c>
      <c r="F114" s="18">
        <f t="shared" si="47"/>
        <v>4.0080213975388678E-3</v>
      </c>
      <c r="G114" s="18">
        <f t="shared" si="48"/>
        <v>9.345862418237599E-3</v>
      </c>
      <c r="H114" s="18">
        <f t="shared" si="49"/>
        <v>1.6878037787351731E-2</v>
      </c>
      <c r="I114" s="18">
        <f t="shared" si="50"/>
        <v>1.937106575599979E-2</v>
      </c>
      <c r="J114" s="18">
        <f t="shared" si="51"/>
        <v>-2.5563313559615507E-2</v>
      </c>
      <c r="K114" s="18">
        <f t="shared" si="52"/>
        <v>3.5948858043185288E-3</v>
      </c>
      <c r="L114" s="18">
        <f t="shared" si="53"/>
        <v>8.9327268250172596E-3</v>
      </c>
      <c r="M114" s="18">
        <f t="shared" si="54"/>
        <v>1.6464902194131392E-2</v>
      </c>
      <c r="N114" s="18">
        <f t="shared" si="55"/>
        <v>1.8957930162779451E-2</v>
      </c>
      <c r="O114" s="18">
        <f t="shared" si="56"/>
        <v>-2.5976449152835847E-2</v>
      </c>
      <c r="W114" s="18">
        <f t="shared" ca="1" si="57"/>
        <v>0.31</v>
      </c>
      <c r="X114" s="18">
        <f t="shared" ca="1" si="57"/>
        <v>0.56000000000000005</v>
      </c>
      <c r="Y114" s="18">
        <f t="shared" ca="1" si="57"/>
        <v>0.34</v>
      </c>
      <c r="Z114" s="18">
        <f t="shared" ca="1" si="57"/>
        <v>0.06</v>
      </c>
      <c r="AA114" s="18">
        <f t="shared" ca="1" si="30"/>
        <v>0.2</v>
      </c>
      <c r="AB114" s="18">
        <f t="shared" ca="1" si="31"/>
        <v>1.4700000000000002</v>
      </c>
      <c r="AC114" s="18">
        <f t="shared" ca="1" si="32"/>
        <v>0.21088435374149658</v>
      </c>
      <c r="AD114" s="18">
        <f t="shared" ca="1" si="33"/>
        <v>0.38095238095238093</v>
      </c>
      <c r="AE114" s="18">
        <f t="shared" ca="1" si="34"/>
        <v>0.2312925170068027</v>
      </c>
      <c r="AF114" s="18">
        <f t="shared" ca="1" si="35"/>
        <v>4.0816326530612235E-2</v>
      </c>
      <c r="AG114" s="18">
        <f t="shared" ca="1" si="36"/>
        <v>0.13605442176870747</v>
      </c>
      <c r="AH114" s="18">
        <f t="shared" ca="1" si="37"/>
        <v>1</v>
      </c>
      <c r="AI114" s="18" cm="1">
        <f t="array" aca="1" ref="AI114" ca="1">MMULT(MMULT(AC114:AG114,$Q$2:$U$6),TRANSPOSE(AC114:AG114))</f>
        <v>1.4480126860504317E-4</v>
      </c>
      <c r="AJ114" s="18">
        <f t="shared" ca="1" si="38"/>
        <v>-6.9551637916466479E-3</v>
      </c>
      <c r="AK114" s="18">
        <f t="shared" ca="1" si="39"/>
        <v>-0.61232371560492882</v>
      </c>
      <c r="AL114" s="18">
        <f t="shared" ca="1" si="40"/>
        <v>-6.9551637916466479E-3</v>
      </c>
      <c r="AM114" s="18">
        <f t="shared" ca="1" si="41"/>
        <v>1.4480126860504317E-4</v>
      </c>
      <c r="AN114" s="18">
        <f t="shared" ca="1" si="42"/>
        <v>0.21088435374149658</v>
      </c>
      <c r="AO114" s="18">
        <f t="shared" ca="1" si="43"/>
        <v>0.38095238095238093</v>
      </c>
      <c r="AP114" s="18">
        <f t="shared" ca="1" si="44"/>
        <v>0.2312925170068027</v>
      </c>
      <c r="AQ114" s="18">
        <f t="shared" ca="1" si="45"/>
        <v>4.0816326530612235E-2</v>
      </c>
      <c r="AR114" s="18">
        <f t="shared" ca="1" si="46"/>
        <v>0.13605442176870747</v>
      </c>
    </row>
    <row r="115" spans="1:44">
      <c r="A115" s="20">
        <v>25.2</v>
      </c>
      <c r="B115" s="20">
        <v>21.2</v>
      </c>
      <c r="C115" s="20">
        <v>282.5</v>
      </c>
      <c r="D115" s="21">
        <v>40.9</v>
      </c>
      <c r="E115" s="20">
        <v>102</v>
      </c>
      <c r="F115" s="18">
        <f t="shared" si="47"/>
        <v>7.9681696491768813E-3</v>
      </c>
      <c r="G115" s="18">
        <f t="shared" si="48"/>
        <v>-1.4051753455650415E-2</v>
      </c>
      <c r="H115" s="18">
        <f t="shared" si="49"/>
        <v>-1.5106558138969686E-2</v>
      </c>
      <c r="I115" s="18">
        <f t="shared" si="50"/>
        <v>-1.9371065755999808E-2</v>
      </c>
      <c r="J115" s="18">
        <f t="shared" si="51"/>
        <v>-9.3526058010823476E-2</v>
      </c>
      <c r="K115" s="18">
        <f t="shared" si="52"/>
        <v>7.5550340559565419E-3</v>
      </c>
      <c r="L115" s="18">
        <f t="shared" si="53"/>
        <v>-1.4464889048870755E-2</v>
      </c>
      <c r="M115" s="18">
        <f t="shared" si="54"/>
        <v>-1.5519693732190025E-2</v>
      </c>
      <c r="N115" s="18">
        <f t="shared" si="55"/>
        <v>-1.9784201349220147E-2</v>
      </c>
      <c r="O115" s="18">
        <f t="shared" si="56"/>
        <v>-9.3939193604043819E-2</v>
      </c>
      <c r="W115" s="18">
        <f t="shared" ca="1" si="57"/>
        <v>0.15</v>
      </c>
      <c r="X115" s="18">
        <f t="shared" ca="1" si="57"/>
        <v>7.0000000000000007E-2</v>
      </c>
      <c r="Y115" s="18">
        <f t="shared" ca="1" si="57"/>
        <v>0.14000000000000001</v>
      </c>
      <c r="Z115" s="18">
        <f t="shared" ca="1" si="57"/>
        <v>0.31</v>
      </c>
      <c r="AA115" s="18">
        <f t="shared" ca="1" si="30"/>
        <v>0.42</v>
      </c>
      <c r="AB115" s="18">
        <f t="shared" ca="1" si="31"/>
        <v>1.0899999999999999</v>
      </c>
      <c r="AC115" s="18">
        <f t="shared" ca="1" si="32"/>
        <v>0.13761467889908258</v>
      </c>
      <c r="AD115" s="18">
        <f t="shared" ca="1" si="33"/>
        <v>6.422018348623855E-2</v>
      </c>
      <c r="AE115" s="18">
        <f t="shared" ca="1" si="34"/>
        <v>0.1284403669724771</v>
      </c>
      <c r="AF115" s="18">
        <f t="shared" ca="1" si="35"/>
        <v>0.28440366972477066</v>
      </c>
      <c r="AG115" s="18">
        <f t="shared" ca="1" si="36"/>
        <v>0.38532110091743121</v>
      </c>
      <c r="AH115" s="18">
        <f t="shared" ca="1" si="37"/>
        <v>1</v>
      </c>
      <c r="AI115" s="18" cm="1">
        <f t="array" aca="1" ref="AI115" ca="1">MMULT(MMULT(AC115:AG115,$Q$2:$U$6),TRANSPOSE(AC115:AG115))</f>
        <v>3.4451366718706646E-4</v>
      </c>
      <c r="AJ115" s="18">
        <f t="shared" ca="1" si="38"/>
        <v>1.3729988325353942E-3</v>
      </c>
      <c r="AK115" s="18">
        <f t="shared" ca="1" si="39"/>
        <v>5.17137619234826E-2</v>
      </c>
      <c r="AL115" s="18">
        <f t="shared" ca="1" si="40"/>
        <v>1.3729988325353942E-3</v>
      </c>
      <c r="AM115" s="18">
        <f t="shared" ca="1" si="41"/>
        <v>3.4451366718706646E-4</v>
      </c>
      <c r="AN115" s="18">
        <f t="shared" ca="1" si="42"/>
        <v>0.13761467889908258</v>
      </c>
      <c r="AO115" s="18">
        <f t="shared" ca="1" si="43"/>
        <v>6.422018348623855E-2</v>
      </c>
      <c r="AP115" s="18">
        <f t="shared" ca="1" si="44"/>
        <v>0.1284403669724771</v>
      </c>
      <c r="AQ115" s="18">
        <f t="shared" ca="1" si="45"/>
        <v>0.28440366972477066</v>
      </c>
      <c r="AR115" s="18">
        <f t="shared" ca="1" si="46"/>
        <v>0.38532110091743121</v>
      </c>
    </row>
    <row r="116" spans="1:44">
      <c r="A116" s="20">
        <v>25.4</v>
      </c>
      <c r="B116" s="20">
        <v>21.2</v>
      </c>
      <c r="C116" s="20">
        <v>283.7</v>
      </c>
      <c r="D116" s="21">
        <v>41.3</v>
      </c>
      <c r="E116" s="20">
        <v>93</v>
      </c>
      <c r="F116" s="18">
        <f t="shared" si="47"/>
        <v>7.9051795071132473E-3</v>
      </c>
      <c r="G116" s="18">
        <f t="shared" si="48"/>
        <v>0</v>
      </c>
      <c r="H116" s="18">
        <f t="shared" si="49"/>
        <v>4.238791228310064E-3</v>
      </c>
      <c r="I116" s="18">
        <f t="shared" si="50"/>
        <v>9.7324369182310543E-3</v>
      </c>
      <c r="J116" s="18">
        <f t="shared" si="51"/>
        <v>-9.2373320131015166E-2</v>
      </c>
      <c r="K116" s="18">
        <f t="shared" si="52"/>
        <v>7.4920439138929078E-3</v>
      </c>
      <c r="L116" s="18">
        <f t="shared" si="53"/>
        <v>-4.1313559322033898E-4</v>
      </c>
      <c r="M116" s="18">
        <f t="shared" si="54"/>
        <v>3.825655635089725E-3</v>
      </c>
      <c r="N116" s="18">
        <f t="shared" si="55"/>
        <v>9.3193013250107148E-3</v>
      </c>
      <c r="O116" s="18">
        <f t="shared" si="56"/>
        <v>-9.2786455724235509E-2</v>
      </c>
      <c r="W116" s="18">
        <f t="shared" ca="1" si="57"/>
        <v>0.31</v>
      </c>
      <c r="X116" s="18">
        <f t="shared" ca="1" si="57"/>
        <v>0.75</v>
      </c>
      <c r="Y116" s="18">
        <f t="shared" ca="1" si="57"/>
        <v>0.56000000000000005</v>
      </c>
      <c r="Z116" s="18">
        <f t="shared" ca="1" si="57"/>
        <v>0.91</v>
      </c>
      <c r="AA116" s="18">
        <f t="shared" ca="1" si="30"/>
        <v>0.15</v>
      </c>
      <c r="AB116" s="18">
        <f t="shared" ca="1" si="31"/>
        <v>2.68</v>
      </c>
      <c r="AC116" s="18">
        <f t="shared" ca="1" si="32"/>
        <v>0.11567164179104476</v>
      </c>
      <c r="AD116" s="18">
        <f t="shared" ca="1" si="33"/>
        <v>0.27985074626865669</v>
      </c>
      <c r="AE116" s="18">
        <f t="shared" ca="1" si="34"/>
        <v>0.20895522388059704</v>
      </c>
      <c r="AF116" s="18">
        <f t="shared" ca="1" si="35"/>
        <v>0.33955223880597013</v>
      </c>
      <c r="AG116" s="18">
        <f t="shared" ca="1" si="36"/>
        <v>5.5970149253731338E-2</v>
      </c>
      <c r="AH116" s="18">
        <f t="shared" ca="1" si="37"/>
        <v>0.99999999999999989</v>
      </c>
      <c r="AI116" s="18" cm="1">
        <f t="array" aca="1" ref="AI116" ca="1">MMULT(MMULT(AC116:AG116,$Q$2:$U$6),TRANSPOSE(AC116:AG116))</f>
        <v>2.3724538470846465E-4</v>
      </c>
      <c r="AJ116" s="18">
        <f t="shared" ca="1" si="38"/>
        <v>-3.3730194121120291E-3</v>
      </c>
      <c r="AK116" s="18">
        <f t="shared" ca="1" si="39"/>
        <v>-0.24580997562806689</v>
      </c>
      <c r="AL116" s="18">
        <f t="shared" ca="1" si="40"/>
        <v>-3.3730194121120291E-3</v>
      </c>
      <c r="AM116" s="18">
        <f t="shared" ca="1" si="41"/>
        <v>2.3724538470846465E-4</v>
      </c>
      <c r="AN116" s="18">
        <f t="shared" ca="1" si="42"/>
        <v>0.11567164179104476</v>
      </c>
      <c r="AO116" s="18">
        <f t="shared" ca="1" si="43"/>
        <v>0.27985074626865669</v>
      </c>
      <c r="AP116" s="18">
        <f t="shared" ca="1" si="44"/>
        <v>0.20895522388059704</v>
      </c>
      <c r="AQ116" s="18">
        <f t="shared" ca="1" si="45"/>
        <v>0.33955223880597013</v>
      </c>
      <c r="AR116" s="18">
        <f t="shared" ca="1" si="46"/>
        <v>5.5970149253731338E-2</v>
      </c>
    </row>
    <row r="117" spans="1:44">
      <c r="A117" s="20">
        <v>24.8</v>
      </c>
      <c r="B117" s="20">
        <v>21</v>
      </c>
      <c r="C117" s="20">
        <v>280</v>
      </c>
      <c r="D117" s="21">
        <v>37.6</v>
      </c>
      <c r="E117" s="20">
        <v>90.4</v>
      </c>
      <c r="F117" s="18">
        <f t="shared" si="47"/>
        <v>-2.3905520853554366E-2</v>
      </c>
      <c r="G117" s="18">
        <f t="shared" si="48"/>
        <v>-9.47874395454377E-3</v>
      </c>
      <c r="H117" s="18">
        <f t="shared" si="49"/>
        <v>-1.3127738645556032E-2</v>
      </c>
      <c r="I117" s="18">
        <f t="shared" si="50"/>
        <v>-9.3858449571138175E-2</v>
      </c>
      <c r="J117" s="18">
        <f t="shared" si="51"/>
        <v>-2.8355225755125009E-2</v>
      </c>
      <c r="K117" s="18">
        <f t="shared" si="52"/>
        <v>-2.4318656446774705E-2</v>
      </c>
      <c r="L117" s="18">
        <f t="shared" si="53"/>
        <v>-9.8918795477641094E-3</v>
      </c>
      <c r="M117" s="18">
        <f t="shared" si="54"/>
        <v>-1.3540874238776372E-2</v>
      </c>
      <c r="N117" s="18">
        <f t="shared" si="55"/>
        <v>-9.4271585164358518E-2</v>
      </c>
      <c r="O117" s="18">
        <f t="shared" si="56"/>
        <v>-2.8768361348345348E-2</v>
      </c>
      <c r="W117" s="18">
        <f t="shared" ca="1" si="57"/>
        <v>0.84</v>
      </c>
      <c r="X117" s="18">
        <f t="shared" ca="1" si="57"/>
        <v>0.68</v>
      </c>
      <c r="Y117" s="18">
        <f t="shared" ca="1" si="57"/>
        <v>0.55000000000000004</v>
      </c>
      <c r="Z117" s="18">
        <f t="shared" ca="1" si="57"/>
        <v>0.66</v>
      </c>
      <c r="AA117" s="18">
        <f t="shared" ca="1" si="30"/>
        <v>0.03</v>
      </c>
      <c r="AB117" s="18">
        <f t="shared" ca="1" si="31"/>
        <v>2.7600000000000002</v>
      </c>
      <c r="AC117" s="18">
        <f t="shared" ca="1" si="32"/>
        <v>0.30434782608695649</v>
      </c>
      <c r="AD117" s="18">
        <f t="shared" ca="1" si="33"/>
        <v>0.24637681159420288</v>
      </c>
      <c r="AE117" s="18">
        <f t="shared" ca="1" si="34"/>
        <v>0.19927536231884058</v>
      </c>
      <c r="AF117" s="18">
        <f t="shared" ca="1" si="35"/>
        <v>0.23913043478260868</v>
      </c>
      <c r="AG117" s="18">
        <f t="shared" ca="1" si="36"/>
        <v>1.0869565217391302E-2</v>
      </c>
      <c r="AH117" s="18">
        <f t="shared" ca="1" si="37"/>
        <v>1</v>
      </c>
      <c r="AI117" s="18" cm="1">
        <f t="array" aca="1" ref="AI117" ca="1">MMULT(MMULT(AC117:AG117,$Q$2:$U$6),TRANSPOSE(AC117:AG117))</f>
        <v>1.8750129121512991E-4</v>
      </c>
      <c r="AJ117" s="18">
        <f t="shared" ca="1" si="38"/>
        <v>-2.4398567058307227E-3</v>
      </c>
      <c r="AK117" s="18">
        <f t="shared" ca="1" si="39"/>
        <v>-0.20835238107108248</v>
      </c>
      <c r="AL117" s="18">
        <f t="shared" ca="1" si="40"/>
        <v>-2.4398567058307227E-3</v>
      </c>
      <c r="AM117" s="18">
        <f t="shared" ca="1" si="41"/>
        <v>1.8750129121512991E-4</v>
      </c>
      <c r="AN117" s="18">
        <f t="shared" ca="1" si="42"/>
        <v>0.30434782608695649</v>
      </c>
      <c r="AO117" s="18">
        <f t="shared" ca="1" si="43"/>
        <v>0.24637681159420288</v>
      </c>
      <c r="AP117" s="18">
        <f t="shared" ca="1" si="44"/>
        <v>0.19927536231884058</v>
      </c>
      <c r="AQ117" s="18">
        <f t="shared" ca="1" si="45"/>
        <v>0.23913043478260868</v>
      </c>
      <c r="AR117" s="18">
        <f t="shared" ca="1" si="46"/>
        <v>1.0869565217391302E-2</v>
      </c>
    </row>
    <row r="118" spans="1:44">
      <c r="A118" s="20">
        <v>24.8</v>
      </c>
      <c r="B118" s="20">
        <v>21.3</v>
      </c>
      <c r="C118" s="20">
        <v>281.3</v>
      </c>
      <c r="D118" s="21">
        <v>36.799999999999997</v>
      </c>
      <c r="E118" s="20">
        <v>82.2</v>
      </c>
      <c r="F118" s="18">
        <f t="shared" si="47"/>
        <v>0</v>
      </c>
      <c r="G118" s="18">
        <f t="shared" si="48"/>
        <v>1.4184634991956381E-2</v>
      </c>
      <c r="H118" s="18">
        <f t="shared" si="49"/>
        <v>4.6321123265615849E-3</v>
      </c>
      <c r="I118" s="18">
        <f t="shared" si="50"/>
        <v>-2.150620522096373E-2</v>
      </c>
      <c r="J118" s="18">
        <f t="shared" si="51"/>
        <v>-9.5088965335996548E-2</v>
      </c>
      <c r="K118" s="18">
        <f t="shared" si="52"/>
        <v>-4.1313559322033898E-4</v>
      </c>
      <c r="L118" s="18">
        <f t="shared" si="53"/>
        <v>1.3771499398736042E-2</v>
      </c>
      <c r="M118" s="18">
        <f t="shared" si="54"/>
        <v>4.2189767333412464E-3</v>
      </c>
      <c r="N118" s="18">
        <f t="shared" si="55"/>
        <v>-2.191934081418407E-2</v>
      </c>
      <c r="O118" s="18">
        <f t="shared" si="56"/>
        <v>-9.550210092921689E-2</v>
      </c>
      <c r="W118" s="18">
        <f t="shared" ca="1" si="57"/>
        <v>0.39</v>
      </c>
      <c r="X118" s="18">
        <f t="shared" ca="1" si="57"/>
        <v>0.22</v>
      </c>
      <c r="Y118" s="18">
        <f t="shared" ca="1" si="57"/>
        <v>0.8</v>
      </c>
      <c r="Z118" s="18">
        <f t="shared" ca="1" si="57"/>
        <v>0.08</v>
      </c>
      <c r="AA118" s="18">
        <f t="shared" ca="1" si="30"/>
        <v>0.15</v>
      </c>
      <c r="AB118" s="18">
        <f t="shared" ca="1" si="31"/>
        <v>1.6400000000000001</v>
      </c>
      <c r="AC118" s="18">
        <f t="shared" ca="1" si="32"/>
        <v>0.23780487804878048</v>
      </c>
      <c r="AD118" s="18">
        <f t="shared" ca="1" si="33"/>
        <v>0.13414634146341461</v>
      </c>
      <c r="AE118" s="18">
        <f t="shared" ca="1" si="34"/>
        <v>0.48780487804878048</v>
      </c>
      <c r="AF118" s="18">
        <f t="shared" ca="1" si="35"/>
        <v>4.8780487804878044E-2</v>
      </c>
      <c r="AG118" s="18">
        <f t="shared" ca="1" si="36"/>
        <v>9.1463414634146326E-2</v>
      </c>
      <c r="AH118" s="18">
        <f t="shared" ca="1" si="37"/>
        <v>1</v>
      </c>
      <c r="AI118" s="18" cm="1">
        <f t="array" aca="1" ref="AI118" ca="1">MMULT(MMULT(AC118:AG118,$Q$2:$U$6),TRANSPOSE(AC118:AG118))</f>
        <v>1.2715563859591421E-4</v>
      </c>
      <c r="AJ118" s="18">
        <f t="shared" ca="1" si="38"/>
        <v>-7.9071505500421593E-3</v>
      </c>
      <c r="AK118" s="18">
        <f t="shared" ca="1" si="39"/>
        <v>-0.73785402504403641</v>
      </c>
      <c r="AL118" s="18">
        <f t="shared" ca="1" si="40"/>
        <v>-7.9071505500421593E-3</v>
      </c>
      <c r="AM118" s="18">
        <f t="shared" ca="1" si="41"/>
        <v>1.2715563859591421E-4</v>
      </c>
      <c r="AN118" s="18">
        <f t="shared" ca="1" si="42"/>
        <v>0.23780487804878048</v>
      </c>
      <c r="AO118" s="18">
        <f t="shared" ca="1" si="43"/>
        <v>0.13414634146341461</v>
      </c>
      <c r="AP118" s="18">
        <f t="shared" ca="1" si="44"/>
        <v>0.48780487804878048</v>
      </c>
      <c r="AQ118" s="18">
        <f t="shared" ca="1" si="45"/>
        <v>4.8780487804878044E-2</v>
      </c>
      <c r="AR118" s="18">
        <f t="shared" ca="1" si="46"/>
        <v>9.1463414634146326E-2</v>
      </c>
    </row>
    <row r="119" spans="1:44">
      <c r="A119" s="20">
        <v>24.6</v>
      </c>
      <c r="B119" s="20">
        <v>20.2</v>
      </c>
      <c r="C119" s="20">
        <v>280.89999999999998</v>
      </c>
      <c r="D119" s="21">
        <v>36.9</v>
      </c>
      <c r="E119" s="20">
        <v>83.6</v>
      </c>
      <c r="F119" s="18">
        <f t="shared" si="47"/>
        <v>-8.0972102326193618E-3</v>
      </c>
      <c r="G119" s="18">
        <f t="shared" si="48"/>
        <v>-5.3024468308220433E-2</v>
      </c>
      <c r="H119" s="18">
        <f t="shared" si="49"/>
        <v>-1.4229813856132527E-3</v>
      </c>
      <c r="I119" s="18">
        <f t="shared" si="50"/>
        <v>2.7137058715963258E-3</v>
      </c>
      <c r="J119" s="18">
        <f t="shared" si="51"/>
        <v>1.6888218028521577E-2</v>
      </c>
      <c r="K119" s="18">
        <f t="shared" si="52"/>
        <v>-8.5103458258397012E-3</v>
      </c>
      <c r="L119" s="18">
        <f t="shared" si="53"/>
        <v>-5.3437603901440769E-2</v>
      </c>
      <c r="M119" s="18">
        <f t="shared" si="54"/>
        <v>-1.8361169788335917E-3</v>
      </c>
      <c r="N119" s="18">
        <f t="shared" si="55"/>
        <v>2.3005702783759868E-3</v>
      </c>
      <c r="O119" s="18">
        <f t="shared" si="56"/>
        <v>1.6475082435301238E-2</v>
      </c>
      <c r="W119" s="18">
        <f t="shared" ca="1" si="57"/>
        <v>0.43</v>
      </c>
      <c r="X119" s="18">
        <f t="shared" ca="1" si="57"/>
        <v>0.41</v>
      </c>
      <c r="Y119" s="18">
        <f t="shared" ca="1" si="57"/>
        <v>0.74</v>
      </c>
      <c r="Z119" s="18">
        <f t="shared" ca="1" si="57"/>
        <v>0.93</v>
      </c>
      <c r="AA119" s="18">
        <f t="shared" ca="1" si="30"/>
        <v>0.75</v>
      </c>
      <c r="AB119" s="18">
        <f t="shared" ca="1" si="31"/>
        <v>3.2600000000000002</v>
      </c>
      <c r="AC119" s="18">
        <f t="shared" ca="1" si="32"/>
        <v>0.13190184049079753</v>
      </c>
      <c r="AD119" s="18">
        <f t="shared" ca="1" si="33"/>
        <v>0.12576687116564417</v>
      </c>
      <c r="AE119" s="18">
        <f t="shared" ca="1" si="34"/>
        <v>0.22699386503067484</v>
      </c>
      <c r="AF119" s="18">
        <f t="shared" ca="1" si="35"/>
        <v>0.28527607361963192</v>
      </c>
      <c r="AG119" s="18">
        <f t="shared" ca="1" si="36"/>
        <v>0.23006134969325151</v>
      </c>
      <c r="AH119" s="18">
        <f t="shared" ca="1" si="37"/>
        <v>1</v>
      </c>
      <c r="AI119" s="18" cm="1">
        <f t="array" aca="1" ref="AI119" ca="1">MMULT(MMULT(AC119:AG119,$Q$2:$U$6),TRANSPOSE(AC119:AG119))</f>
        <v>2.3924119334729787E-4</v>
      </c>
      <c r="AJ119" s="18">
        <f t="shared" ca="1" si="38"/>
        <v>-1.5652124083930805E-3</v>
      </c>
      <c r="AK119" s="18">
        <f t="shared" ca="1" si="39"/>
        <v>-0.12790417141228566</v>
      </c>
      <c r="AL119" s="18">
        <f t="shared" ca="1" si="40"/>
        <v>-1.5652124083930805E-3</v>
      </c>
      <c r="AM119" s="18">
        <f t="shared" ca="1" si="41"/>
        <v>2.3924119334729787E-4</v>
      </c>
      <c r="AN119" s="18">
        <f t="shared" ca="1" si="42"/>
        <v>0.13190184049079753</v>
      </c>
      <c r="AO119" s="18">
        <f t="shared" ca="1" si="43"/>
        <v>0.12576687116564417</v>
      </c>
      <c r="AP119" s="18">
        <f t="shared" ca="1" si="44"/>
        <v>0.22699386503067484</v>
      </c>
      <c r="AQ119" s="18">
        <f t="shared" ca="1" si="45"/>
        <v>0.28527607361963192</v>
      </c>
      <c r="AR119" s="18">
        <f t="shared" ca="1" si="46"/>
        <v>0.23006134969325151</v>
      </c>
    </row>
    <row r="120" spans="1:44">
      <c r="A120" s="20">
        <v>24.8</v>
      </c>
      <c r="B120" s="20">
        <v>19.600000000000001</v>
      </c>
      <c r="C120" s="20">
        <v>281.39999999999998</v>
      </c>
      <c r="D120" s="21">
        <v>37.4</v>
      </c>
      <c r="E120" s="20">
        <v>83.8</v>
      </c>
      <c r="F120" s="18">
        <f t="shared" si="47"/>
        <v>8.0972102326193028E-3</v>
      </c>
      <c r="G120" s="18">
        <f t="shared" si="48"/>
        <v>-3.0153038170687443E-2</v>
      </c>
      <c r="H120" s="18">
        <f t="shared" si="49"/>
        <v>1.7784105700906091E-3</v>
      </c>
      <c r="I120" s="18">
        <f t="shared" si="50"/>
        <v>1.3459153374004711E-2</v>
      </c>
      <c r="J120" s="18">
        <f t="shared" si="51"/>
        <v>2.3894873973814854E-3</v>
      </c>
      <c r="K120" s="18">
        <f t="shared" si="52"/>
        <v>7.6840746393989634E-3</v>
      </c>
      <c r="L120" s="18">
        <f t="shared" si="53"/>
        <v>-3.0566173763907783E-2</v>
      </c>
      <c r="M120" s="18">
        <f t="shared" si="54"/>
        <v>1.3652749768702701E-3</v>
      </c>
      <c r="N120" s="18">
        <f t="shared" si="55"/>
        <v>1.3046017780784371E-2</v>
      </c>
      <c r="O120" s="18">
        <f t="shared" si="56"/>
        <v>1.9763518041611464E-3</v>
      </c>
      <c r="W120" s="18">
        <f t="shared" ca="1" si="57"/>
        <v>0.16</v>
      </c>
      <c r="X120" s="18">
        <f t="shared" ca="1" si="57"/>
        <v>0.08</v>
      </c>
      <c r="Y120" s="18">
        <f t="shared" ca="1" si="57"/>
        <v>0.99</v>
      </c>
      <c r="Z120" s="18">
        <f t="shared" ca="1" si="57"/>
        <v>0.23</v>
      </c>
      <c r="AA120" s="18">
        <f t="shared" ca="1" si="30"/>
        <v>0.3</v>
      </c>
      <c r="AB120" s="18">
        <f t="shared" ca="1" si="31"/>
        <v>1.76</v>
      </c>
      <c r="AC120" s="18">
        <f t="shared" ca="1" si="32"/>
        <v>9.0909090909090912E-2</v>
      </c>
      <c r="AD120" s="18">
        <f t="shared" ca="1" si="33"/>
        <v>4.5454545454545456E-2</v>
      </c>
      <c r="AE120" s="18">
        <f t="shared" ca="1" si="34"/>
        <v>0.5625</v>
      </c>
      <c r="AF120" s="18">
        <f t="shared" ca="1" si="35"/>
        <v>0.13068181818181818</v>
      </c>
      <c r="AG120" s="18">
        <f t="shared" ca="1" si="36"/>
        <v>0.17045454545454544</v>
      </c>
      <c r="AH120" s="18">
        <f t="shared" ca="1" si="37"/>
        <v>1</v>
      </c>
      <c r="AI120" s="18" cm="1">
        <f t="array" aca="1" ref="AI120" ca="1">MMULT(MMULT(AC120:AG120,$Q$2:$U$6),TRANSPOSE(AC120:AG120))</f>
        <v>1.6398173414867547E-4</v>
      </c>
      <c r="AJ120" s="18">
        <f t="shared" ca="1" si="38"/>
        <v>-8.1086140673037252E-3</v>
      </c>
      <c r="AK120" s="18">
        <f t="shared" ca="1" si="39"/>
        <v>-0.66547391150168778</v>
      </c>
      <c r="AL120" s="18">
        <f t="shared" ca="1" si="40"/>
        <v>-8.1086140673037252E-3</v>
      </c>
      <c r="AM120" s="18">
        <f t="shared" ca="1" si="41"/>
        <v>1.6398173414867547E-4</v>
      </c>
      <c r="AN120" s="18">
        <f t="shared" ca="1" si="42"/>
        <v>9.0909090909090912E-2</v>
      </c>
      <c r="AO120" s="18">
        <f t="shared" ca="1" si="43"/>
        <v>4.5454545454545456E-2</v>
      </c>
      <c r="AP120" s="18">
        <f t="shared" ca="1" si="44"/>
        <v>0.5625</v>
      </c>
      <c r="AQ120" s="18">
        <f t="shared" ca="1" si="45"/>
        <v>0.13068181818181818</v>
      </c>
      <c r="AR120" s="18">
        <f t="shared" ca="1" si="46"/>
        <v>0.17045454545454544</v>
      </c>
    </row>
    <row r="121" spans="1:44">
      <c r="A121" s="20">
        <v>24.8</v>
      </c>
      <c r="B121" s="20">
        <v>19.7</v>
      </c>
      <c r="C121" s="20">
        <v>280.5</v>
      </c>
      <c r="D121" s="21">
        <v>36.1</v>
      </c>
      <c r="E121" s="20">
        <v>85.4</v>
      </c>
      <c r="F121" s="18">
        <f t="shared" si="47"/>
        <v>0</v>
      </c>
      <c r="G121" s="18">
        <f t="shared" si="48"/>
        <v>5.0890695074712281E-3</v>
      </c>
      <c r="H121" s="18">
        <f t="shared" si="49"/>
        <v>-3.2034197175375891E-3</v>
      </c>
      <c r="I121" s="18">
        <f t="shared" si="50"/>
        <v>-3.537783908165093E-2</v>
      </c>
      <c r="J121" s="18">
        <f t="shared" si="51"/>
        <v>1.8913093306486994E-2</v>
      </c>
      <c r="K121" s="18">
        <f t="shared" si="52"/>
        <v>-4.1313559322033898E-4</v>
      </c>
      <c r="L121" s="18">
        <f t="shared" si="53"/>
        <v>4.6759339142508887E-3</v>
      </c>
      <c r="M121" s="18">
        <f t="shared" si="54"/>
        <v>-3.6165553107579281E-3</v>
      </c>
      <c r="N121" s="18">
        <f t="shared" si="55"/>
        <v>-3.5790974674871266E-2</v>
      </c>
      <c r="O121" s="18">
        <f t="shared" si="56"/>
        <v>1.8499957713266655E-2</v>
      </c>
      <c r="W121" s="18">
        <f t="shared" ca="1" si="57"/>
        <v>0.56999999999999995</v>
      </c>
      <c r="X121" s="18">
        <f t="shared" ca="1" si="57"/>
        <v>0.39</v>
      </c>
      <c r="Y121" s="18">
        <f t="shared" ca="1" si="57"/>
        <v>0.1</v>
      </c>
      <c r="Z121" s="18">
        <f t="shared" ca="1" si="57"/>
        <v>0.45</v>
      </c>
      <c r="AA121" s="18">
        <f t="shared" ca="1" si="30"/>
        <v>0.33</v>
      </c>
      <c r="AB121" s="18">
        <f t="shared" ca="1" si="31"/>
        <v>1.84</v>
      </c>
      <c r="AC121" s="18">
        <f t="shared" ca="1" si="32"/>
        <v>0.30978260869565211</v>
      </c>
      <c r="AD121" s="18">
        <f t="shared" ca="1" si="33"/>
        <v>0.21195652173913043</v>
      </c>
      <c r="AE121" s="18">
        <f t="shared" ca="1" si="34"/>
        <v>5.434782608695652E-2</v>
      </c>
      <c r="AF121" s="18">
        <f t="shared" ca="1" si="35"/>
        <v>0.24456521739130435</v>
      </c>
      <c r="AG121" s="18">
        <f t="shared" ca="1" si="36"/>
        <v>0.17934782608695651</v>
      </c>
      <c r="AH121" s="18">
        <f t="shared" ca="1" si="37"/>
        <v>0.99999999999999989</v>
      </c>
      <c r="AI121" s="18" cm="1">
        <f t="array" aca="1" ref="AI121" ca="1">MMULT(MMULT(AC121:AG121,$Q$2:$U$6),TRANSPOSE(AC121:AG121))</f>
        <v>2.1716045819873778E-4</v>
      </c>
      <c r="AJ121" s="18">
        <f t="shared" ca="1" si="38"/>
        <v>1.0209045857123851E-3</v>
      </c>
      <c r="AK121" s="18">
        <f t="shared" ca="1" si="39"/>
        <v>4.1242802128979329E-2</v>
      </c>
      <c r="AL121" s="18">
        <f t="shared" ca="1" si="40"/>
        <v>1.0209045857123851E-3</v>
      </c>
      <c r="AM121" s="18">
        <f t="shared" ca="1" si="41"/>
        <v>2.1716045819873778E-4</v>
      </c>
      <c r="AN121" s="18">
        <f t="shared" ca="1" si="42"/>
        <v>0.30978260869565211</v>
      </c>
      <c r="AO121" s="18">
        <f t="shared" ca="1" si="43"/>
        <v>0.21195652173913043</v>
      </c>
      <c r="AP121" s="18">
        <f t="shared" ca="1" si="44"/>
        <v>5.434782608695652E-2</v>
      </c>
      <c r="AQ121" s="18">
        <f t="shared" ca="1" si="45"/>
        <v>0.24456521739130435</v>
      </c>
      <c r="AR121" s="18">
        <f t="shared" ca="1" si="46"/>
        <v>0.17934782608695651</v>
      </c>
    </row>
    <row r="122" spans="1:44">
      <c r="A122" s="20">
        <v>24.9</v>
      </c>
      <c r="B122" s="20">
        <v>19.7</v>
      </c>
      <c r="C122" s="20">
        <v>285.2</v>
      </c>
      <c r="D122" s="21">
        <v>36.4</v>
      </c>
      <c r="E122" s="20">
        <v>89.3</v>
      </c>
      <c r="F122" s="18">
        <f t="shared" si="47"/>
        <v>4.0241502997253268E-3</v>
      </c>
      <c r="G122" s="18">
        <f t="shared" si="48"/>
        <v>0</v>
      </c>
      <c r="H122" s="18">
        <f t="shared" si="49"/>
        <v>1.6616963577389728E-2</v>
      </c>
      <c r="I122" s="18">
        <f t="shared" si="50"/>
        <v>8.2759093038596611E-3</v>
      </c>
      <c r="J122" s="18">
        <f t="shared" si="51"/>
        <v>4.4655387087929127E-2</v>
      </c>
      <c r="K122" s="18">
        <f t="shared" si="52"/>
        <v>3.6110147065049878E-3</v>
      </c>
      <c r="L122" s="18">
        <f t="shared" si="53"/>
        <v>-4.1313559322033898E-4</v>
      </c>
      <c r="M122" s="18">
        <f t="shared" si="54"/>
        <v>1.6203827984169389E-2</v>
      </c>
      <c r="N122" s="18">
        <f t="shared" si="55"/>
        <v>7.8627737106393217E-3</v>
      </c>
      <c r="O122" s="18">
        <f t="shared" si="56"/>
        <v>4.4242251494708791E-2</v>
      </c>
      <c r="W122" s="18">
        <f t="shared" ca="1" si="57"/>
        <v>0.37</v>
      </c>
      <c r="X122" s="18">
        <f t="shared" ca="1" si="57"/>
        <v>0.57999999999999996</v>
      </c>
      <c r="Y122" s="18">
        <f t="shared" ca="1" si="57"/>
        <v>0.56999999999999995</v>
      </c>
      <c r="Z122" s="18">
        <f t="shared" ca="1" si="57"/>
        <v>0.69</v>
      </c>
      <c r="AA122" s="18">
        <f t="shared" ca="1" si="30"/>
        <v>0.34</v>
      </c>
      <c r="AB122" s="18">
        <f t="shared" ca="1" si="31"/>
        <v>2.5499999999999998</v>
      </c>
      <c r="AC122" s="18">
        <f t="shared" ca="1" si="32"/>
        <v>0.14509803921568629</v>
      </c>
      <c r="AD122" s="18">
        <f t="shared" ca="1" si="33"/>
        <v>0.22745098039215686</v>
      </c>
      <c r="AE122" s="18">
        <f t="shared" ca="1" si="34"/>
        <v>0.22352941176470587</v>
      </c>
      <c r="AF122" s="18">
        <f t="shared" ca="1" si="35"/>
        <v>0.27058823529411763</v>
      </c>
      <c r="AG122" s="18">
        <f t="shared" ca="1" si="36"/>
        <v>0.13333333333333336</v>
      </c>
      <c r="AH122" s="18">
        <f t="shared" ca="1" si="37"/>
        <v>1</v>
      </c>
      <c r="AI122" s="18" cm="1">
        <f t="array" aca="1" ref="AI122" ca="1">MMULT(MMULT(AC122:AG122,$Q$2:$U$6),TRANSPOSE(AC122:AG122))</f>
        <v>2.0254712898239868E-4</v>
      </c>
      <c r="AJ122" s="18">
        <f t="shared" ca="1" si="38"/>
        <v>-3.147918899934838E-3</v>
      </c>
      <c r="AK122" s="18">
        <f t="shared" ca="1" si="39"/>
        <v>-0.25021628612401881</v>
      </c>
      <c r="AL122" s="18">
        <f t="shared" ca="1" si="40"/>
        <v>-3.147918899934838E-3</v>
      </c>
      <c r="AM122" s="18">
        <f t="shared" ca="1" si="41"/>
        <v>2.0254712898239868E-4</v>
      </c>
      <c r="AN122" s="18">
        <f t="shared" ca="1" si="42"/>
        <v>0.14509803921568629</v>
      </c>
      <c r="AO122" s="18">
        <f t="shared" ca="1" si="43"/>
        <v>0.22745098039215686</v>
      </c>
      <c r="AP122" s="18">
        <f t="shared" ca="1" si="44"/>
        <v>0.22352941176470587</v>
      </c>
      <c r="AQ122" s="18">
        <f t="shared" ca="1" si="45"/>
        <v>0.27058823529411763</v>
      </c>
      <c r="AR122" s="18">
        <f t="shared" ca="1" si="46"/>
        <v>0.13333333333333336</v>
      </c>
    </row>
    <row r="123" spans="1:44">
      <c r="A123" s="20">
        <v>24.6</v>
      </c>
      <c r="B123" s="20">
        <v>19.7</v>
      </c>
      <c r="C123" s="20">
        <v>280.3</v>
      </c>
      <c r="D123" s="21">
        <v>36.4</v>
      </c>
      <c r="E123" s="20">
        <v>90.8</v>
      </c>
      <c r="F123" s="18">
        <f t="shared" si="47"/>
        <v>-1.2121360532344737E-2</v>
      </c>
      <c r="G123" s="18">
        <f t="shared" si="48"/>
        <v>0</v>
      </c>
      <c r="H123" s="18">
        <f t="shared" si="49"/>
        <v>-1.7330230369398226E-2</v>
      </c>
      <c r="I123" s="18">
        <f t="shared" si="50"/>
        <v>0</v>
      </c>
      <c r="J123" s="18">
        <f t="shared" si="51"/>
        <v>1.6657797724794195E-2</v>
      </c>
      <c r="K123" s="18">
        <f t="shared" si="52"/>
        <v>-1.2534496125565077E-2</v>
      </c>
      <c r="L123" s="18">
        <f t="shared" si="53"/>
        <v>-4.1313559322033898E-4</v>
      </c>
      <c r="M123" s="18">
        <f t="shared" si="54"/>
        <v>-1.7743365962618565E-2</v>
      </c>
      <c r="N123" s="18">
        <f t="shared" si="55"/>
        <v>-4.1313559322033898E-4</v>
      </c>
      <c r="O123" s="18">
        <f t="shared" si="56"/>
        <v>1.6244662131573856E-2</v>
      </c>
      <c r="W123" s="18">
        <f t="shared" ca="1" si="57"/>
        <v>0.65</v>
      </c>
      <c r="X123" s="18">
        <f t="shared" ca="1" si="57"/>
        <v>0.71</v>
      </c>
      <c r="Y123" s="18">
        <f t="shared" ca="1" si="57"/>
        <v>0.71</v>
      </c>
      <c r="Z123" s="18">
        <f t="shared" ca="1" si="57"/>
        <v>0.97</v>
      </c>
      <c r="AA123" s="18">
        <f t="shared" ca="1" si="30"/>
        <v>0.84</v>
      </c>
      <c r="AB123" s="18">
        <f t="shared" ca="1" si="31"/>
        <v>3.88</v>
      </c>
      <c r="AC123" s="18">
        <f t="shared" ca="1" si="32"/>
        <v>0.1675257731958763</v>
      </c>
      <c r="AD123" s="18">
        <f t="shared" ca="1" si="33"/>
        <v>0.18298969072164947</v>
      </c>
      <c r="AE123" s="18">
        <f t="shared" ca="1" si="34"/>
        <v>0.18298969072164947</v>
      </c>
      <c r="AF123" s="18">
        <f t="shared" ca="1" si="35"/>
        <v>0.25</v>
      </c>
      <c r="AG123" s="18">
        <f t="shared" ca="1" si="36"/>
        <v>0.21649484536082475</v>
      </c>
      <c r="AH123" s="18">
        <f t="shared" ca="1" si="37"/>
        <v>1</v>
      </c>
      <c r="AI123" s="18" cm="1">
        <f t="array" aca="1" ref="AI123" ca="1">MMULT(MMULT(AC123:AG123,$Q$2:$U$6),TRANSPOSE(AC123:AG123))</f>
        <v>2.1859337896089614E-4</v>
      </c>
      <c r="AJ123" s="18">
        <f t="shared" ca="1" si="38"/>
        <v>-1.6760207885494528E-3</v>
      </c>
      <c r="AK123" s="18">
        <f t="shared" ca="1" si="39"/>
        <v>-0.14130334676431885</v>
      </c>
      <c r="AL123" s="18">
        <f t="shared" ca="1" si="40"/>
        <v>-1.6760207885494528E-3</v>
      </c>
      <c r="AM123" s="18">
        <f t="shared" ca="1" si="41"/>
        <v>2.1859337896089614E-4</v>
      </c>
      <c r="AN123" s="18">
        <f t="shared" ca="1" si="42"/>
        <v>0.1675257731958763</v>
      </c>
      <c r="AO123" s="18">
        <f t="shared" ca="1" si="43"/>
        <v>0.18298969072164947</v>
      </c>
      <c r="AP123" s="18">
        <f t="shared" ca="1" si="44"/>
        <v>0.18298969072164947</v>
      </c>
      <c r="AQ123" s="18">
        <f t="shared" ca="1" si="45"/>
        <v>0.25</v>
      </c>
      <c r="AR123" s="18">
        <f t="shared" ca="1" si="46"/>
        <v>0.21649484536082475</v>
      </c>
    </row>
    <row r="124" spans="1:44">
      <c r="A124" s="20">
        <v>24.2</v>
      </c>
      <c r="B124" s="20">
        <v>19.7</v>
      </c>
      <c r="C124" s="20">
        <v>273.89999999999998</v>
      </c>
      <c r="D124" s="21">
        <v>36.299999999999997</v>
      </c>
      <c r="E124" s="20">
        <v>86</v>
      </c>
      <c r="F124" s="18">
        <f t="shared" si="47"/>
        <v>-1.6393809775676497E-2</v>
      </c>
      <c r="G124" s="18">
        <f t="shared" si="48"/>
        <v>0</v>
      </c>
      <c r="H124" s="18">
        <f t="shared" si="49"/>
        <v>-2.3097381901710221E-2</v>
      </c>
      <c r="I124" s="18">
        <f t="shared" si="50"/>
        <v>-2.7510333718898708E-3</v>
      </c>
      <c r="J124" s="18">
        <f t="shared" si="51"/>
        <v>-5.4311989353739841E-2</v>
      </c>
      <c r="K124" s="18">
        <f t="shared" si="52"/>
        <v>-1.6806945368896837E-2</v>
      </c>
      <c r="L124" s="18">
        <f t="shared" si="53"/>
        <v>-4.1313559322033898E-4</v>
      </c>
      <c r="M124" s="18">
        <f t="shared" si="54"/>
        <v>-2.351051749493056E-2</v>
      </c>
      <c r="N124" s="18">
        <f t="shared" si="55"/>
        <v>-3.1641689651102098E-3</v>
      </c>
      <c r="O124" s="18">
        <f t="shared" si="56"/>
        <v>-5.4725124946960177E-2</v>
      </c>
      <c r="W124" s="18">
        <f t="shared" ca="1" si="57"/>
        <v>0.68</v>
      </c>
      <c r="X124" s="18">
        <f t="shared" ca="1" si="57"/>
        <v>1</v>
      </c>
      <c r="Y124" s="18">
        <f t="shared" ca="1" si="57"/>
        <v>0.97</v>
      </c>
      <c r="Z124" s="18">
        <f t="shared" ca="1" si="57"/>
        <v>0.83</v>
      </c>
      <c r="AA124" s="18">
        <f t="shared" ref="AA124:AA187" ca="1" si="58">RANDBETWEEN(1,100)/100</f>
        <v>0.3</v>
      </c>
      <c r="AB124" s="18">
        <f t="shared" ca="1" si="31"/>
        <v>3.7800000000000002</v>
      </c>
      <c r="AC124" s="18">
        <f t="shared" ca="1" si="32"/>
        <v>0.17989417989417988</v>
      </c>
      <c r="AD124" s="18">
        <f t="shared" ca="1" si="33"/>
        <v>0.26455026455026454</v>
      </c>
      <c r="AE124" s="18">
        <f t="shared" ca="1" si="34"/>
        <v>0.25661375661375657</v>
      </c>
      <c r="AF124" s="18">
        <f t="shared" ca="1" si="35"/>
        <v>0.21957671957671956</v>
      </c>
      <c r="AG124" s="18">
        <f t="shared" ca="1" si="36"/>
        <v>7.9365079365079361E-2</v>
      </c>
      <c r="AH124" s="18">
        <f t="shared" ca="1" si="37"/>
        <v>0.99999999999999978</v>
      </c>
      <c r="AI124" s="18" cm="1">
        <f t="array" aca="1" ref="AI124" ca="1">MMULT(MMULT(AC124:AG124,$Q$2:$U$6),TRANSPOSE(AC124:AG124))</f>
        <v>1.7305541474211433E-4</v>
      </c>
      <c r="AJ124" s="18">
        <f t="shared" ca="1" si="38"/>
        <v>-4.5646958987308455E-3</v>
      </c>
      <c r="AK124" s="18">
        <f t="shared" ca="1" si="39"/>
        <v>-0.37839692165540062</v>
      </c>
      <c r="AL124" s="18">
        <f t="shared" ca="1" si="40"/>
        <v>-4.5646958987308455E-3</v>
      </c>
      <c r="AM124" s="18">
        <f t="shared" ca="1" si="41"/>
        <v>1.7305541474211433E-4</v>
      </c>
      <c r="AN124" s="18">
        <f t="shared" ca="1" si="42"/>
        <v>0.17989417989417988</v>
      </c>
      <c r="AO124" s="18">
        <f t="shared" ca="1" si="43"/>
        <v>0.26455026455026454</v>
      </c>
      <c r="AP124" s="18">
        <f t="shared" ca="1" si="44"/>
        <v>0.25661375661375657</v>
      </c>
      <c r="AQ124" s="18">
        <f t="shared" ca="1" si="45"/>
        <v>0.21957671957671956</v>
      </c>
      <c r="AR124" s="18">
        <f t="shared" ca="1" si="46"/>
        <v>7.9365079365079361E-2</v>
      </c>
    </row>
    <row r="125" spans="1:44">
      <c r="A125" s="20">
        <v>24.1</v>
      </c>
      <c r="B125" s="20">
        <v>19.5</v>
      </c>
      <c r="C125" s="20">
        <v>272.10000000000002</v>
      </c>
      <c r="D125" s="21">
        <v>35.799999999999997</v>
      </c>
      <c r="E125" s="20">
        <v>82.1</v>
      </c>
      <c r="F125" s="18">
        <f t="shared" si="47"/>
        <v>-4.1407926660312769E-3</v>
      </c>
      <c r="G125" s="18">
        <f t="shared" si="48"/>
        <v>-1.0204170174241623E-2</v>
      </c>
      <c r="H125" s="18">
        <f t="shared" si="49"/>
        <v>-6.5934304798317333E-3</v>
      </c>
      <c r="I125" s="18">
        <f t="shared" si="50"/>
        <v>-1.3869847864150502E-2</v>
      </c>
      <c r="J125" s="18">
        <f t="shared" si="51"/>
        <v>-4.6409279795125255E-2</v>
      </c>
      <c r="K125" s="18">
        <f t="shared" si="52"/>
        <v>-4.5539282592516155E-3</v>
      </c>
      <c r="L125" s="18">
        <f t="shared" si="53"/>
        <v>-1.0617305767461963E-2</v>
      </c>
      <c r="M125" s="18">
        <f t="shared" si="54"/>
        <v>-7.0065660730520719E-3</v>
      </c>
      <c r="N125" s="18">
        <f t="shared" si="55"/>
        <v>-1.4282983457370842E-2</v>
      </c>
      <c r="O125" s="18">
        <f t="shared" si="56"/>
        <v>-4.6822415388345591E-2</v>
      </c>
      <c r="W125" s="18">
        <f t="shared" ca="1" si="57"/>
        <v>0.92</v>
      </c>
      <c r="X125" s="18">
        <f t="shared" ca="1" si="57"/>
        <v>0.26</v>
      </c>
      <c r="Y125" s="18">
        <f t="shared" ca="1" si="57"/>
        <v>0.23</v>
      </c>
      <c r="Z125" s="18">
        <f t="shared" ca="1" si="57"/>
        <v>0.09</v>
      </c>
      <c r="AA125" s="18">
        <f t="shared" ca="1" si="58"/>
        <v>0.99</v>
      </c>
      <c r="AB125" s="18">
        <f t="shared" ca="1" si="31"/>
        <v>2.4900000000000002</v>
      </c>
      <c r="AC125" s="18">
        <f t="shared" ca="1" si="32"/>
        <v>0.36947791164658633</v>
      </c>
      <c r="AD125" s="18">
        <f t="shared" ca="1" si="33"/>
        <v>0.10441767068273092</v>
      </c>
      <c r="AE125" s="18">
        <f t="shared" ca="1" si="34"/>
        <v>9.2369477911646583E-2</v>
      </c>
      <c r="AF125" s="18">
        <f t="shared" ca="1" si="35"/>
        <v>3.614457831325301E-2</v>
      </c>
      <c r="AG125" s="18">
        <f t="shared" ca="1" si="36"/>
        <v>0.39759036144578308</v>
      </c>
      <c r="AH125" s="18">
        <f t="shared" ca="1" si="37"/>
        <v>1</v>
      </c>
      <c r="AI125" s="18" cm="1">
        <f t="array" aca="1" ref="AI125" ca="1">MMULT(MMULT(AC125:AG125,$Q$2:$U$6),TRANSPOSE(AC125:AG125))</f>
        <v>2.9251061812338966E-4</v>
      </c>
      <c r="AJ125" s="18">
        <f t="shared" ca="1" si="38"/>
        <v>8.7687282465854686E-4</v>
      </c>
      <c r="AK125" s="18">
        <f t="shared" ca="1" si="39"/>
        <v>2.7114471705106408E-2</v>
      </c>
      <c r="AL125" s="18">
        <f t="shared" ca="1" si="40"/>
        <v>8.7687282465854686E-4</v>
      </c>
      <c r="AM125" s="18">
        <f t="shared" ca="1" si="41"/>
        <v>2.9251061812338966E-4</v>
      </c>
      <c r="AN125" s="18">
        <f t="shared" ca="1" si="42"/>
        <v>0.36947791164658633</v>
      </c>
      <c r="AO125" s="18">
        <f t="shared" ca="1" si="43"/>
        <v>0.10441767068273092</v>
      </c>
      <c r="AP125" s="18">
        <f t="shared" ca="1" si="44"/>
        <v>9.2369477911646583E-2</v>
      </c>
      <c r="AQ125" s="18">
        <f t="shared" ca="1" si="45"/>
        <v>3.614457831325301E-2</v>
      </c>
      <c r="AR125" s="18">
        <f t="shared" ca="1" si="46"/>
        <v>0.39759036144578308</v>
      </c>
    </row>
    <row r="126" spans="1:44">
      <c r="A126" s="20">
        <v>23.8</v>
      </c>
      <c r="B126" s="20">
        <v>19.399999999999999</v>
      </c>
      <c r="C126" s="20">
        <v>271.89999999999998</v>
      </c>
      <c r="D126" s="21">
        <v>35.9</v>
      </c>
      <c r="E126" s="20">
        <v>82.9</v>
      </c>
      <c r="F126" s="18">
        <f t="shared" si="47"/>
        <v>-1.2526259819180369E-2</v>
      </c>
      <c r="G126" s="18">
        <f t="shared" si="48"/>
        <v>-5.1413995004187642E-3</v>
      </c>
      <c r="H126" s="18">
        <f t="shared" si="49"/>
        <v>-7.3529415077572139E-4</v>
      </c>
      <c r="I126" s="18">
        <f t="shared" si="50"/>
        <v>2.7894020875785922E-3</v>
      </c>
      <c r="J126" s="18">
        <f t="shared" si="51"/>
        <v>9.6970456828669935E-3</v>
      </c>
      <c r="K126" s="18">
        <f t="shared" si="52"/>
        <v>-1.2939395412400708E-2</v>
      </c>
      <c r="L126" s="18">
        <f t="shared" si="53"/>
        <v>-5.5545350936391027E-3</v>
      </c>
      <c r="M126" s="18">
        <f t="shared" si="54"/>
        <v>-1.1484297439960604E-3</v>
      </c>
      <c r="N126" s="18">
        <f t="shared" si="55"/>
        <v>2.3762664943582533E-3</v>
      </c>
      <c r="O126" s="18">
        <f t="shared" si="56"/>
        <v>9.2839100896466541E-3</v>
      </c>
      <c r="W126" s="18">
        <f t="shared" ca="1" si="57"/>
        <v>0.05</v>
      </c>
      <c r="X126" s="18">
        <f t="shared" ca="1" si="57"/>
        <v>0.11</v>
      </c>
      <c r="Y126" s="18">
        <f t="shared" ca="1" si="57"/>
        <v>0.5</v>
      </c>
      <c r="Z126" s="18">
        <f t="shared" ca="1" si="57"/>
        <v>0.41</v>
      </c>
      <c r="AA126" s="18">
        <f t="shared" ca="1" si="58"/>
        <v>0.47</v>
      </c>
      <c r="AB126" s="18">
        <f t="shared" ca="1" si="31"/>
        <v>1.54</v>
      </c>
      <c r="AC126" s="18">
        <f t="shared" ca="1" si="32"/>
        <v>3.2467532467532471E-2</v>
      </c>
      <c r="AD126" s="18">
        <f t="shared" ca="1" si="33"/>
        <v>7.1428571428571425E-2</v>
      </c>
      <c r="AE126" s="18">
        <f t="shared" ca="1" si="34"/>
        <v>0.32467532467532467</v>
      </c>
      <c r="AF126" s="18">
        <f t="shared" ca="1" si="35"/>
        <v>0.26623376623376621</v>
      </c>
      <c r="AG126" s="18">
        <f t="shared" ca="1" si="36"/>
        <v>0.30519480519480519</v>
      </c>
      <c r="AH126" s="18">
        <f t="shared" ca="1" si="37"/>
        <v>1</v>
      </c>
      <c r="AI126" s="18" cm="1">
        <f t="array" aca="1" ref="AI126" ca="1">MMULT(MMULT(AC126:AG126,$Q$2:$U$6),TRANSPOSE(AC126:AG126))</f>
        <v>2.677370597194066E-4</v>
      </c>
      <c r="AJ126" s="18">
        <f t="shared" ca="1" si="38"/>
        <v>-3.2130249951053966E-3</v>
      </c>
      <c r="AK126" s="18">
        <f t="shared" ca="1" si="39"/>
        <v>-0.22161175270095826</v>
      </c>
      <c r="AL126" s="18">
        <f t="shared" ca="1" si="40"/>
        <v>-3.2130249951053966E-3</v>
      </c>
      <c r="AM126" s="18">
        <f t="shared" ca="1" si="41"/>
        <v>2.677370597194066E-4</v>
      </c>
      <c r="AN126" s="18">
        <f t="shared" ca="1" si="42"/>
        <v>3.2467532467532471E-2</v>
      </c>
      <c r="AO126" s="18">
        <f t="shared" ca="1" si="43"/>
        <v>7.1428571428571425E-2</v>
      </c>
      <c r="AP126" s="18">
        <f t="shared" ca="1" si="44"/>
        <v>0.32467532467532467</v>
      </c>
      <c r="AQ126" s="18">
        <f t="shared" ca="1" si="45"/>
        <v>0.26623376623376621</v>
      </c>
      <c r="AR126" s="18">
        <f t="shared" ca="1" si="46"/>
        <v>0.30519480519480519</v>
      </c>
    </row>
    <row r="127" spans="1:44">
      <c r="A127" s="20">
        <v>23.7</v>
      </c>
      <c r="B127" s="20">
        <v>19.5</v>
      </c>
      <c r="C127" s="20">
        <v>275.5</v>
      </c>
      <c r="D127" s="21">
        <v>34.700000000000003</v>
      </c>
      <c r="E127" s="20">
        <v>75.400000000000006</v>
      </c>
      <c r="F127" s="18">
        <f t="shared" si="47"/>
        <v>-4.2105325363436053E-3</v>
      </c>
      <c r="G127" s="18">
        <f t="shared" si="48"/>
        <v>5.1413995004186523E-3</v>
      </c>
      <c r="H127" s="18">
        <f t="shared" si="49"/>
        <v>1.3153276954544255E-2</v>
      </c>
      <c r="I127" s="18">
        <f t="shared" si="50"/>
        <v>-3.3997608541419505E-2</v>
      </c>
      <c r="J127" s="18">
        <f t="shared" si="51"/>
        <v>-9.4827787127338928E-2</v>
      </c>
      <c r="K127" s="18">
        <f t="shared" si="52"/>
        <v>-4.6236681295639438E-3</v>
      </c>
      <c r="L127" s="18">
        <f t="shared" si="53"/>
        <v>4.7282639071983129E-3</v>
      </c>
      <c r="M127" s="18">
        <f t="shared" si="54"/>
        <v>1.2740141361323915E-2</v>
      </c>
      <c r="N127" s="18">
        <f t="shared" si="55"/>
        <v>-3.4410744134639841E-2</v>
      </c>
      <c r="O127" s="18">
        <f t="shared" si="56"/>
        <v>-9.5240922720559271E-2</v>
      </c>
      <c r="W127" s="18">
        <f t="shared" ca="1" si="57"/>
        <v>0.85</v>
      </c>
      <c r="X127" s="18">
        <f t="shared" ca="1" si="57"/>
        <v>0.64</v>
      </c>
      <c r="Y127" s="18">
        <f t="shared" ca="1" si="57"/>
        <v>0.95</v>
      </c>
      <c r="Z127" s="18">
        <f t="shared" ca="1" si="57"/>
        <v>0.77</v>
      </c>
      <c r="AA127" s="18">
        <f t="shared" ca="1" si="58"/>
        <v>0.34</v>
      </c>
      <c r="AB127" s="18">
        <f t="shared" ca="1" si="31"/>
        <v>3.55</v>
      </c>
      <c r="AC127" s="18">
        <f t="shared" ca="1" si="32"/>
        <v>0.23943661971830987</v>
      </c>
      <c r="AD127" s="18">
        <f t="shared" ca="1" si="33"/>
        <v>0.18028169014084508</v>
      </c>
      <c r="AE127" s="18">
        <f t="shared" ca="1" si="34"/>
        <v>0.26760563380281688</v>
      </c>
      <c r="AF127" s="18">
        <f t="shared" ca="1" si="35"/>
        <v>0.21690140845070424</v>
      </c>
      <c r="AG127" s="18">
        <f t="shared" ca="1" si="36"/>
        <v>9.5774647887323955E-2</v>
      </c>
      <c r="AH127" s="18">
        <f t="shared" ca="1" si="37"/>
        <v>1</v>
      </c>
      <c r="AI127" s="18" cm="1">
        <f t="array" aca="1" ref="AI127" ca="1">MMULT(MMULT(AC127:AG127,$Q$2:$U$6),TRANSPOSE(AC127:AG127))</f>
        <v>1.7158949922068791E-4</v>
      </c>
      <c r="AJ127" s="18">
        <f t="shared" ca="1" si="38"/>
        <v>-3.1839591638079148E-3</v>
      </c>
      <c r="AK127" s="18">
        <f t="shared" ca="1" si="39"/>
        <v>-0.27460378880587571</v>
      </c>
      <c r="AL127" s="18">
        <f t="shared" ca="1" si="40"/>
        <v>-3.1839591638079148E-3</v>
      </c>
      <c r="AM127" s="18">
        <f t="shared" ca="1" si="41"/>
        <v>1.7158949922068791E-4</v>
      </c>
      <c r="AN127" s="18">
        <f t="shared" ca="1" si="42"/>
        <v>0.23943661971830987</v>
      </c>
      <c r="AO127" s="18">
        <f t="shared" ca="1" si="43"/>
        <v>0.18028169014084508</v>
      </c>
      <c r="AP127" s="18">
        <f t="shared" ca="1" si="44"/>
        <v>0.26760563380281688</v>
      </c>
      <c r="AQ127" s="18">
        <f t="shared" ca="1" si="45"/>
        <v>0.21690140845070424</v>
      </c>
      <c r="AR127" s="18">
        <f t="shared" ca="1" si="46"/>
        <v>9.5774647887323955E-2</v>
      </c>
    </row>
    <row r="128" spans="1:44">
      <c r="A128" s="20">
        <v>24.3</v>
      </c>
      <c r="B128" s="20">
        <v>19.5</v>
      </c>
      <c r="C128" s="20">
        <v>283.89999999999998</v>
      </c>
      <c r="D128" s="21">
        <v>36.700000000000003</v>
      </c>
      <c r="E128" s="20">
        <v>72.7</v>
      </c>
      <c r="F128" s="18">
        <f t="shared" si="47"/>
        <v>2.5001302205417401E-2</v>
      </c>
      <c r="G128" s="18">
        <f t="shared" si="48"/>
        <v>0</v>
      </c>
      <c r="H128" s="18">
        <f t="shared" si="49"/>
        <v>3.0034434885956352E-2</v>
      </c>
      <c r="I128" s="18">
        <f t="shared" si="50"/>
        <v>5.6037068107710988E-2</v>
      </c>
      <c r="J128" s="18">
        <f t="shared" si="51"/>
        <v>-3.6465890474436748E-2</v>
      </c>
      <c r="K128" s="18">
        <f t="shared" si="52"/>
        <v>2.4588166612197062E-2</v>
      </c>
      <c r="L128" s="18">
        <f t="shared" si="53"/>
        <v>-4.1313559322033898E-4</v>
      </c>
      <c r="M128" s="18">
        <f t="shared" si="54"/>
        <v>2.9621299292736013E-2</v>
      </c>
      <c r="N128" s="18">
        <f t="shared" si="55"/>
        <v>5.5623932514490652E-2</v>
      </c>
      <c r="O128" s="18">
        <f t="shared" si="56"/>
        <v>-3.6879026067657084E-2</v>
      </c>
      <c r="W128" s="18">
        <f t="shared" ca="1" si="57"/>
        <v>0.33</v>
      </c>
      <c r="X128" s="18">
        <f t="shared" ca="1" si="57"/>
        <v>0.4</v>
      </c>
      <c r="Y128" s="18">
        <f t="shared" ca="1" si="57"/>
        <v>0.24</v>
      </c>
      <c r="Z128" s="18">
        <f t="shared" ca="1" si="57"/>
        <v>7.0000000000000007E-2</v>
      </c>
      <c r="AA128" s="18">
        <f t="shared" ca="1" si="58"/>
        <v>0.56999999999999995</v>
      </c>
      <c r="AB128" s="18">
        <f t="shared" ca="1" si="31"/>
        <v>1.6099999999999999</v>
      </c>
      <c r="AC128" s="18">
        <f t="shared" ca="1" si="32"/>
        <v>0.20496894409937891</v>
      </c>
      <c r="AD128" s="18">
        <f t="shared" ca="1" si="33"/>
        <v>0.24844720496894412</v>
      </c>
      <c r="AE128" s="18">
        <f t="shared" ca="1" si="34"/>
        <v>0.14906832298136646</v>
      </c>
      <c r="AF128" s="18">
        <f t="shared" ca="1" si="35"/>
        <v>4.3478260869565223E-2</v>
      </c>
      <c r="AG128" s="18">
        <f t="shared" ca="1" si="36"/>
        <v>0.35403726708074534</v>
      </c>
      <c r="AH128" s="18">
        <f t="shared" ca="1" si="37"/>
        <v>1</v>
      </c>
      <c r="AI128" s="18" cm="1">
        <f t="array" aca="1" ref="AI128" ca="1">MMULT(MMULT(AC128:AG128,$Q$2:$U$6),TRANSPOSE(AC128:AG128))</f>
        <v>2.4705070597686075E-4</v>
      </c>
      <c r="AJ128" s="18">
        <f t="shared" ca="1" si="38"/>
        <v>-3.2420602890506456E-3</v>
      </c>
      <c r="AK128" s="18">
        <f t="shared" ca="1" si="39"/>
        <v>-0.23255067592633755</v>
      </c>
      <c r="AL128" s="18">
        <f t="shared" ca="1" si="40"/>
        <v>-3.2420602890506456E-3</v>
      </c>
      <c r="AM128" s="18">
        <f t="shared" ca="1" si="41"/>
        <v>2.4705070597686075E-4</v>
      </c>
      <c r="AN128" s="18">
        <f t="shared" ca="1" si="42"/>
        <v>0.20496894409937891</v>
      </c>
      <c r="AO128" s="18">
        <f t="shared" ca="1" si="43"/>
        <v>0.24844720496894412</v>
      </c>
      <c r="AP128" s="18">
        <f t="shared" ca="1" si="44"/>
        <v>0.14906832298136646</v>
      </c>
      <c r="AQ128" s="18">
        <f t="shared" ca="1" si="45"/>
        <v>4.3478260869565223E-2</v>
      </c>
      <c r="AR128" s="18">
        <f t="shared" ca="1" si="46"/>
        <v>0.35403726708074534</v>
      </c>
    </row>
    <row r="129" spans="1:44">
      <c r="A129" s="20">
        <v>24.3</v>
      </c>
      <c r="B129" s="20">
        <v>19.600000000000001</v>
      </c>
      <c r="C129" s="20">
        <v>286.89999999999998</v>
      </c>
      <c r="D129" s="21">
        <v>37.9</v>
      </c>
      <c r="E129" s="20">
        <v>72.2</v>
      </c>
      <c r="F129" s="18">
        <f t="shared" si="47"/>
        <v>0</v>
      </c>
      <c r="G129" s="18">
        <f t="shared" si="48"/>
        <v>5.1151006667704089E-3</v>
      </c>
      <c r="H129" s="18">
        <f t="shared" si="49"/>
        <v>1.0511659508393528E-2</v>
      </c>
      <c r="I129" s="18">
        <f t="shared" si="50"/>
        <v>3.2174357027855899E-2</v>
      </c>
      <c r="J129" s="18">
        <f t="shared" si="51"/>
        <v>-6.9013386406931573E-3</v>
      </c>
      <c r="K129" s="18">
        <f t="shared" si="52"/>
        <v>-4.1313559322033898E-4</v>
      </c>
      <c r="L129" s="18">
        <f t="shared" si="53"/>
        <v>4.7019650735500695E-3</v>
      </c>
      <c r="M129" s="18">
        <f t="shared" si="54"/>
        <v>1.0098523915173189E-2</v>
      </c>
      <c r="N129" s="18">
        <f t="shared" si="55"/>
        <v>3.1761221434635563E-2</v>
      </c>
      <c r="O129" s="18">
        <f t="shared" si="56"/>
        <v>-7.3144742339134958E-3</v>
      </c>
      <c r="W129" s="18">
        <f t="shared" ca="1" si="57"/>
        <v>0.78</v>
      </c>
      <c r="X129" s="18">
        <f t="shared" ca="1" si="57"/>
        <v>0.01</v>
      </c>
      <c r="Y129" s="18">
        <f t="shared" ca="1" si="57"/>
        <v>0.81</v>
      </c>
      <c r="Z129" s="18">
        <f t="shared" ca="1" si="57"/>
        <v>0.32</v>
      </c>
      <c r="AA129" s="18">
        <f t="shared" ca="1" si="58"/>
        <v>0.42</v>
      </c>
      <c r="AB129" s="18">
        <f t="shared" ca="1" si="31"/>
        <v>2.3400000000000003</v>
      </c>
      <c r="AC129" s="18">
        <f t="shared" ca="1" si="32"/>
        <v>0.33333333333333331</v>
      </c>
      <c r="AD129" s="18">
        <f t="shared" ca="1" si="33"/>
        <v>4.2735042735042731E-3</v>
      </c>
      <c r="AE129" s="18">
        <f t="shared" ca="1" si="34"/>
        <v>0.34615384615384615</v>
      </c>
      <c r="AF129" s="18">
        <f t="shared" ca="1" si="35"/>
        <v>0.13675213675213674</v>
      </c>
      <c r="AG129" s="18">
        <f t="shared" ca="1" si="36"/>
        <v>0.17948717948717946</v>
      </c>
      <c r="AH129" s="18">
        <f t="shared" ca="1" si="37"/>
        <v>1</v>
      </c>
      <c r="AI129" s="18" cm="1">
        <f t="array" aca="1" ref="AI129" ca="1">MMULT(MMULT(AC129:AG129,$Q$2:$U$6),TRANSPOSE(AC129:AG129))</f>
        <v>1.6932239633273515E-4</v>
      </c>
      <c r="AJ129" s="18">
        <f t="shared" ca="1" si="38"/>
        <v>-2.0297820863293993E-3</v>
      </c>
      <c r="AK129" s="18">
        <f t="shared" ca="1" si="39"/>
        <v>-0.18773775899904313</v>
      </c>
      <c r="AL129" s="18">
        <f t="shared" ca="1" si="40"/>
        <v>-2.0297820863293993E-3</v>
      </c>
      <c r="AM129" s="18">
        <f t="shared" ca="1" si="41"/>
        <v>1.6932239633273515E-4</v>
      </c>
      <c r="AN129" s="18">
        <f t="shared" ca="1" si="42"/>
        <v>0.33333333333333331</v>
      </c>
      <c r="AO129" s="18">
        <f t="shared" ca="1" si="43"/>
        <v>4.2735042735042731E-3</v>
      </c>
      <c r="AP129" s="18">
        <f t="shared" ca="1" si="44"/>
        <v>0.34615384615384615</v>
      </c>
      <c r="AQ129" s="18">
        <f t="shared" ca="1" si="45"/>
        <v>0.13675213675213674</v>
      </c>
      <c r="AR129" s="18">
        <f t="shared" ca="1" si="46"/>
        <v>0.17948717948717946</v>
      </c>
    </row>
    <row r="130" spans="1:44">
      <c r="A130" s="20">
        <v>23.9</v>
      </c>
      <c r="B130" s="20">
        <v>19.5</v>
      </c>
      <c r="C130" s="20">
        <v>277.5</v>
      </c>
      <c r="D130" s="21">
        <v>37.5</v>
      </c>
      <c r="E130" s="20">
        <v>69.599999999999994</v>
      </c>
      <c r="F130" s="18">
        <f t="shared" si="47"/>
        <v>-1.6597891409037828E-2</v>
      </c>
      <c r="G130" s="18">
        <f t="shared" si="48"/>
        <v>-5.1151006667704887E-3</v>
      </c>
      <c r="H130" s="18">
        <f t="shared" si="49"/>
        <v>-3.3312789800829856E-2</v>
      </c>
      <c r="I130" s="18">
        <f t="shared" si="50"/>
        <v>-1.0610179112015459E-2</v>
      </c>
      <c r="J130" s="18">
        <f t="shared" si="51"/>
        <v>-3.6675478558406686E-2</v>
      </c>
      <c r="K130" s="18">
        <f t="shared" si="52"/>
        <v>-1.7011027002258167E-2</v>
      </c>
      <c r="L130" s="18">
        <f t="shared" si="53"/>
        <v>-5.5282362599908281E-3</v>
      </c>
      <c r="M130" s="18">
        <f t="shared" si="54"/>
        <v>-3.3725925394050192E-2</v>
      </c>
      <c r="N130" s="18">
        <f t="shared" si="55"/>
        <v>-1.1023314705235798E-2</v>
      </c>
      <c r="O130" s="18">
        <f t="shared" si="56"/>
        <v>-3.7088614151627022E-2</v>
      </c>
      <c r="W130" s="18">
        <f t="shared" ca="1" si="57"/>
        <v>0.46</v>
      </c>
      <c r="X130" s="18">
        <f t="shared" ca="1" si="57"/>
        <v>0.71</v>
      </c>
      <c r="Y130" s="18">
        <f t="shared" ca="1" si="57"/>
        <v>0.77</v>
      </c>
      <c r="Z130" s="18">
        <f t="shared" ca="1" si="57"/>
        <v>0.85</v>
      </c>
      <c r="AA130" s="18">
        <f t="shared" ca="1" si="58"/>
        <v>0.33</v>
      </c>
      <c r="AB130" s="18">
        <f t="shared" ca="1" si="31"/>
        <v>3.12</v>
      </c>
      <c r="AC130" s="18">
        <f t="shared" ca="1" si="32"/>
        <v>0.14743589743589744</v>
      </c>
      <c r="AD130" s="18">
        <f t="shared" ca="1" si="33"/>
        <v>0.22756410256410253</v>
      </c>
      <c r="AE130" s="18">
        <f t="shared" ca="1" si="34"/>
        <v>0.24679487179487178</v>
      </c>
      <c r="AF130" s="18">
        <f t="shared" ca="1" si="35"/>
        <v>0.27243589743589741</v>
      </c>
      <c r="AG130" s="18">
        <f t="shared" ca="1" si="36"/>
        <v>0.10576923076923077</v>
      </c>
      <c r="AH130" s="18">
        <f t="shared" ca="1" si="37"/>
        <v>0.99999999999999989</v>
      </c>
      <c r="AI130" s="18" cm="1">
        <f t="array" aca="1" ref="AI130" ca="1">MMULT(MMULT(AC130:AG130,$Q$2:$U$6),TRANSPOSE(AC130:AG130))</f>
        <v>1.984362388470505E-4</v>
      </c>
      <c r="AJ130" s="18">
        <f t="shared" ca="1" si="38"/>
        <v>-3.5845948009229547E-3</v>
      </c>
      <c r="AK130" s="18">
        <f t="shared" ca="1" si="39"/>
        <v>-0.28379386886623836</v>
      </c>
      <c r="AL130" s="18">
        <f t="shared" ca="1" si="40"/>
        <v>-3.5845948009229547E-3</v>
      </c>
      <c r="AM130" s="18">
        <f t="shared" ca="1" si="41"/>
        <v>1.984362388470505E-4</v>
      </c>
      <c r="AN130" s="18">
        <f t="shared" ca="1" si="42"/>
        <v>0.14743589743589744</v>
      </c>
      <c r="AO130" s="18">
        <f t="shared" ca="1" si="43"/>
        <v>0.22756410256410253</v>
      </c>
      <c r="AP130" s="18">
        <f t="shared" ca="1" si="44"/>
        <v>0.24679487179487178</v>
      </c>
      <c r="AQ130" s="18">
        <f t="shared" ca="1" si="45"/>
        <v>0.27243589743589741</v>
      </c>
      <c r="AR130" s="18">
        <f t="shared" ca="1" si="46"/>
        <v>0.10576923076923077</v>
      </c>
    </row>
    <row r="131" spans="1:44">
      <c r="A131" s="20">
        <v>24.4</v>
      </c>
      <c r="B131" s="20">
        <v>19.399999999999999</v>
      </c>
      <c r="C131" s="20">
        <v>281.2</v>
      </c>
      <c r="D131" s="21">
        <v>38.700000000000003</v>
      </c>
      <c r="E131" s="20">
        <v>70.099999999999994</v>
      </c>
      <c r="F131" s="18">
        <f t="shared" si="47"/>
        <v>2.0704673361691201E-2</v>
      </c>
      <c r="G131" s="18">
        <f t="shared" si="48"/>
        <v>-5.1413995004187642E-3</v>
      </c>
      <c r="H131" s="18">
        <f t="shared" si="49"/>
        <v>1.3245226750020505E-2</v>
      </c>
      <c r="I131" s="18">
        <f t="shared" si="50"/>
        <v>3.1498667059371016E-2</v>
      </c>
      <c r="J131" s="18">
        <f t="shared" si="51"/>
        <v>7.1582267001704487E-3</v>
      </c>
      <c r="K131" s="18">
        <f t="shared" si="52"/>
        <v>2.0291537768470862E-2</v>
      </c>
      <c r="L131" s="18">
        <f t="shared" si="53"/>
        <v>-5.5545350936391027E-3</v>
      </c>
      <c r="M131" s="18">
        <f t="shared" si="54"/>
        <v>1.2832091156800165E-2</v>
      </c>
      <c r="N131" s="18">
        <f t="shared" si="55"/>
        <v>3.1085531466150677E-2</v>
      </c>
      <c r="O131" s="18">
        <f t="shared" si="56"/>
        <v>6.7450911069501102E-3</v>
      </c>
      <c r="W131" s="18">
        <f t="shared" ca="1" si="57"/>
        <v>0.12</v>
      </c>
      <c r="X131" s="18">
        <f t="shared" ca="1" si="57"/>
        <v>0.09</v>
      </c>
      <c r="Y131" s="18">
        <f t="shared" ca="1" si="57"/>
        <v>0.15</v>
      </c>
      <c r="Z131" s="18">
        <f t="shared" ref="Z131:AA194" ca="1" si="59">RANDBETWEEN(1,100)/100</f>
        <v>0.56000000000000005</v>
      </c>
      <c r="AA131" s="18">
        <f t="shared" ca="1" si="58"/>
        <v>0.11</v>
      </c>
      <c r="AB131" s="18">
        <f t="shared" ref="AB131:AB194" ca="1" si="60">SUM(W131:AA131)</f>
        <v>1.03</v>
      </c>
      <c r="AC131" s="18">
        <f t="shared" ref="AC131:AC194" ca="1" si="61">W131/$AB131</f>
        <v>0.11650485436893203</v>
      </c>
      <c r="AD131" s="18">
        <f t="shared" ref="AD131:AD194" ca="1" si="62">X131/$AB131</f>
        <v>8.7378640776699018E-2</v>
      </c>
      <c r="AE131" s="18">
        <f t="shared" ref="AE131:AE194" ca="1" si="63">Y131/$AB131</f>
        <v>0.14563106796116504</v>
      </c>
      <c r="AF131" s="18">
        <f t="shared" ref="AF131:AF194" ca="1" si="64">Z131/$AB131</f>
        <v>0.54368932038834961</v>
      </c>
      <c r="AG131" s="18">
        <f t="shared" ref="AG131:AG194" ca="1" si="65">AA131/$AB131</f>
        <v>0.10679611650485436</v>
      </c>
      <c r="AH131" s="18">
        <f t="shared" ref="AH131:AH194" ca="1" si="66">SUM(AC131:AG131)</f>
        <v>1</v>
      </c>
      <c r="AI131" s="18" cm="1">
        <f t="array" aca="1" ref="AI131" ca="1">MMULT(MMULT(AC131:AG131,$Q$2:$U$6),TRANSPOSE(AC131:AG131))</f>
        <v>4.062566845162582E-4</v>
      </c>
      <c r="AJ131" s="18">
        <f t="shared" ref="AJ131:AJ194" ca="1" si="67">SUMPRODUCT(AC131:AG131,$F$235:$J$235)</f>
        <v>2.2864218315936224E-3</v>
      </c>
      <c r="AK131" s="18">
        <f t="shared" ref="AK131:AK194" ca="1" si="68">(AJ131-$K$2)/SQRT(AI131)</f>
        <v>9.2940259929116642E-2</v>
      </c>
      <c r="AL131" s="18">
        <f t="shared" ref="AL131:AL194" ca="1" si="69">AJ131</f>
        <v>2.2864218315936224E-3</v>
      </c>
      <c r="AM131" s="18">
        <f t="shared" ref="AM131:AM194" ca="1" si="70">AI131</f>
        <v>4.062566845162582E-4</v>
      </c>
      <c r="AN131" s="18">
        <f t="shared" ref="AN131:AN194" ca="1" si="71">AC131</f>
        <v>0.11650485436893203</v>
      </c>
      <c r="AO131" s="18">
        <f t="shared" ref="AO131:AO194" ca="1" si="72">AD131</f>
        <v>8.7378640776699018E-2</v>
      </c>
      <c r="AP131" s="18">
        <f t="shared" ref="AP131:AP194" ca="1" si="73">AE131</f>
        <v>0.14563106796116504</v>
      </c>
      <c r="AQ131" s="18">
        <f t="shared" ref="AQ131:AQ194" ca="1" si="74">AF131</f>
        <v>0.54368932038834961</v>
      </c>
      <c r="AR131" s="18">
        <f t="shared" ref="AR131:AR194" ca="1" si="75">AG131</f>
        <v>0.10679611650485436</v>
      </c>
    </row>
    <row r="132" spans="1:44">
      <c r="A132" s="20">
        <v>23.8</v>
      </c>
      <c r="B132" s="20">
        <v>19.3</v>
      </c>
      <c r="C132" s="20">
        <v>275.5</v>
      </c>
      <c r="D132" s="21">
        <v>37.9</v>
      </c>
      <c r="E132" s="20">
        <v>68.5</v>
      </c>
      <c r="F132" s="18">
        <f t="shared" ref="F132:F195" si="76">LN(A132/A131)</f>
        <v>-2.4897551621727087E-2</v>
      </c>
      <c r="G132" s="18">
        <f t="shared" ref="G132:G195" si="77">LN(B132/B131)</f>
        <v>-5.1679701584424493E-3</v>
      </c>
      <c r="H132" s="18">
        <f t="shared" ref="H132:H195" si="78">LN(C132/C131)</f>
        <v>-2.0478531343540676E-2</v>
      </c>
      <c r="I132" s="18">
        <f t="shared" ref="I132:I195" si="79">LN(D132/D131)</f>
        <v>-2.0888487947355535E-2</v>
      </c>
      <c r="J132" s="18">
        <f t="shared" ref="J132:J195" si="80">LN(E132/E131)</f>
        <v>-2.3089048772364701E-2</v>
      </c>
      <c r="K132" s="18">
        <f t="shared" ref="K132:K195" si="81">F132-$K$2</f>
        <v>-2.5310687214947426E-2</v>
      </c>
      <c r="L132" s="18">
        <f t="shared" ref="L132:L195" si="82">G132-$L$2</f>
        <v>-5.5811057516627887E-3</v>
      </c>
      <c r="M132" s="18">
        <f t="shared" ref="M132:M195" si="83">H132-$M$2</f>
        <v>-2.0891666936761016E-2</v>
      </c>
      <c r="N132" s="18">
        <f t="shared" ref="N132:N195" si="84">I132-$N$2</f>
        <v>-2.1301623540575874E-2</v>
      </c>
      <c r="O132" s="18">
        <f t="shared" ref="O132:O195" si="85">J132-$O$2</f>
        <v>-2.350218436558504E-2</v>
      </c>
      <c r="W132" s="18">
        <f t="shared" ref="W132:AA195" ca="1" si="86">RANDBETWEEN(1,100)/100</f>
        <v>0.87</v>
      </c>
      <c r="X132" s="18">
        <f t="shared" ca="1" si="86"/>
        <v>0.56999999999999995</v>
      </c>
      <c r="Y132" s="18">
        <f t="shared" ca="1" si="86"/>
        <v>0.97</v>
      </c>
      <c r="Z132" s="18">
        <f t="shared" ca="1" si="59"/>
        <v>0.69</v>
      </c>
      <c r="AA132" s="18">
        <f t="shared" ca="1" si="58"/>
        <v>0.45</v>
      </c>
      <c r="AB132" s="18">
        <f t="shared" ca="1" si="60"/>
        <v>3.5500000000000003</v>
      </c>
      <c r="AC132" s="18">
        <f t="shared" ca="1" si="61"/>
        <v>0.24507042253521125</v>
      </c>
      <c r="AD132" s="18">
        <f t="shared" ca="1" si="62"/>
        <v>0.16056338028169012</v>
      </c>
      <c r="AE132" s="18">
        <f t="shared" ca="1" si="63"/>
        <v>0.27323943661971828</v>
      </c>
      <c r="AF132" s="18">
        <f t="shared" ca="1" si="64"/>
        <v>0.19436619718309855</v>
      </c>
      <c r="AG132" s="18">
        <f t="shared" ca="1" si="65"/>
        <v>0.12676056338028169</v>
      </c>
      <c r="AH132" s="18">
        <f t="shared" ca="1" si="66"/>
        <v>1</v>
      </c>
      <c r="AI132" s="18" cm="1">
        <f t="array" aca="1" ref="AI132" ca="1">MMULT(MMULT(AC132:AG132,$Q$2:$U$6),TRANSPOSE(AC132:AG132))</f>
        <v>1.6698100824648866E-4</v>
      </c>
      <c r="AJ132" s="18">
        <f t="shared" ca="1" si="67"/>
        <v>-3.1048254125881918E-3</v>
      </c>
      <c r="AK132" s="18">
        <f t="shared" ca="1" si="68"/>
        <v>-0.27224347636714802</v>
      </c>
      <c r="AL132" s="18">
        <f t="shared" ca="1" si="69"/>
        <v>-3.1048254125881918E-3</v>
      </c>
      <c r="AM132" s="18">
        <f t="shared" ca="1" si="70"/>
        <v>1.6698100824648866E-4</v>
      </c>
      <c r="AN132" s="18">
        <f t="shared" ca="1" si="71"/>
        <v>0.24507042253521125</v>
      </c>
      <c r="AO132" s="18">
        <f t="shared" ca="1" si="72"/>
        <v>0.16056338028169012</v>
      </c>
      <c r="AP132" s="18">
        <f t="shared" ca="1" si="73"/>
        <v>0.27323943661971828</v>
      </c>
      <c r="AQ132" s="18">
        <f t="shared" ca="1" si="74"/>
        <v>0.19436619718309855</v>
      </c>
      <c r="AR132" s="18">
        <f t="shared" ca="1" si="75"/>
        <v>0.12676056338028169</v>
      </c>
    </row>
    <row r="133" spans="1:44">
      <c r="A133" s="20">
        <v>24</v>
      </c>
      <c r="B133" s="20">
        <v>19</v>
      </c>
      <c r="C133" s="20">
        <v>267</v>
      </c>
      <c r="D133" s="21">
        <v>36.700000000000003</v>
      </c>
      <c r="E133" s="20">
        <v>68.900000000000006</v>
      </c>
      <c r="F133" s="18">
        <f t="shared" si="76"/>
        <v>8.3682496705165792E-3</v>
      </c>
      <c r="G133" s="18">
        <f t="shared" si="77"/>
        <v>-1.5666116744399463E-2</v>
      </c>
      <c r="H133" s="18">
        <f t="shared" si="78"/>
        <v>-3.1338970192719702E-2</v>
      </c>
      <c r="I133" s="18">
        <f t="shared" si="79"/>
        <v>-3.2174357027855961E-2</v>
      </c>
      <c r="J133" s="18">
        <f t="shared" si="80"/>
        <v>5.82243275143345E-3</v>
      </c>
      <c r="K133" s="18">
        <f t="shared" si="81"/>
        <v>7.9551140772962398E-3</v>
      </c>
      <c r="L133" s="18">
        <f t="shared" si="82"/>
        <v>-1.6079252337619802E-2</v>
      </c>
      <c r="M133" s="18">
        <f t="shared" si="83"/>
        <v>-3.1752105785940038E-2</v>
      </c>
      <c r="N133" s="18">
        <f t="shared" si="84"/>
        <v>-3.2587492621076297E-2</v>
      </c>
      <c r="O133" s="18">
        <f t="shared" si="85"/>
        <v>5.4092971582131114E-3</v>
      </c>
      <c r="W133" s="18">
        <f t="shared" ca="1" si="86"/>
        <v>0.37</v>
      </c>
      <c r="X133" s="18">
        <f t="shared" ca="1" si="86"/>
        <v>0.25</v>
      </c>
      <c r="Y133" s="18">
        <f t="shared" ca="1" si="86"/>
        <v>0.62</v>
      </c>
      <c r="Z133" s="18">
        <f t="shared" ca="1" si="59"/>
        <v>0.05</v>
      </c>
      <c r="AA133" s="18">
        <f t="shared" ca="1" si="58"/>
        <v>0.95</v>
      </c>
      <c r="AB133" s="18">
        <f t="shared" ca="1" si="60"/>
        <v>2.2400000000000002</v>
      </c>
      <c r="AC133" s="18">
        <f t="shared" ca="1" si="61"/>
        <v>0.16517857142857142</v>
      </c>
      <c r="AD133" s="18">
        <f t="shared" ca="1" si="62"/>
        <v>0.11160714285714285</v>
      </c>
      <c r="AE133" s="18">
        <f t="shared" ca="1" si="63"/>
        <v>0.27678571428571425</v>
      </c>
      <c r="AF133" s="18">
        <f t="shared" ca="1" si="64"/>
        <v>2.2321428571428572E-2</v>
      </c>
      <c r="AG133" s="18">
        <f t="shared" ca="1" si="65"/>
        <v>0.42410714285714279</v>
      </c>
      <c r="AH133" s="18">
        <f t="shared" ca="1" si="66"/>
        <v>1</v>
      </c>
      <c r="AI133" s="18" cm="1">
        <f t="array" aca="1" ref="AI133" ca="1">MMULT(MMULT(AC133:AG133,$Q$2:$U$6),TRANSPOSE(AC133:AG133))</f>
        <v>2.9673002000646267E-4</v>
      </c>
      <c r="AJ133" s="18">
        <f t="shared" ca="1" si="67"/>
        <v>-3.9078884046634373E-3</v>
      </c>
      <c r="AK133" s="18">
        <f t="shared" ca="1" si="68"/>
        <v>-0.25084528101526832</v>
      </c>
      <c r="AL133" s="18">
        <f t="shared" ca="1" si="69"/>
        <v>-3.9078884046634373E-3</v>
      </c>
      <c r="AM133" s="18">
        <f t="shared" ca="1" si="70"/>
        <v>2.9673002000646267E-4</v>
      </c>
      <c r="AN133" s="18">
        <f t="shared" ca="1" si="71"/>
        <v>0.16517857142857142</v>
      </c>
      <c r="AO133" s="18">
        <f t="shared" ca="1" si="72"/>
        <v>0.11160714285714285</v>
      </c>
      <c r="AP133" s="18">
        <f t="shared" ca="1" si="73"/>
        <v>0.27678571428571425</v>
      </c>
      <c r="AQ133" s="18">
        <f t="shared" ca="1" si="74"/>
        <v>2.2321428571428572E-2</v>
      </c>
      <c r="AR133" s="18">
        <f t="shared" ca="1" si="75"/>
        <v>0.42410714285714279</v>
      </c>
    </row>
    <row r="134" spans="1:44">
      <c r="A134" s="20">
        <v>23.8</v>
      </c>
      <c r="B134" s="20">
        <v>18.899999999999999</v>
      </c>
      <c r="C134" s="20">
        <v>264.8</v>
      </c>
      <c r="D134" s="21">
        <v>36.299999999999997</v>
      </c>
      <c r="E134" s="20">
        <v>67.2</v>
      </c>
      <c r="F134" s="18">
        <f t="shared" si="76"/>
        <v>-8.3682496705165792E-3</v>
      </c>
      <c r="G134" s="18">
        <f t="shared" si="77"/>
        <v>-5.2770571008438931E-3</v>
      </c>
      <c r="H134" s="18">
        <f t="shared" si="78"/>
        <v>-8.2738343373963599E-3</v>
      </c>
      <c r="I134" s="18">
        <f t="shared" si="79"/>
        <v>-1.0959013789719654E-2</v>
      </c>
      <c r="J134" s="18">
        <f t="shared" si="80"/>
        <v>-2.4982930490509109E-2</v>
      </c>
      <c r="K134" s="18">
        <f t="shared" si="81"/>
        <v>-8.7813852637369186E-3</v>
      </c>
      <c r="L134" s="18">
        <f t="shared" si="82"/>
        <v>-5.6901926940642316E-3</v>
      </c>
      <c r="M134" s="18">
        <f t="shared" si="83"/>
        <v>-8.6869699306166993E-3</v>
      </c>
      <c r="N134" s="18">
        <f t="shared" si="84"/>
        <v>-1.1372149382939994E-2</v>
      </c>
      <c r="O134" s="18">
        <f t="shared" si="85"/>
        <v>-2.5396066083729449E-2</v>
      </c>
      <c r="W134" s="18">
        <f t="shared" ca="1" si="86"/>
        <v>0.35</v>
      </c>
      <c r="X134" s="18">
        <f t="shared" ca="1" si="86"/>
        <v>0.54</v>
      </c>
      <c r="Y134" s="18">
        <f t="shared" ca="1" si="86"/>
        <v>0.32</v>
      </c>
      <c r="Z134" s="18">
        <f t="shared" ca="1" si="59"/>
        <v>0.55000000000000004</v>
      </c>
      <c r="AA134" s="18">
        <f t="shared" ca="1" si="58"/>
        <v>0.99</v>
      </c>
      <c r="AB134" s="18">
        <f t="shared" ca="1" si="60"/>
        <v>2.75</v>
      </c>
      <c r="AC134" s="18">
        <f t="shared" ca="1" si="61"/>
        <v>0.12727272727272726</v>
      </c>
      <c r="AD134" s="18">
        <f t="shared" ca="1" si="62"/>
        <v>0.19636363636363638</v>
      </c>
      <c r="AE134" s="18">
        <f t="shared" ca="1" si="63"/>
        <v>0.11636363636363636</v>
      </c>
      <c r="AF134" s="18">
        <f t="shared" ca="1" si="64"/>
        <v>0.2</v>
      </c>
      <c r="AG134" s="18">
        <f t="shared" ca="1" si="65"/>
        <v>0.36</v>
      </c>
      <c r="AH134" s="18">
        <f t="shared" ca="1" si="66"/>
        <v>0.99999999999999989</v>
      </c>
      <c r="AI134" s="18" cm="1">
        <f t="array" aca="1" ref="AI134" ca="1">MMULT(MMULT(AC134:AG134,$Q$2:$U$6),TRANSPOSE(AC134:AG134))</f>
        <v>2.8629239743960261E-4</v>
      </c>
      <c r="AJ134" s="18">
        <f t="shared" ca="1" si="67"/>
        <v>-1.095065262257138E-3</v>
      </c>
      <c r="AK134" s="18">
        <f t="shared" ca="1" si="68"/>
        <v>-8.9136232742780139E-2</v>
      </c>
      <c r="AL134" s="18">
        <f t="shared" ca="1" si="69"/>
        <v>-1.095065262257138E-3</v>
      </c>
      <c r="AM134" s="18">
        <f t="shared" ca="1" si="70"/>
        <v>2.8629239743960261E-4</v>
      </c>
      <c r="AN134" s="18">
        <f t="shared" ca="1" si="71"/>
        <v>0.12727272727272726</v>
      </c>
      <c r="AO134" s="18">
        <f t="shared" ca="1" si="72"/>
        <v>0.19636363636363638</v>
      </c>
      <c r="AP134" s="18">
        <f t="shared" ca="1" si="73"/>
        <v>0.11636363636363636</v>
      </c>
      <c r="AQ134" s="18">
        <f t="shared" ca="1" si="74"/>
        <v>0.2</v>
      </c>
      <c r="AR134" s="18">
        <f t="shared" ca="1" si="75"/>
        <v>0.36</v>
      </c>
    </row>
    <row r="135" spans="1:44">
      <c r="A135" s="20">
        <v>23.8</v>
      </c>
      <c r="B135" s="20">
        <v>19</v>
      </c>
      <c r="C135" s="20">
        <v>270.39999999999998</v>
      </c>
      <c r="D135" s="21">
        <v>36.700000000000003</v>
      </c>
      <c r="E135" s="20">
        <v>66.7</v>
      </c>
      <c r="F135" s="18">
        <f t="shared" si="76"/>
        <v>0</v>
      </c>
      <c r="G135" s="18">
        <f t="shared" si="77"/>
        <v>5.2770571008438193E-3</v>
      </c>
      <c r="H135" s="18">
        <f t="shared" si="78"/>
        <v>2.0927520105955819E-2</v>
      </c>
      <c r="I135" s="18">
        <f t="shared" si="79"/>
        <v>1.0959013789719602E-2</v>
      </c>
      <c r="J135" s="18">
        <f t="shared" si="80"/>
        <v>-7.4682946075257991E-3</v>
      </c>
      <c r="K135" s="18">
        <f t="shared" si="81"/>
        <v>-4.1313559322033898E-4</v>
      </c>
      <c r="L135" s="18">
        <f t="shared" si="82"/>
        <v>4.8639215076234799E-3</v>
      </c>
      <c r="M135" s="18">
        <f t="shared" si="83"/>
        <v>2.0514384512735479E-2</v>
      </c>
      <c r="N135" s="18">
        <f t="shared" si="84"/>
        <v>1.0545878196499263E-2</v>
      </c>
      <c r="O135" s="18">
        <f t="shared" si="85"/>
        <v>-7.8814302007461385E-3</v>
      </c>
      <c r="W135" s="18">
        <f t="shared" ca="1" si="86"/>
        <v>0.17</v>
      </c>
      <c r="X135" s="18">
        <f t="shared" ca="1" si="86"/>
        <v>0.83</v>
      </c>
      <c r="Y135" s="18">
        <f t="shared" ca="1" si="86"/>
        <v>0.46</v>
      </c>
      <c r="Z135" s="18">
        <f t="shared" ca="1" si="59"/>
        <v>0.68</v>
      </c>
      <c r="AA135" s="18">
        <f t="shared" ca="1" si="58"/>
        <v>0.32</v>
      </c>
      <c r="AB135" s="18">
        <f t="shared" ca="1" si="60"/>
        <v>2.46</v>
      </c>
      <c r="AC135" s="18">
        <f t="shared" ca="1" si="61"/>
        <v>6.910569105691057E-2</v>
      </c>
      <c r="AD135" s="18">
        <f t="shared" ca="1" si="62"/>
        <v>0.33739837398373984</v>
      </c>
      <c r="AE135" s="18">
        <f t="shared" ca="1" si="63"/>
        <v>0.18699186991869921</v>
      </c>
      <c r="AF135" s="18">
        <f t="shared" ca="1" si="64"/>
        <v>0.27642276422764228</v>
      </c>
      <c r="AG135" s="18">
        <f t="shared" ca="1" si="65"/>
        <v>0.13008130081300814</v>
      </c>
      <c r="AH135" s="18">
        <f t="shared" ca="1" si="66"/>
        <v>1</v>
      </c>
      <c r="AI135" s="18" cm="1">
        <f t="array" aca="1" ref="AI135" ca="1">MMULT(MMULT(AC135:AG135,$Q$2:$U$6),TRANSPOSE(AC135:AG135))</f>
        <v>2.1278231197405725E-4</v>
      </c>
      <c r="AJ135" s="18">
        <f t="shared" ca="1" si="67"/>
        <v>-4.4890782023746557E-3</v>
      </c>
      <c r="AK135" s="18">
        <f t="shared" ca="1" si="68"/>
        <v>-0.33606592977879196</v>
      </c>
      <c r="AL135" s="18">
        <f t="shared" ca="1" si="69"/>
        <v>-4.4890782023746557E-3</v>
      </c>
      <c r="AM135" s="18">
        <f t="shared" ca="1" si="70"/>
        <v>2.1278231197405725E-4</v>
      </c>
      <c r="AN135" s="18">
        <f t="shared" ca="1" si="71"/>
        <v>6.910569105691057E-2</v>
      </c>
      <c r="AO135" s="18">
        <f t="shared" ca="1" si="72"/>
        <v>0.33739837398373984</v>
      </c>
      <c r="AP135" s="18">
        <f t="shared" ca="1" si="73"/>
        <v>0.18699186991869921</v>
      </c>
      <c r="AQ135" s="18">
        <f t="shared" ca="1" si="74"/>
        <v>0.27642276422764228</v>
      </c>
      <c r="AR135" s="18">
        <f t="shared" ca="1" si="75"/>
        <v>0.13008130081300814</v>
      </c>
    </row>
    <row r="136" spans="1:44">
      <c r="A136" s="20">
        <v>23.5</v>
      </c>
      <c r="B136" s="20">
        <v>18.3</v>
      </c>
      <c r="C136" s="20">
        <v>273.2</v>
      </c>
      <c r="D136" s="21">
        <v>36.9</v>
      </c>
      <c r="E136" s="20">
        <v>66</v>
      </c>
      <c r="F136" s="18">
        <f t="shared" si="76"/>
        <v>-1.26851595273158E-2</v>
      </c>
      <c r="G136" s="18">
        <f t="shared" si="77"/>
        <v>-3.7537919319065208E-2</v>
      </c>
      <c r="H136" s="18">
        <f t="shared" si="78"/>
        <v>1.0301783527825971E-2</v>
      </c>
      <c r="I136" s="18">
        <f t="shared" si="79"/>
        <v>5.4347959859567746E-3</v>
      </c>
      <c r="J136" s="18">
        <f t="shared" si="80"/>
        <v>-1.0550210895152486E-2</v>
      </c>
      <c r="K136" s="18">
        <f t="shared" si="81"/>
        <v>-1.3098295120536139E-2</v>
      </c>
      <c r="L136" s="18">
        <f t="shared" si="82"/>
        <v>-3.7951054912285544E-2</v>
      </c>
      <c r="M136" s="18">
        <f t="shared" si="83"/>
        <v>9.8886479346056311E-3</v>
      </c>
      <c r="N136" s="18">
        <f t="shared" si="84"/>
        <v>5.0216603927364361E-3</v>
      </c>
      <c r="O136" s="18">
        <f t="shared" si="85"/>
        <v>-1.0963346488372825E-2</v>
      </c>
      <c r="W136" s="18">
        <f t="shared" ca="1" si="86"/>
        <v>0.31</v>
      </c>
      <c r="X136" s="18">
        <f t="shared" ca="1" si="86"/>
        <v>0.83</v>
      </c>
      <c r="Y136" s="18">
        <f t="shared" ca="1" si="86"/>
        <v>0.78</v>
      </c>
      <c r="Z136" s="18">
        <f t="shared" ca="1" si="59"/>
        <v>0.83</v>
      </c>
      <c r="AA136" s="18">
        <f t="shared" ca="1" si="58"/>
        <v>0.68</v>
      </c>
      <c r="AB136" s="18">
        <f t="shared" ca="1" si="60"/>
        <v>3.43</v>
      </c>
      <c r="AC136" s="18">
        <f t="shared" ca="1" si="61"/>
        <v>9.0379008746355682E-2</v>
      </c>
      <c r="AD136" s="18">
        <f t="shared" ca="1" si="62"/>
        <v>0.24198250728862972</v>
      </c>
      <c r="AE136" s="18">
        <f t="shared" ca="1" si="63"/>
        <v>0.22740524781341107</v>
      </c>
      <c r="AF136" s="18">
        <f t="shared" ca="1" si="64"/>
        <v>0.24198250728862972</v>
      </c>
      <c r="AG136" s="18">
        <f t="shared" ca="1" si="65"/>
        <v>0.19825072886297376</v>
      </c>
      <c r="AH136" s="18">
        <f t="shared" ca="1" si="66"/>
        <v>1</v>
      </c>
      <c r="AI136" s="18" cm="1">
        <f t="array" aca="1" ref="AI136" ca="1">MMULT(MMULT(AC136:AG136,$Q$2:$U$6),TRANSPOSE(AC136:AG136))</f>
        <v>2.0685274607203937E-4</v>
      </c>
      <c r="AJ136" s="18">
        <f t="shared" ca="1" si="67"/>
        <v>-3.8986213262488674E-3</v>
      </c>
      <c r="AK136" s="18">
        <f t="shared" ca="1" si="68"/>
        <v>-0.29979447415276406</v>
      </c>
      <c r="AL136" s="18">
        <f t="shared" ca="1" si="69"/>
        <v>-3.8986213262488674E-3</v>
      </c>
      <c r="AM136" s="18">
        <f t="shared" ca="1" si="70"/>
        <v>2.0685274607203937E-4</v>
      </c>
      <c r="AN136" s="18">
        <f t="shared" ca="1" si="71"/>
        <v>9.0379008746355682E-2</v>
      </c>
      <c r="AO136" s="18">
        <f t="shared" ca="1" si="72"/>
        <v>0.24198250728862972</v>
      </c>
      <c r="AP136" s="18">
        <f t="shared" ca="1" si="73"/>
        <v>0.22740524781341107</v>
      </c>
      <c r="AQ136" s="18">
        <f t="shared" ca="1" si="74"/>
        <v>0.24198250728862972</v>
      </c>
      <c r="AR136" s="18">
        <f t="shared" ca="1" si="75"/>
        <v>0.19825072886297376</v>
      </c>
    </row>
    <row r="137" spans="1:44">
      <c r="A137" s="20">
        <v>23.5</v>
      </c>
      <c r="B137" s="20">
        <v>18</v>
      </c>
      <c r="C137" s="20">
        <v>268</v>
      </c>
      <c r="D137" s="21">
        <v>37.1</v>
      </c>
      <c r="E137" s="20">
        <v>66.099999999999994</v>
      </c>
      <c r="F137" s="18">
        <f t="shared" si="76"/>
        <v>0</v>
      </c>
      <c r="G137" s="18">
        <f t="shared" si="77"/>
        <v>-1.6529301951210582E-2</v>
      </c>
      <c r="H137" s="18">
        <f t="shared" si="78"/>
        <v>-1.9217147185778237E-2</v>
      </c>
      <c r="I137" s="18">
        <f t="shared" si="79"/>
        <v>5.4054185669079819E-3</v>
      </c>
      <c r="J137" s="18">
        <f t="shared" si="80"/>
        <v>1.5140048312150113E-3</v>
      </c>
      <c r="K137" s="18">
        <f t="shared" si="81"/>
        <v>-4.1313559322033898E-4</v>
      </c>
      <c r="L137" s="18">
        <f t="shared" si="82"/>
        <v>-1.6942437544430922E-2</v>
      </c>
      <c r="M137" s="18">
        <f t="shared" si="83"/>
        <v>-1.9630282778998576E-2</v>
      </c>
      <c r="N137" s="18">
        <f t="shared" si="84"/>
        <v>4.9922829736876433E-3</v>
      </c>
      <c r="O137" s="18">
        <f t="shared" si="85"/>
        <v>1.1008692379946723E-3</v>
      </c>
      <c r="W137" s="18">
        <f t="shared" ca="1" si="86"/>
        <v>0.59</v>
      </c>
      <c r="X137" s="18">
        <f t="shared" ca="1" si="86"/>
        <v>0.6</v>
      </c>
      <c r="Y137" s="18">
        <f t="shared" ca="1" si="86"/>
        <v>0.81</v>
      </c>
      <c r="Z137" s="18">
        <f t="shared" ca="1" si="59"/>
        <v>0.18</v>
      </c>
      <c r="AA137" s="18">
        <f t="shared" ca="1" si="58"/>
        <v>0.27</v>
      </c>
      <c r="AB137" s="18">
        <f t="shared" ca="1" si="60"/>
        <v>2.4500000000000002</v>
      </c>
      <c r="AC137" s="18">
        <f t="shared" ca="1" si="61"/>
        <v>0.24081632653061222</v>
      </c>
      <c r="AD137" s="18">
        <f t="shared" ca="1" si="62"/>
        <v>0.24489795918367344</v>
      </c>
      <c r="AE137" s="18">
        <f t="shared" ca="1" si="63"/>
        <v>0.33061224489795921</v>
      </c>
      <c r="AF137" s="18">
        <f t="shared" ca="1" si="64"/>
        <v>7.3469387755102034E-2</v>
      </c>
      <c r="AG137" s="18">
        <f t="shared" ca="1" si="65"/>
        <v>0.11020408163265306</v>
      </c>
      <c r="AH137" s="18">
        <f t="shared" ca="1" si="66"/>
        <v>1</v>
      </c>
      <c r="AI137" s="18" cm="1">
        <f t="array" aca="1" ref="AI137" ca="1">MMULT(MMULT(AC137:AG137,$Q$2:$U$6),TRANSPOSE(AC137:AG137))</f>
        <v>1.3232282938521566E-4</v>
      </c>
      <c r="AJ137" s="18">
        <f t="shared" ca="1" si="67"/>
        <v>-6.394195651587619E-3</v>
      </c>
      <c r="AK137" s="18">
        <f t="shared" ca="1" si="68"/>
        <v>-0.59177892501792584</v>
      </c>
      <c r="AL137" s="18">
        <f t="shared" ca="1" si="69"/>
        <v>-6.394195651587619E-3</v>
      </c>
      <c r="AM137" s="18">
        <f t="shared" ca="1" si="70"/>
        <v>1.3232282938521566E-4</v>
      </c>
      <c r="AN137" s="18">
        <f t="shared" ca="1" si="71"/>
        <v>0.24081632653061222</v>
      </c>
      <c r="AO137" s="18">
        <f t="shared" ca="1" si="72"/>
        <v>0.24489795918367344</v>
      </c>
      <c r="AP137" s="18">
        <f t="shared" ca="1" si="73"/>
        <v>0.33061224489795921</v>
      </c>
      <c r="AQ137" s="18">
        <f t="shared" ca="1" si="74"/>
        <v>7.3469387755102034E-2</v>
      </c>
      <c r="AR137" s="18">
        <f t="shared" ca="1" si="75"/>
        <v>0.11020408163265306</v>
      </c>
    </row>
    <row r="138" spans="1:44">
      <c r="A138" s="20">
        <v>22.9</v>
      </c>
      <c r="B138" s="20">
        <v>18.3</v>
      </c>
      <c r="C138" s="20">
        <v>252.9</v>
      </c>
      <c r="D138" s="21">
        <v>36.4</v>
      </c>
      <c r="E138" s="20">
        <v>65.900000000000006</v>
      </c>
      <c r="F138" s="18">
        <f t="shared" si="76"/>
        <v>-2.5863510589919352E-2</v>
      </c>
      <c r="G138" s="18">
        <f t="shared" si="77"/>
        <v>1.6529301951210506E-2</v>
      </c>
      <c r="H138" s="18">
        <f t="shared" si="78"/>
        <v>-5.7992826834937172E-2</v>
      </c>
      <c r="I138" s="18">
        <f t="shared" si="79"/>
        <v>-1.9048194970694588E-2</v>
      </c>
      <c r="J138" s="18">
        <f t="shared" si="80"/>
        <v>-3.0303053491788734E-3</v>
      </c>
      <c r="K138" s="18">
        <f t="shared" si="81"/>
        <v>-2.6276646183139692E-2</v>
      </c>
      <c r="L138" s="18">
        <f t="shared" si="82"/>
        <v>1.6116166357990167E-2</v>
      </c>
      <c r="M138" s="18">
        <f t="shared" si="83"/>
        <v>-5.8405962428157508E-2</v>
      </c>
      <c r="N138" s="18">
        <f t="shared" si="84"/>
        <v>-1.9461330563914928E-2</v>
      </c>
      <c r="O138" s="18">
        <f t="shared" si="85"/>
        <v>-3.4434409423992124E-3</v>
      </c>
      <c r="W138" s="18">
        <f t="shared" ca="1" si="86"/>
        <v>1</v>
      </c>
      <c r="X138" s="18">
        <f t="shared" ca="1" si="86"/>
        <v>0.76</v>
      </c>
      <c r="Y138" s="18">
        <f t="shared" ca="1" si="86"/>
        <v>0.55000000000000004</v>
      </c>
      <c r="Z138" s="18">
        <f t="shared" ca="1" si="59"/>
        <v>0.17</v>
      </c>
      <c r="AA138" s="18">
        <f t="shared" ca="1" si="58"/>
        <v>0.62</v>
      </c>
      <c r="AB138" s="18">
        <f t="shared" ca="1" si="60"/>
        <v>3.1</v>
      </c>
      <c r="AC138" s="18">
        <f t="shared" ca="1" si="61"/>
        <v>0.32258064516129031</v>
      </c>
      <c r="AD138" s="18">
        <f t="shared" ca="1" si="62"/>
        <v>0.24516129032258063</v>
      </c>
      <c r="AE138" s="18">
        <f t="shared" ca="1" si="63"/>
        <v>0.17741935483870969</v>
      </c>
      <c r="AF138" s="18">
        <f t="shared" ca="1" si="64"/>
        <v>5.4838709677419356E-2</v>
      </c>
      <c r="AG138" s="18">
        <f t="shared" ca="1" si="65"/>
        <v>0.19999999999999998</v>
      </c>
      <c r="AH138" s="18">
        <f t="shared" ca="1" si="66"/>
        <v>0.99999999999999989</v>
      </c>
      <c r="AI138" s="18" cm="1">
        <f t="array" aca="1" ref="AI138" ca="1">MMULT(MMULT(AC138:AG138,$Q$2:$U$6),TRANSPOSE(AC138:AG138))</f>
        <v>1.6068198072332222E-4</v>
      </c>
      <c r="AJ138" s="18">
        <f t="shared" ca="1" si="67"/>
        <v>-3.1264906952465756E-3</v>
      </c>
      <c r="AK138" s="18">
        <f t="shared" ca="1" si="68"/>
        <v>-0.27923755301676112</v>
      </c>
      <c r="AL138" s="18">
        <f t="shared" ca="1" si="69"/>
        <v>-3.1264906952465756E-3</v>
      </c>
      <c r="AM138" s="18">
        <f t="shared" ca="1" si="70"/>
        <v>1.6068198072332222E-4</v>
      </c>
      <c r="AN138" s="18">
        <f t="shared" ca="1" si="71"/>
        <v>0.32258064516129031</v>
      </c>
      <c r="AO138" s="18">
        <f t="shared" ca="1" si="72"/>
        <v>0.24516129032258063</v>
      </c>
      <c r="AP138" s="18">
        <f t="shared" ca="1" si="73"/>
        <v>0.17741935483870969</v>
      </c>
      <c r="AQ138" s="18">
        <f t="shared" ca="1" si="74"/>
        <v>5.4838709677419356E-2</v>
      </c>
      <c r="AR138" s="18">
        <f t="shared" ca="1" si="75"/>
        <v>0.19999999999999998</v>
      </c>
    </row>
    <row r="139" spans="1:44">
      <c r="A139" s="20">
        <v>23.1</v>
      </c>
      <c r="B139" s="20">
        <v>18.5</v>
      </c>
      <c r="C139" s="20">
        <v>260.3</v>
      </c>
      <c r="D139" s="21">
        <v>36.1</v>
      </c>
      <c r="E139" s="20">
        <v>67.7</v>
      </c>
      <c r="F139" s="18">
        <f t="shared" si="76"/>
        <v>8.695706967553913E-3</v>
      </c>
      <c r="G139" s="18">
        <f t="shared" si="77"/>
        <v>1.0869672236903891E-2</v>
      </c>
      <c r="H139" s="18">
        <f t="shared" si="78"/>
        <v>2.8840658324600209E-2</v>
      </c>
      <c r="I139" s="18">
        <f t="shared" si="79"/>
        <v>-8.2759093038597097E-3</v>
      </c>
      <c r="J139" s="18">
        <f t="shared" si="80"/>
        <v>2.6947738409767743E-2</v>
      </c>
      <c r="K139" s="18">
        <f t="shared" si="81"/>
        <v>8.2825713743335735E-3</v>
      </c>
      <c r="L139" s="18">
        <f t="shared" si="82"/>
        <v>1.0456536643683552E-2</v>
      </c>
      <c r="M139" s="18">
        <f t="shared" si="83"/>
        <v>2.842752273137987E-2</v>
      </c>
      <c r="N139" s="18">
        <f t="shared" si="84"/>
        <v>-8.6890448970800491E-3</v>
      </c>
      <c r="O139" s="18">
        <f t="shared" si="85"/>
        <v>2.6534602816547403E-2</v>
      </c>
      <c r="W139" s="18">
        <f t="shared" ca="1" si="86"/>
        <v>0.68</v>
      </c>
      <c r="X139" s="18">
        <f t="shared" ca="1" si="86"/>
        <v>0.28000000000000003</v>
      </c>
      <c r="Y139" s="18">
        <f t="shared" ca="1" si="86"/>
        <v>0.28000000000000003</v>
      </c>
      <c r="Z139" s="18">
        <f t="shared" ca="1" si="59"/>
        <v>0.57999999999999996</v>
      </c>
      <c r="AA139" s="18">
        <f t="shared" ca="1" si="58"/>
        <v>0.54</v>
      </c>
      <c r="AB139" s="18">
        <f t="shared" ca="1" si="60"/>
        <v>2.3600000000000003</v>
      </c>
      <c r="AC139" s="18">
        <f t="shared" ca="1" si="61"/>
        <v>0.28813559322033899</v>
      </c>
      <c r="AD139" s="18">
        <f t="shared" ca="1" si="62"/>
        <v>0.11864406779661016</v>
      </c>
      <c r="AE139" s="18">
        <f t="shared" ca="1" si="63"/>
        <v>0.11864406779661016</v>
      </c>
      <c r="AF139" s="18">
        <f t="shared" ca="1" si="64"/>
        <v>0.24576271186440674</v>
      </c>
      <c r="AG139" s="18">
        <f t="shared" ca="1" si="65"/>
        <v>0.22881355932203387</v>
      </c>
      <c r="AH139" s="18">
        <f t="shared" ca="1" si="66"/>
        <v>0.99999999999999989</v>
      </c>
      <c r="AI139" s="18" cm="1">
        <f t="array" aca="1" ref="AI139" ca="1">MMULT(MMULT(AC139:AG139,$Q$2:$U$6),TRANSPOSE(AC139:AG139))</f>
        <v>2.3037497144881856E-4</v>
      </c>
      <c r="AJ139" s="18">
        <f t="shared" ca="1" si="67"/>
        <v>1.1445789390570225E-3</v>
      </c>
      <c r="AK139" s="18">
        <f t="shared" ca="1" si="68"/>
        <v>4.8190679073198427E-2</v>
      </c>
      <c r="AL139" s="18">
        <f t="shared" ca="1" si="69"/>
        <v>1.1445789390570225E-3</v>
      </c>
      <c r="AM139" s="18">
        <f t="shared" ca="1" si="70"/>
        <v>2.3037497144881856E-4</v>
      </c>
      <c r="AN139" s="18">
        <f t="shared" ca="1" si="71"/>
        <v>0.28813559322033899</v>
      </c>
      <c r="AO139" s="18">
        <f t="shared" ca="1" si="72"/>
        <v>0.11864406779661016</v>
      </c>
      <c r="AP139" s="18">
        <f t="shared" ca="1" si="73"/>
        <v>0.11864406779661016</v>
      </c>
      <c r="AQ139" s="18">
        <f t="shared" ca="1" si="74"/>
        <v>0.24576271186440674</v>
      </c>
      <c r="AR139" s="18">
        <f t="shared" ca="1" si="75"/>
        <v>0.22881355932203387</v>
      </c>
    </row>
    <row r="140" spans="1:44">
      <c r="A140" s="20">
        <v>23.5</v>
      </c>
      <c r="B140" s="20">
        <v>18.600000000000001</v>
      </c>
      <c r="C140" s="20">
        <v>267.60000000000002</v>
      </c>
      <c r="D140" s="21">
        <v>36.700000000000003</v>
      </c>
      <c r="E140" s="20">
        <v>68.099999999999994</v>
      </c>
      <c r="F140" s="18">
        <f t="shared" si="76"/>
        <v>1.716780362236528E-2</v>
      </c>
      <c r="G140" s="18">
        <f t="shared" si="77"/>
        <v>5.3908486348765933E-3</v>
      </c>
      <c r="H140" s="18">
        <f t="shared" si="78"/>
        <v>2.765851625355379E-2</v>
      </c>
      <c r="I140" s="18">
        <f t="shared" si="79"/>
        <v>1.6483889721689415E-2</v>
      </c>
      <c r="J140" s="18">
        <f t="shared" si="80"/>
        <v>5.8910332372373421E-3</v>
      </c>
      <c r="K140" s="18">
        <f t="shared" si="81"/>
        <v>1.675466802914494E-2</v>
      </c>
      <c r="L140" s="18">
        <f t="shared" si="82"/>
        <v>4.9777130416562548E-3</v>
      </c>
      <c r="M140" s="18">
        <f t="shared" si="83"/>
        <v>2.7245380660333451E-2</v>
      </c>
      <c r="N140" s="18">
        <f t="shared" si="84"/>
        <v>1.6070754128469075E-2</v>
      </c>
      <c r="O140" s="18">
        <f t="shared" si="85"/>
        <v>5.4778976440170036E-3</v>
      </c>
      <c r="W140" s="18">
        <f t="shared" ca="1" si="86"/>
        <v>0.54</v>
      </c>
      <c r="X140" s="18">
        <f t="shared" ca="1" si="86"/>
        <v>0.11</v>
      </c>
      <c r="Y140" s="18">
        <f t="shared" ca="1" si="86"/>
        <v>0.89</v>
      </c>
      <c r="Z140" s="18">
        <f t="shared" ca="1" si="59"/>
        <v>0.83</v>
      </c>
      <c r="AA140" s="18">
        <f t="shared" ca="1" si="58"/>
        <v>0.41</v>
      </c>
      <c r="AB140" s="18">
        <f t="shared" ca="1" si="60"/>
        <v>2.7800000000000002</v>
      </c>
      <c r="AC140" s="18">
        <f t="shared" ca="1" si="61"/>
        <v>0.19424460431654675</v>
      </c>
      <c r="AD140" s="18">
        <f t="shared" ca="1" si="62"/>
        <v>3.9568345323741004E-2</v>
      </c>
      <c r="AE140" s="18">
        <f t="shared" ca="1" si="63"/>
        <v>0.32014388489208628</v>
      </c>
      <c r="AF140" s="18">
        <f t="shared" ca="1" si="64"/>
        <v>0.29856115107913667</v>
      </c>
      <c r="AG140" s="18">
        <f t="shared" ca="1" si="65"/>
        <v>0.14748201438848918</v>
      </c>
      <c r="AH140" s="18">
        <f t="shared" ca="1" si="66"/>
        <v>0.99999999999999978</v>
      </c>
      <c r="AI140" s="18" cm="1">
        <f t="array" aca="1" ref="AI140" ca="1">MMULT(MMULT(AC140:AG140,$Q$2:$U$6),TRANSPOSE(AC140:AG140))</f>
        <v>2.2139735225373868E-4</v>
      </c>
      <c r="AJ140" s="18">
        <f t="shared" ca="1" si="67"/>
        <v>-1.6523593464383729E-3</v>
      </c>
      <c r="AK140" s="18">
        <f t="shared" ca="1" si="68"/>
        <v>-0.13881548792899701</v>
      </c>
      <c r="AL140" s="18">
        <f t="shared" ca="1" si="69"/>
        <v>-1.6523593464383729E-3</v>
      </c>
      <c r="AM140" s="18">
        <f t="shared" ca="1" si="70"/>
        <v>2.2139735225373868E-4</v>
      </c>
      <c r="AN140" s="18">
        <f t="shared" ca="1" si="71"/>
        <v>0.19424460431654675</v>
      </c>
      <c r="AO140" s="18">
        <f t="shared" ca="1" si="72"/>
        <v>3.9568345323741004E-2</v>
      </c>
      <c r="AP140" s="18">
        <f t="shared" ca="1" si="73"/>
        <v>0.32014388489208628</v>
      </c>
      <c r="AQ140" s="18">
        <f t="shared" ca="1" si="74"/>
        <v>0.29856115107913667</v>
      </c>
      <c r="AR140" s="18">
        <f t="shared" ca="1" si="75"/>
        <v>0.14748201438848918</v>
      </c>
    </row>
    <row r="141" spans="1:44">
      <c r="A141" s="20">
        <v>23.8</v>
      </c>
      <c r="B141" s="20">
        <v>18.899999999999999</v>
      </c>
      <c r="C141" s="20">
        <v>272.10000000000002</v>
      </c>
      <c r="D141" s="21">
        <v>38</v>
      </c>
      <c r="E141" s="20">
        <v>67.599999999999994</v>
      </c>
      <c r="F141" s="18">
        <f t="shared" si="76"/>
        <v>1.2685159527315861E-2</v>
      </c>
      <c r="G141" s="18">
        <f t="shared" si="77"/>
        <v>1.6000341346440902E-2</v>
      </c>
      <c r="H141" s="18">
        <f t="shared" si="78"/>
        <v>1.667631753512722E-2</v>
      </c>
      <c r="I141" s="18">
        <f t="shared" si="79"/>
        <v>3.4809404665861153E-2</v>
      </c>
      <c r="J141" s="18">
        <f t="shared" si="80"/>
        <v>-7.3692301065482208E-3</v>
      </c>
      <c r="K141" s="18">
        <f t="shared" si="81"/>
        <v>1.2272023934095521E-2</v>
      </c>
      <c r="L141" s="18">
        <f t="shared" si="82"/>
        <v>1.5587205753220562E-2</v>
      </c>
      <c r="M141" s="18">
        <f t="shared" si="83"/>
        <v>1.626318194190688E-2</v>
      </c>
      <c r="N141" s="18">
        <f t="shared" si="84"/>
        <v>3.4396269072640817E-2</v>
      </c>
      <c r="O141" s="18">
        <f t="shared" si="85"/>
        <v>-7.7823656997685602E-3</v>
      </c>
      <c r="W141" s="18">
        <f t="shared" ca="1" si="86"/>
        <v>0.53</v>
      </c>
      <c r="X141" s="18">
        <f t="shared" ca="1" si="86"/>
        <v>0.08</v>
      </c>
      <c r="Y141" s="18">
        <f t="shared" ca="1" si="86"/>
        <v>0.34</v>
      </c>
      <c r="Z141" s="18">
        <f t="shared" ca="1" si="59"/>
        <v>0.69</v>
      </c>
      <c r="AA141" s="18">
        <f t="shared" ca="1" si="58"/>
        <v>0.06</v>
      </c>
      <c r="AB141" s="18">
        <f t="shared" ca="1" si="60"/>
        <v>1.7</v>
      </c>
      <c r="AC141" s="18">
        <f t="shared" ca="1" si="61"/>
        <v>0.31176470588235294</v>
      </c>
      <c r="AD141" s="18">
        <f t="shared" ca="1" si="62"/>
        <v>4.7058823529411764E-2</v>
      </c>
      <c r="AE141" s="18">
        <f t="shared" ca="1" si="63"/>
        <v>0.2</v>
      </c>
      <c r="AF141" s="18">
        <f t="shared" ca="1" si="64"/>
        <v>0.40588235294117647</v>
      </c>
      <c r="AG141" s="18">
        <f t="shared" ca="1" si="65"/>
        <v>3.5294117647058823E-2</v>
      </c>
      <c r="AH141" s="18">
        <f t="shared" ca="1" si="66"/>
        <v>1</v>
      </c>
      <c r="AI141" s="18" cm="1">
        <f t="array" aca="1" ref="AI141" ca="1">MMULT(MMULT(AC141:AG141,$Q$2:$U$6),TRANSPOSE(AC141:AG141))</f>
        <v>2.9062235329305961E-4</v>
      </c>
      <c r="AJ141" s="18">
        <f t="shared" ca="1" si="67"/>
        <v>1.8504335751633504E-3</v>
      </c>
      <c r="AK141" s="18">
        <f t="shared" ca="1" si="68"/>
        <v>8.4310624898320558E-2</v>
      </c>
      <c r="AL141" s="18">
        <f t="shared" ca="1" si="69"/>
        <v>1.8504335751633504E-3</v>
      </c>
      <c r="AM141" s="18">
        <f t="shared" ca="1" si="70"/>
        <v>2.9062235329305961E-4</v>
      </c>
      <c r="AN141" s="18">
        <f t="shared" ca="1" si="71"/>
        <v>0.31176470588235294</v>
      </c>
      <c r="AO141" s="18">
        <f t="shared" ca="1" si="72"/>
        <v>4.7058823529411764E-2</v>
      </c>
      <c r="AP141" s="18">
        <f t="shared" ca="1" si="73"/>
        <v>0.2</v>
      </c>
      <c r="AQ141" s="18">
        <f t="shared" ca="1" si="74"/>
        <v>0.40588235294117647</v>
      </c>
      <c r="AR141" s="18">
        <f t="shared" ca="1" si="75"/>
        <v>3.5294117647058823E-2</v>
      </c>
    </row>
    <row r="142" spans="1:44">
      <c r="A142" s="20">
        <v>23.8</v>
      </c>
      <c r="B142" s="20">
        <v>19</v>
      </c>
      <c r="C142" s="20">
        <v>274.5</v>
      </c>
      <c r="D142" s="21">
        <v>36</v>
      </c>
      <c r="E142" s="20">
        <v>68.5</v>
      </c>
      <c r="F142" s="18">
        <f t="shared" si="76"/>
        <v>0</v>
      </c>
      <c r="G142" s="18">
        <f t="shared" si="77"/>
        <v>5.2770571008438193E-3</v>
      </c>
      <c r="H142" s="18">
        <f t="shared" si="78"/>
        <v>8.7816151603846183E-3</v>
      </c>
      <c r="I142" s="18">
        <f t="shared" si="79"/>
        <v>-5.4067221270275821E-2</v>
      </c>
      <c r="J142" s="18">
        <f t="shared" si="80"/>
        <v>1.3225762219261321E-2</v>
      </c>
      <c r="K142" s="18">
        <f t="shared" si="81"/>
        <v>-4.1313559322033898E-4</v>
      </c>
      <c r="L142" s="18">
        <f t="shared" si="82"/>
        <v>4.8639215076234799E-3</v>
      </c>
      <c r="M142" s="18">
        <f t="shared" si="83"/>
        <v>8.3684795671642789E-3</v>
      </c>
      <c r="N142" s="18">
        <f t="shared" si="84"/>
        <v>-5.4480356863496157E-2</v>
      </c>
      <c r="O142" s="18">
        <f t="shared" si="85"/>
        <v>1.2812626626040982E-2</v>
      </c>
      <c r="W142" s="18">
        <f t="shared" ca="1" si="86"/>
        <v>0.35</v>
      </c>
      <c r="X142" s="18">
        <f t="shared" ca="1" si="86"/>
        <v>0.28999999999999998</v>
      </c>
      <c r="Y142" s="18">
        <f t="shared" ca="1" si="86"/>
        <v>0.28000000000000003</v>
      </c>
      <c r="Z142" s="18">
        <f t="shared" ca="1" si="59"/>
        <v>0.51</v>
      </c>
      <c r="AA142" s="18">
        <f t="shared" ca="1" si="58"/>
        <v>0.96</v>
      </c>
      <c r="AB142" s="18">
        <f t="shared" ca="1" si="60"/>
        <v>2.3899999999999997</v>
      </c>
      <c r="AC142" s="18">
        <f t="shared" ca="1" si="61"/>
        <v>0.14644351464435149</v>
      </c>
      <c r="AD142" s="18">
        <f t="shared" ca="1" si="62"/>
        <v>0.12133891213389122</v>
      </c>
      <c r="AE142" s="18">
        <f t="shared" ca="1" si="63"/>
        <v>0.1171548117154812</v>
      </c>
      <c r="AF142" s="18">
        <f t="shared" ca="1" si="64"/>
        <v>0.21338912133891216</v>
      </c>
      <c r="AG142" s="18">
        <f t="shared" ca="1" si="65"/>
        <v>0.40167364016736407</v>
      </c>
      <c r="AH142" s="18">
        <f t="shared" ca="1" si="66"/>
        <v>1</v>
      </c>
      <c r="AI142" s="18" cm="1">
        <f t="array" aca="1" ref="AI142" ca="1">MMULT(MMULT(AC142:AG142,$Q$2:$U$6),TRANSPOSE(AC142:AG142))</f>
        <v>3.2591724304326705E-4</v>
      </c>
      <c r="AJ142" s="18">
        <f t="shared" ca="1" si="67"/>
        <v>2.5859038565950287E-4</v>
      </c>
      <c r="AK142" s="18">
        <f t="shared" ca="1" si="68"/>
        <v>-8.5605540402440283E-3</v>
      </c>
      <c r="AL142" s="18">
        <f t="shared" ca="1" si="69"/>
        <v>2.5859038565950287E-4</v>
      </c>
      <c r="AM142" s="18">
        <f t="shared" ca="1" si="70"/>
        <v>3.2591724304326705E-4</v>
      </c>
      <c r="AN142" s="18">
        <f t="shared" ca="1" si="71"/>
        <v>0.14644351464435149</v>
      </c>
      <c r="AO142" s="18">
        <f t="shared" ca="1" si="72"/>
        <v>0.12133891213389122</v>
      </c>
      <c r="AP142" s="18">
        <f t="shared" ca="1" si="73"/>
        <v>0.1171548117154812</v>
      </c>
      <c r="AQ142" s="18">
        <f t="shared" ca="1" si="74"/>
        <v>0.21338912133891216</v>
      </c>
      <c r="AR142" s="18">
        <f t="shared" ca="1" si="75"/>
        <v>0.40167364016736407</v>
      </c>
    </row>
    <row r="143" spans="1:44">
      <c r="A143" s="20">
        <v>24.1</v>
      </c>
      <c r="B143" s="20">
        <v>22.8</v>
      </c>
      <c r="C143" s="20">
        <v>282.39999999999998</v>
      </c>
      <c r="D143" s="21">
        <v>37.200000000000003</v>
      </c>
      <c r="E143" s="20">
        <v>69.3</v>
      </c>
      <c r="F143" s="18">
        <f t="shared" si="76"/>
        <v>1.2526259819180256E-2</v>
      </c>
      <c r="G143" s="18">
        <f t="shared" si="77"/>
        <v>0.18232155679395459</v>
      </c>
      <c r="H143" s="18">
        <f t="shared" si="78"/>
        <v>2.8373244669501533E-2</v>
      </c>
      <c r="I143" s="18">
        <f t="shared" si="79"/>
        <v>3.278982282299097E-2</v>
      </c>
      <c r="J143" s="18">
        <f t="shared" si="80"/>
        <v>1.161116092767784E-2</v>
      </c>
      <c r="K143" s="18">
        <f t="shared" si="81"/>
        <v>1.2113124225959917E-2</v>
      </c>
      <c r="L143" s="18">
        <f t="shared" si="82"/>
        <v>0.18190842120073425</v>
      </c>
      <c r="M143" s="18">
        <f t="shared" si="83"/>
        <v>2.7960109076281194E-2</v>
      </c>
      <c r="N143" s="18">
        <f t="shared" si="84"/>
        <v>3.2376687229770634E-2</v>
      </c>
      <c r="O143" s="18">
        <f t="shared" si="85"/>
        <v>1.11980253344575E-2</v>
      </c>
      <c r="W143" s="18">
        <f t="shared" ca="1" si="86"/>
        <v>0.66</v>
      </c>
      <c r="X143" s="18">
        <f t="shared" ca="1" si="86"/>
        <v>0.69</v>
      </c>
      <c r="Y143" s="18">
        <f t="shared" ca="1" si="86"/>
        <v>0.26</v>
      </c>
      <c r="Z143" s="18">
        <f t="shared" ca="1" si="59"/>
        <v>0.96</v>
      </c>
      <c r="AA143" s="18">
        <f t="shared" ca="1" si="58"/>
        <v>0.92</v>
      </c>
      <c r="AB143" s="18">
        <f t="shared" ca="1" si="60"/>
        <v>3.49</v>
      </c>
      <c r="AC143" s="18">
        <f t="shared" ca="1" si="61"/>
        <v>0.18911174785100288</v>
      </c>
      <c r="AD143" s="18">
        <f t="shared" ca="1" si="62"/>
        <v>0.19770773638968478</v>
      </c>
      <c r="AE143" s="18">
        <f t="shared" ca="1" si="63"/>
        <v>7.4498567335243557E-2</v>
      </c>
      <c r="AF143" s="18">
        <f t="shared" ca="1" si="64"/>
        <v>0.2750716332378223</v>
      </c>
      <c r="AG143" s="18">
        <f t="shared" ca="1" si="65"/>
        <v>0.26361031518624639</v>
      </c>
      <c r="AH143" s="18">
        <f t="shared" ca="1" si="66"/>
        <v>1</v>
      </c>
      <c r="AI143" s="18" cm="1">
        <f t="array" aca="1" ref="AI143" ca="1">MMULT(MMULT(AC143:AG143,$Q$2:$U$6),TRANSPOSE(AC143:AG143))</f>
        <v>2.6096063144300424E-4</v>
      </c>
      <c r="AJ143" s="18">
        <f t="shared" ca="1" si="67"/>
        <v>4.9220291109584912E-4</v>
      </c>
      <c r="AK143" s="18">
        <f t="shared" ca="1" si="68"/>
        <v>4.8945132622555086E-3</v>
      </c>
      <c r="AL143" s="18">
        <f t="shared" ca="1" si="69"/>
        <v>4.9220291109584912E-4</v>
      </c>
      <c r="AM143" s="18">
        <f t="shared" ca="1" si="70"/>
        <v>2.6096063144300424E-4</v>
      </c>
      <c r="AN143" s="18">
        <f t="shared" ca="1" si="71"/>
        <v>0.18911174785100288</v>
      </c>
      <c r="AO143" s="18">
        <f t="shared" ca="1" si="72"/>
        <v>0.19770773638968478</v>
      </c>
      <c r="AP143" s="18">
        <f t="shared" ca="1" si="73"/>
        <v>7.4498567335243557E-2</v>
      </c>
      <c r="AQ143" s="18">
        <f t="shared" ca="1" si="74"/>
        <v>0.2750716332378223</v>
      </c>
      <c r="AR143" s="18">
        <f t="shared" ca="1" si="75"/>
        <v>0.26361031518624639</v>
      </c>
    </row>
    <row r="144" spans="1:44">
      <c r="A144" s="20">
        <v>24.1</v>
      </c>
      <c r="B144" s="20">
        <v>23.1</v>
      </c>
      <c r="C144" s="20">
        <v>282.8</v>
      </c>
      <c r="D144" s="21">
        <v>37.700000000000003</v>
      </c>
      <c r="E144" s="20">
        <v>68.5</v>
      </c>
      <c r="F144" s="18">
        <f t="shared" si="76"/>
        <v>0</v>
      </c>
      <c r="G144" s="18">
        <f t="shared" si="77"/>
        <v>1.3072081567352701E-2</v>
      </c>
      <c r="H144" s="18">
        <f t="shared" si="78"/>
        <v>1.4154284033307597E-3</v>
      </c>
      <c r="I144" s="18">
        <f t="shared" si="79"/>
        <v>1.3351333174864196E-2</v>
      </c>
      <c r="J144" s="18">
        <f t="shared" si="80"/>
        <v>-1.1611160927677921E-2</v>
      </c>
      <c r="K144" s="18">
        <f t="shared" si="81"/>
        <v>-4.1313559322033898E-4</v>
      </c>
      <c r="L144" s="18">
        <f t="shared" si="82"/>
        <v>1.2658945974132361E-2</v>
      </c>
      <c r="M144" s="18">
        <f t="shared" si="83"/>
        <v>1.0022928101104207E-3</v>
      </c>
      <c r="N144" s="18">
        <f t="shared" si="84"/>
        <v>1.2938197581643857E-2</v>
      </c>
      <c r="O144" s="18">
        <f t="shared" si="85"/>
        <v>-1.2024296520898261E-2</v>
      </c>
      <c r="W144" s="18">
        <f t="shared" ca="1" si="86"/>
        <v>0.51</v>
      </c>
      <c r="X144" s="18">
        <f t="shared" ca="1" si="86"/>
        <v>0.46</v>
      </c>
      <c r="Y144" s="18">
        <f t="shared" ca="1" si="86"/>
        <v>0.01</v>
      </c>
      <c r="Z144" s="18">
        <f t="shared" ca="1" si="59"/>
        <v>0.7</v>
      </c>
      <c r="AA144" s="18">
        <f t="shared" ca="1" si="58"/>
        <v>0.68</v>
      </c>
      <c r="AB144" s="18">
        <f t="shared" ca="1" si="60"/>
        <v>2.36</v>
      </c>
      <c r="AC144" s="18">
        <f t="shared" ca="1" si="61"/>
        <v>0.21610169491525424</v>
      </c>
      <c r="AD144" s="18">
        <f t="shared" ca="1" si="62"/>
        <v>0.19491525423728814</v>
      </c>
      <c r="AE144" s="18">
        <f t="shared" ca="1" si="63"/>
        <v>4.2372881355932203E-3</v>
      </c>
      <c r="AF144" s="18">
        <f t="shared" ca="1" si="64"/>
        <v>0.29661016949152541</v>
      </c>
      <c r="AG144" s="18">
        <f t="shared" ca="1" si="65"/>
        <v>0.28813559322033899</v>
      </c>
      <c r="AH144" s="18">
        <f t="shared" ca="1" si="66"/>
        <v>1</v>
      </c>
      <c r="AI144" s="18" cm="1">
        <f t="array" aca="1" ref="AI144" ca="1">MMULT(MMULT(AC144:AG144,$Q$2:$U$6),TRANSPOSE(AC144:AG144))</f>
        <v>2.9368169406678637E-4</v>
      </c>
      <c r="AJ144" s="18">
        <f t="shared" ca="1" si="67"/>
        <v>2.1876627141542942E-3</v>
      </c>
      <c r="AK144" s="18">
        <f t="shared" ca="1" si="68"/>
        <v>0.10354859318356817</v>
      </c>
      <c r="AL144" s="18">
        <f t="shared" ca="1" si="69"/>
        <v>2.1876627141542942E-3</v>
      </c>
      <c r="AM144" s="18">
        <f t="shared" ca="1" si="70"/>
        <v>2.9368169406678637E-4</v>
      </c>
      <c r="AN144" s="18">
        <f t="shared" ca="1" si="71"/>
        <v>0.21610169491525424</v>
      </c>
      <c r="AO144" s="18">
        <f t="shared" ca="1" si="72"/>
        <v>0.19491525423728814</v>
      </c>
      <c r="AP144" s="18">
        <f t="shared" ca="1" si="73"/>
        <v>4.2372881355932203E-3</v>
      </c>
      <c r="AQ144" s="18">
        <f t="shared" ca="1" si="74"/>
        <v>0.29661016949152541</v>
      </c>
      <c r="AR144" s="18">
        <f t="shared" ca="1" si="75"/>
        <v>0.28813559322033899</v>
      </c>
    </row>
    <row r="145" spans="1:44">
      <c r="A145" s="20">
        <v>24</v>
      </c>
      <c r="B145" s="20">
        <v>23</v>
      </c>
      <c r="C145" s="20">
        <v>284.8</v>
      </c>
      <c r="D145" s="21">
        <v>36.9</v>
      </c>
      <c r="E145" s="20">
        <v>66.7</v>
      </c>
      <c r="F145" s="18">
        <f t="shared" si="76"/>
        <v>-4.1580101486637881E-3</v>
      </c>
      <c r="G145" s="18">
        <f t="shared" si="77"/>
        <v>-4.3384015985982417E-3</v>
      </c>
      <c r="H145" s="18">
        <f t="shared" si="78"/>
        <v>7.0472455154029223E-3</v>
      </c>
      <c r="I145" s="18">
        <f t="shared" si="79"/>
        <v>-2.1448543407483742E-2</v>
      </c>
      <c r="J145" s="18">
        <f t="shared" si="80"/>
        <v>-2.6628792346601562E-2</v>
      </c>
      <c r="K145" s="18">
        <f t="shared" si="81"/>
        <v>-4.5711457418841275E-3</v>
      </c>
      <c r="L145" s="18">
        <f t="shared" si="82"/>
        <v>-4.7515371918185802E-3</v>
      </c>
      <c r="M145" s="18">
        <f t="shared" si="83"/>
        <v>6.6341099221825829E-3</v>
      </c>
      <c r="N145" s="18">
        <f t="shared" si="84"/>
        <v>-2.1861679000704081E-2</v>
      </c>
      <c r="O145" s="18">
        <f t="shared" si="85"/>
        <v>-2.7041927939821901E-2</v>
      </c>
      <c r="W145" s="18">
        <f t="shared" ca="1" si="86"/>
        <v>0.78</v>
      </c>
      <c r="X145" s="18">
        <f t="shared" ca="1" si="86"/>
        <v>0.98</v>
      </c>
      <c r="Y145" s="18">
        <f t="shared" ca="1" si="86"/>
        <v>0.08</v>
      </c>
      <c r="Z145" s="18">
        <f t="shared" ca="1" si="59"/>
        <v>0.05</v>
      </c>
      <c r="AA145" s="18">
        <f t="shared" ca="1" si="58"/>
        <v>0.19</v>
      </c>
      <c r="AB145" s="18">
        <f t="shared" ca="1" si="60"/>
        <v>2.08</v>
      </c>
      <c r="AC145" s="18">
        <f t="shared" ca="1" si="61"/>
        <v>0.375</v>
      </c>
      <c r="AD145" s="18">
        <f t="shared" ca="1" si="62"/>
        <v>0.47115384615384615</v>
      </c>
      <c r="AE145" s="18">
        <f t="shared" ca="1" si="63"/>
        <v>3.8461538461538464E-2</v>
      </c>
      <c r="AF145" s="18">
        <f t="shared" ca="1" si="64"/>
        <v>2.403846153846154E-2</v>
      </c>
      <c r="AG145" s="18">
        <f t="shared" ca="1" si="65"/>
        <v>9.1346153846153841E-2</v>
      </c>
      <c r="AH145" s="18">
        <f t="shared" ca="1" si="66"/>
        <v>1</v>
      </c>
      <c r="AI145" s="18" cm="1">
        <f t="array" aca="1" ref="AI145" ca="1">MMULT(MMULT(AC145:AG145,$Q$2:$U$6),TRANSPOSE(AC145:AG145))</f>
        <v>1.6365400328453001E-4</v>
      </c>
      <c r="AJ145" s="18">
        <f t="shared" ca="1" si="67"/>
        <v>-3.9408059995239076E-3</v>
      </c>
      <c r="AK145" s="18">
        <f t="shared" ca="1" si="68"/>
        <v>-0.34034492733461619</v>
      </c>
      <c r="AL145" s="18">
        <f t="shared" ca="1" si="69"/>
        <v>-3.9408059995239076E-3</v>
      </c>
      <c r="AM145" s="18">
        <f t="shared" ca="1" si="70"/>
        <v>1.6365400328453001E-4</v>
      </c>
      <c r="AN145" s="18">
        <f t="shared" ca="1" si="71"/>
        <v>0.375</v>
      </c>
      <c r="AO145" s="18">
        <f t="shared" ca="1" si="72"/>
        <v>0.47115384615384615</v>
      </c>
      <c r="AP145" s="18">
        <f t="shared" ca="1" si="73"/>
        <v>3.8461538461538464E-2</v>
      </c>
      <c r="AQ145" s="18">
        <f t="shared" ca="1" si="74"/>
        <v>2.403846153846154E-2</v>
      </c>
      <c r="AR145" s="18">
        <f t="shared" ca="1" si="75"/>
        <v>9.1346153846153841E-2</v>
      </c>
    </row>
    <row r="146" spans="1:44">
      <c r="A146" s="20">
        <v>24.1</v>
      </c>
      <c r="B146" s="20">
        <v>23</v>
      </c>
      <c r="C146" s="20">
        <v>291.5</v>
      </c>
      <c r="D146" s="21">
        <v>36.299999999999997</v>
      </c>
      <c r="E146" s="20">
        <v>66.900000000000006</v>
      </c>
      <c r="F146" s="18">
        <f t="shared" si="76"/>
        <v>4.158010148663677E-3</v>
      </c>
      <c r="G146" s="18">
        <f t="shared" si="77"/>
        <v>0</v>
      </c>
      <c r="H146" s="18">
        <f t="shared" si="78"/>
        <v>2.3252826252726361E-2</v>
      </c>
      <c r="I146" s="18">
        <f t="shared" si="79"/>
        <v>-1.6393809775676497E-2</v>
      </c>
      <c r="J146" s="18">
        <f t="shared" si="80"/>
        <v>2.9940142126046996E-3</v>
      </c>
      <c r="K146" s="18">
        <f t="shared" si="81"/>
        <v>3.7448745554433381E-3</v>
      </c>
      <c r="L146" s="18">
        <f t="shared" si="82"/>
        <v>-4.1313559322033898E-4</v>
      </c>
      <c r="M146" s="18">
        <f t="shared" si="83"/>
        <v>2.2839690659506022E-2</v>
      </c>
      <c r="N146" s="18">
        <f t="shared" si="84"/>
        <v>-1.6806945368896837E-2</v>
      </c>
      <c r="O146" s="18">
        <f t="shared" si="85"/>
        <v>2.5808786193843606E-3</v>
      </c>
      <c r="W146" s="18">
        <f t="shared" ca="1" si="86"/>
        <v>0.32</v>
      </c>
      <c r="X146" s="18">
        <f t="shared" ca="1" si="86"/>
        <v>0.6</v>
      </c>
      <c r="Y146" s="18">
        <f t="shared" ca="1" si="86"/>
        <v>0.39</v>
      </c>
      <c r="Z146" s="18">
        <f t="shared" ca="1" si="59"/>
        <v>0.9</v>
      </c>
      <c r="AA146" s="18">
        <f t="shared" ca="1" si="58"/>
        <v>0.46</v>
      </c>
      <c r="AB146" s="18">
        <f t="shared" ca="1" si="60"/>
        <v>2.67</v>
      </c>
      <c r="AC146" s="18">
        <f t="shared" ca="1" si="61"/>
        <v>0.1198501872659176</v>
      </c>
      <c r="AD146" s="18">
        <f t="shared" ca="1" si="62"/>
        <v>0.2247191011235955</v>
      </c>
      <c r="AE146" s="18">
        <f t="shared" ca="1" si="63"/>
        <v>0.14606741573033707</v>
      </c>
      <c r="AF146" s="18">
        <f t="shared" ca="1" si="64"/>
        <v>0.33707865168539325</v>
      </c>
      <c r="AG146" s="18">
        <f t="shared" ca="1" si="65"/>
        <v>0.17228464419475656</v>
      </c>
      <c r="AH146" s="18">
        <f t="shared" ca="1" si="66"/>
        <v>1</v>
      </c>
      <c r="AI146" s="18" cm="1">
        <f t="array" aca="1" ref="AI146" ca="1">MMULT(MMULT(AC146:AG146,$Q$2:$U$6),TRANSPOSE(AC146:AG146))</f>
        <v>2.5252795079029963E-4</v>
      </c>
      <c r="AJ146" s="18">
        <f t="shared" ca="1" si="67"/>
        <v>-1.2564941182831818E-3</v>
      </c>
      <c r="AK146" s="18">
        <f t="shared" ca="1" si="68"/>
        <v>-0.10506678355096093</v>
      </c>
      <c r="AL146" s="18">
        <f t="shared" ca="1" si="69"/>
        <v>-1.2564941182831818E-3</v>
      </c>
      <c r="AM146" s="18">
        <f t="shared" ca="1" si="70"/>
        <v>2.5252795079029963E-4</v>
      </c>
      <c r="AN146" s="18">
        <f t="shared" ca="1" si="71"/>
        <v>0.1198501872659176</v>
      </c>
      <c r="AO146" s="18">
        <f t="shared" ca="1" si="72"/>
        <v>0.2247191011235955</v>
      </c>
      <c r="AP146" s="18">
        <f t="shared" ca="1" si="73"/>
        <v>0.14606741573033707</v>
      </c>
      <c r="AQ146" s="18">
        <f t="shared" ca="1" si="74"/>
        <v>0.33707865168539325</v>
      </c>
      <c r="AR146" s="18">
        <f t="shared" ca="1" si="75"/>
        <v>0.17228464419475656</v>
      </c>
    </row>
    <row r="147" spans="1:44">
      <c r="A147" s="20">
        <v>24.4</v>
      </c>
      <c r="B147" s="20">
        <v>23</v>
      </c>
      <c r="C147" s="20">
        <v>292.7</v>
      </c>
      <c r="D147" s="21">
        <v>38.5</v>
      </c>
      <c r="E147" s="20">
        <v>68.599999999999994</v>
      </c>
      <c r="F147" s="18">
        <f t="shared" si="76"/>
        <v>1.2371291802546829E-2</v>
      </c>
      <c r="G147" s="18">
        <f t="shared" si="77"/>
        <v>0</v>
      </c>
      <c r="H147" s="18">
        <f t="shared" si="78"/>
        <v>4.1081879072930351E-3</v>
      </c>
      <c r="I147" s="18">
        <f t="shared" si="79"/>
        <v>5.8840500022933603E-2</v>
      </c>
      <c r="J147" s="18">
        <f t="shared" si="80"/>
        <v>2.5093567597656557E-2</v>
      </c>
      <c r="K147" s="18">
        <f t="shared" si="81"/>
        <v>1.1958156209326489E-2</v>
      </c>
      <c r="L147" s="18">
        <f t="shared" si="82"/>
        <v>-4.1313559322033898E-4</v>
      </c>
      <c r="M147" s="18">
        <f t="shared" si="83"/>
        <v>3.6950523140726961E-3</v>
      </c>
      <c r="N147" s="18">
        <f t="shared" si="84"/>
        <v>5.8427364429713267E-2</v>
      </c>
      <c r="O147" s="18">
        <f t="shared" si="85"/>
        <v>2.4680432004436217E-2</v>
      </c>
      <c r="W147" s="18">
        <f t="shared" ca="1" si="86"/>
        <v>0.33</v>
      </c>
      <c r="X147" s="18">
        <f t="shared" ca="1" si="86"/>
        <v>0.33</v>
      </c>
      <c r="Y147" s="18">
        <f t="shared" ca="1" si="86"/>
        <v>0.11</v>
      </c>
      <c r="Z147" s="18">
        <f t="shared" ca="1" si="59"/>
        <v>0.57999999999999996</v>
      </c>
      <c r="AA147" s="18">
        <f t="shared" ca="1" si="58"/>
        <v>0.74</v>
      </c>
      <c r="AB147" s="18">
        <f t="shared" ca="1" si="60"/>
        <v>2.09</v>
      </c>
      <c r="AC147" s="18">
        <f t="shared" ca="1" si="61"/>
        <v>0.15789473684210528</v>
      </c>
      <c r="AD147" s="18">
        <f t="shared" ca="1" si="62"/>
        <v>0.15789473684210528</v>
      </c>
      <c r="AE147" s="18">
        <f t="shared" ca="1" si="63"/>
        <v>5.2631578947368425E-2</v>
      </c>
      <c r="AF147" s="18">
        <f t="shared" ca="1" si="64"/>
        <v>0.27751196172248804</v>
      </c>
      <c r="AG147" s="18">
        <f t="shared" ca="1" si="65"/>
        <v>0.35406698564593303</v>
      </c>
      <c r="AH147" s="18">
        <f t="shared" ca="1" si="66"/>
        <v>1</v>
      </c>
      <c r="AI147" s="18" cm="1">
        <f t="array" aca="1" ref="AI147" ca="1">MMULT(MMULT(AC147:AG147,$Q$2:$U$6),TRANSPOSE(AC147:AG147))</f>
        <v>3.2100534141469791E-4</v>
      </c>
      <c r="AJ147" s="18">
        <f t="shared" ca="1" si="67"/>
        <v>1.4261264559653774E-3</v>
      </c>
      <c r="AK147" s="18">
        <f t="shared" ca="1" si="68"/>
        <v>5.6539166068920059E-2</v>
      </c>
      <c r="AL147" s="18">
        <f t="shared" ca="1" si="69"/>
        <v>1.4261264559653774E-3</v>
      </c>
      <c r="AM147" s="18">
        <f t="shared" ca="1" si="70"/>
        <v>3.2100534141469791E-4</v>
      </c>
      <c r="AN147" s="18">
        <f t="shared" ca="1" si="71"/>
        <v>0.15789473684210528</v>
      </c>
      <c r="AO147" s="18">
        <f t="shared" ca="1" si="72"/>
        <v>0.15789473684210528</v>
      </c>
      <c r="AP147" s="18">
        <f t="shared" ca="1" si="73"/>
        <v>5.2631578947368425E-2</v>
      </c>
      <c r="AQ147" s="18">
        <f t="shared" ca="1" si="74"/>
        <v>0.27751196172248804</v>
      </c>
      <c r="AR147" s="18">
        <f t="shared" ca="1" si="75"/>
        <v>0.35406698564593303</v>
      </c>
    </row>
    <row r="148" spans="1:44">
      <c r="A148" s="20">
        <v>24.6</v>
      </c>
      <c r="B148" s="20">
        <v>22.9</v>
      </c>
      <c r="C148" s="20">
        <v>295.89999999999998</v>
      </c>
      <c r="D148" s="21">
        <v>35.799999999999997</v>
      </c>
      <c r="E148" s="20">
        <v>68.900000000000006</v>
      </c>
      <c r="F148" s="18">
        <f t="shared" si="76"/>
        <v>8.1633106391610557E-3</v>
      </c>
      <c r="G148" s="18">
        <f t="shared" si="77"/>
        <v>-4.3573053689558126E-3</v>
      </c>
      <c r="H148" s="18">
        <f t="shared" si="78"/>
        <v>1.0873365708323824E-2</v>
      </c>
      <c r="I148" s="18">
        <f t="shared" si="79"/>
        <v>-7.2710347887083943E-2</v>
      </c>
      <c r="J148" s="18">
        <f t="shared" si="80"/>
        <v>4.3636432877734921E-3</v>
      </c>
      <c r="K148" s="18">
        <f t="shared" si="81"/>
        <v>7.7501750459407163E-3</v>
      </c>
      <c r="L148" s="18">
        <f t="shared" si="82"/>
        <v>-4.770440962176152E-3</v>
      </c>
      <c r="M148" s="18">
        <f t="shared" si="83"/>
        <v>1.0460230115103485E-2</v>
      </c>
      <c r="N148" s="18">
        <f t="shared" si="84"/>
        <v>-7.3123483480304285E-2</v>
      </c>
      <c r="O148" s="18">
        <f t="shared" si="85"/>
        <v>3.9505076945531535E-3</v>
      </c>
      <c r="W148" s="18">
        <f t="shared" ca="1" si="86"/>
        <v>0.48</v>
      </c>
      <c r="X148" s="18">
        <f t="shared" ca="1" si="86"/>
        <v>0.97</v>
      </c>
      <c r="Y148" s="18">
        <f t="shared" ca="1" si="86"/>
        <v>0.49</v>
      </c>
      <c r="Z148" s="18">
        <f t="shared" ca="1" si="59"/>
        <v>0.88</v>
      </c>
      <c r="AA148" s="18">
        <f t="shared" ca="1" si="58"/>
        <v>0.68</v>
      </c>
      <c r="AB148" s="18">
        <f t="shared" ca="1" si="60"/>
        <v>3.5</v>
      </c>
      <c r="AC148" s="18">
        <f t="shared" ca="1" si="61"/>
        <v>0.13714285714285715</v>
      </c>
      <c r="AD148" s="18">
        <f t="shared" ca="1" si="62"/>
        <v>0.27714285714285714</v>
      </c>
      <c r="AE148" s="18">
        <f t="shared" ca="1" si="63"/>
        <v>0.13999999999999999</v>
      </c>
      <c r="AF148" s="18">
        <f t="shared" ca="1" si="64"/>
        <v>0.25142857142857145</v>
      </c>
      <c r="AG148" s="18">
        <f t="shared" ca="1" si="65"/>
        <v>0.19428571428571431</v>
      </c>
      <c r="AH148" s="18">
        <f t="shared" ca="1" si="66"/>
        <v>1</v>
      </c>
      <c r="AI148" s="18" cm="1">
        <f t="array" aca="1" ref="AI148" ca="1">MMULT(MMULT(AC148:AG148,$Q$2:$U$6),TRANSPOSE(AC148:AG148))</f>
        <v>2.1604569966362342E-4</v>
      </c>
      <c r="AJ148" s="18">
        <f t="shared" ca="1" si="67"/>
        <v>-2.456703741385667E-3</v>
      </c>
      <c r="AK148" s="18">
        <f t="shared" ca="1" si="68"/>
        <v>-0.19524718033350441</v>
      </c>
      <c r="AL148" s="18">
        <f t="shared" ca="1" si="69"/>
        <v>-2.456703741385667E-3</v>
      </c>
      <c r="AM148" s="18">
        <f t="shared" ca="1" si="70"/>
        <v>2.1604569966362342E-4</v>
      </c>
      <c r="AN148" s="18">
        <f t="shared" ca="1" si="71"/>
        <v>0.13714285714285715</v>
      </c>
      <c r="AO148" s="18">
        <f t="shared" ca="1" si="72"/>
        <v>0.27714285714285714</v>
      </c>
      <c r="AP148" s="18">
        <f t="shared" ca="1" si="73"/>
        <v>0.13999999999999999</v>
      </c>
      <c r="AQ148" s="18">
        <f t="shared" ca="1" si="74"/>
        <v>0.25142857142857145</v>
      </c>
      <c r="AR148" s="18">
        <f t="shared" ca="1" si="75"/>
        <v>0.19428571428571431</v>
      </c>
    </row>
    <row r="149" spans="1:44">
      <c r="A149" s="20">
        <v>24.9</v>
      </c>
      <c r="B149" s="20">
        <v>22.9</v>
      </c>
      <c r="C149" s="20">
        <v>302.60000000000002</v>
      </c>
      <c r="D149" s="21">
        <v>37.5</v>
      </c>
      <c r="E149" s="20">
        <v>67.400000000000006</v>
      </c>
      <c r="F149" s="18">
        <f t="shared" si="76"/>
        <v>1.2121360532344602E-2</v>
      </c>
      <c r="G149" s="18">
        <f t="shared" si="77"/>
        <v>0</v>
      </c>
      <c r="H149" s="18">
        <f t="shared" si="78"/>
        <v>2.2390241948091836E-2</v>
      </c>
      <c r="I149" s="18">
        <f t="shared" si="79"/>
        <v>4.6393039569710491E-2</v>
      </c>
      <c r="J149" s="18">
        <f t="shared" si="80"/>
        <v>-2.2011160101351575E-2</v>
      </c>
      <c r="K149" s="18">
        <f t="shared" si="81"/>
        <v>1.1708224939124262E-2</v>
      </c>
      <c r="L149" s="18">
        <f t="shared" si="82"/>
        <v>-4.1313559322033898E-4</v>
      </c>
      <c r="M149" s="18">
        <f t="shared" si="83"/>
        <v>2.1977106354871496E-2</v>
      </c>
      <c r="N149" s="18">
        <f t="shared" si="84"/>
        <v>4.5979903976490155E-2</v>
      </c>
      <c r="O149" s="18">
        <f t="shared" si="85"/>
        <v>-2.2424295694571914E-2</v>
      </c>
      <c r="W149" s="18">
        <f t="shared" ca="1" si="86"/>
        <v>0.56000000000000005</v>
      </c>
      <c r="X149" s="18">
        <f t="shared" ca="1" si="86"/>
        <v>0.35</v>
      </c>
      <c r="Y149" s="18">
        <f t="shared" ca="1" si="86"/>
        <v>1</v>
      </c>
      <c r="Z149" s="18">
        <f t="shared" ca="1" si="59"/>
        <v>0.69</v>
      </c>
      <c r="AA149" s="18">
        <f t="shared" ca="1" si="58"/>
        <v>0.08</v>
      </c>
      <c r="AB149" s="18">
        <f t="shared" ca="1" si="60"/>
        <v>2.68</v>
      </c>
      <c r="AC149" s="18">
        <f t="shared" ca="1" si="61"/>
        <v>0.20895522388059704</v>
      </c>
      <c r="AD149" s="18">
        <f t="shared" ca="1" si="62"/>
        <v>0.13059701492537312</v>
      </c>
      <c r="AE149" s="18">
        <f t="shared" ca="1" si="63"/>
        <v>0.37313432835820892</v>
      </c>
      <c r="AF149" s="18">
        <f t="shared" ca="1" si="64"/>
        <v>0.25746268656716415</v>
      </c>
      <c r="AG149" s="18">
        <f t="shared" ca="1" si="65"/>
        <v>2.9850746268656716E-2</v>
      </c>
      <c r="AH149" s="18">
        <f t="shared" ca="1" si="66"/>
        <v>0.99999999999999989</v>
      </c>
      <c r="AI149" s="18" cm="1">
        <f t="array" aca="1" ref="AI149" ca="1">MMULT(MMULT(AC149:AG149,$Q$2:$U$6),TRANSPOSE(AC149:AG149))</f>
        <v>1.8773894651231271E-4</v>
      </c>
      <c r="AJ149" s="18">
        <f t="shared" ca="1" si="67"/>
        <v>-4.3450723571962155E-3</v>
      </c>
      <c r="AK149" s="18">
        <f t="shared" ca="1" si="68"/>
        <v>-0.34726917079945768</v>
      </c>
      <c r="AL149" s="18">
        <f t="shared" ca="1" si="69"/>
        <v>-4.3450723571962155E-3</v>
      </c>
      <c r="AM149" s="18">
        <f t="shared" ca="1" si="70"/>
        <v>1.8773894651231271E-4</v>
      </c>
      <c r="AN149" s="18">
        <f t="shared" ca="1" si="71"/>
        <v>0.20895522388059704</v>
      </c>
      <c r="AO149" s="18">
        <f t="shared" ca="1" si="72"/>
        <v>0.13059701492537312</v>
      </c>
      <c r="AP149" s="18">
        <f t="shared" ca="1" si="73"/>
        <v>0.37313432835820892</v>
      </c>
      <c r="AQ149" s="18">
        <f t="shared" ca="1" si="74"/>
        <v>0.25746268656716415</v>
      </c>
      <c r="AR149" s="18">
        <f t="shared" ca="1" si="75"/>
        <v>2.9850746268656716E-2</v>
      </c>
    </row>
    <row r="150" spans="1:44">
      <c r="A150" s="20">
        <v>24.9</v>
      </c>
      <c r="B150" s="20">
        <v>22.7</v>
      </c>
      <c r="C150" s="20">
        <v>304.39999999999998</v>
      </c>
      <c r="D150" s="21">
        <v>38.6</v>
      </c>
      <c r="E150" s="20">
        <v>68.400000000000006</v>
      </c>
      <c r="F150" s="18">
        <f t="shared" si="76"/>
        <v>0</v>
      </c>
      <c r="G150" s="18">
        <f t="shared" si="77"/>
        <v>-8.7719860728369941E-3</v>
      </c>
      <c r="H150" s="18">
        <f t="shared" si="78"/>
        <v>5.9308246332750595E-3</v>
      </c>
      <c r="I150" s="18">
        <f t="shared" si="79"/>
        <v>2.8911343494420143E-2</v>
      </c>
      <c r="J150" s="18">
        <f t="shared" si="80"/>
        <v>1.4727806710243386E-2</v>
      </c>
      <c r="K150" s="18">
        <f t="shared" si="81"/>
        <v>-4.1313559322033898E-4</v>
      </c>
      <c r="L150" s="18">
        <f t="shared" si="82"/>
        <v>-9.1851216660573335E-3</v>
      </c>
      <c r="M150" s="18">
        <f t="shared" si="83"/>
        <v>5.5176890400547209E-3</v>
      </c>
      <c r="N150" s="18">
        <f t="shared" si="84"/>
        <v>2.8498207901199803E-2</v>
      </c>
      <c r="O150" s="18">
        <f t="shared" si="85"/>
        <v>1.4314671117023047E-2</v>
      </c>
      <c r="W150" s="18">
        <f t="shared" ca="1" si="86"/>
        <v>0.62</v>
      </c>
      <c r="X150" s="18">
        <f t="shared" ca="1" si="86"/>
        <v>0.25</v>
      </c>
      <c r="Y150" s="18">
        <f t="shared" ca="1" si="86"/>
        <v>0.21</v>
      </c>
      <c r="Z150" s="18">
        <f t="shared" ca="1" si="59"/>
        <v>0.67</v>
      </c>
      <c r="AA150" s="18">
        <f t="shared" ca="1" si="58"/>
        <v>0.82</v>
      </c>
      <c r="AB150" s="18">
        <f t="shared" ca="1" si="60"/>
        <v>2.57</v>
      </c>
      <c r="AC150" s="18">
        <f t="shared" ca="1" si="61"/>
        <v>0.24124513618677043</v>
      </c>
      <c r="AD150" s="18">
        <f t="shared" ca="1" si="62"/>
        <v>9.727626459143969E-2</v>
      </c>
      <c r="AE150" s="18">
        <f t="shared" ca="1" si="63"/>
        <v>8.171206225680934E-2</v>
      </c>
      <c r="AF150" s="18">
        <f t="shared" ca="1" si="64"/>
        <v>0.26070038910505838</v>
      </c>
      <c r="AG150" s="18">
        <f t="shared" ca="1" si="65"/>
        <v>0.31906614785992216</v>
      </c>
      <c r="AH150" s="18">
        <f t="shared" ca="1" si="66"/>
        <v>1</v>
      </c>
      <c r="AI150" s="18" cm="1">
        <f t="array" aca="1" ref="AI150" ca="1">MMULT(MMULT(AC150:AG150,$Q$2:$U$6),TRANSPOSE(AC150:AG150))</f>
        <v>2.891681580070885E-4</v>
      </c>
      <c r="AJ150" s="18">
        <f t="shared" ca="1" si="67"/>
        <v>2.0921172168151688E-3</v>
      </c>
      <c r="AK150" s="18">
        <f t="shared" ca="1" si="68"/>
        <v>9.8734904069195481E-2</v>
      </c>
      <c r="AL150" s="18">
        <f t="shared" ca="1" si="69"/>
        <v>2.0921172168151688E-3</v>
      </c>
      <c r="AM150" s="18">
        <f t="shared" ca="1" si="70"/>
        <v>2.891681580070885E-4</v>
      </c>
      <c r="AN150" s="18">
        <f t="shared" ca="1" si="71"/>
        <v>0.24124513618677043</v>
      </c>
      <c r="AO150" s="18">
        <f t="shared" ca="1" si="72"/>
        <v>9.727626459143969E-2</v>
      </c>
      <c r="AP150" s="18">
        <f t="shared" ca="1" si="73"/>
        <v>8.171206225680934E-2</v>
      </c>
      <c r="AQ150" s="18">
        <f t="shared" ca="1" si="74"/>
        <v>0.26070038910505838</v>
      </c>
      <c r="AR150" s="18">
        <f t="shared" ca="1" si="75"/>
        <v>0.31906614785992216</v>
      </c>
    </row>
    <row r="151" spans="1:44">
      <c r="A151" s="20">
        <v>24.9</v>
      </c>
      <c r="B151" s="20">
        <v>23</v>
      </c>
      <c r="C151" s="20">
        <v>307.89999999999998</v>
      </c>
      <c r="D151" s="21">
        <v>40.299999999999997</v>
      </c>
      <c r="E151" s="20">
        <v>70</v>
      </c>
      <c r="F151" s="18">
        <f t="shared" si="76"/>
        <v>0</v>
      </c>
      <c r="G151" s="18">
        <f t="shared" si="77"/>
        <v>1.3129291441792802E-2</v>
      </c>
      <c r="H151" s="18">
        <f t="shared" si="78"/>
        <v>1.1432428942923916E-2</v>
      </c>
      <c r="I151" s="18">
        <f t="shared" si="79"/>
        <v>4.309919248185206E-2</v>
      </c>
      <c r="J151" s="18">
        <f t="shared" si="80"/>
        <v>2.3122417420854212E-2</v>
      </c>
      <c r="K151" s="18">
        <f t="shared" si="81"/>
        <v>-4.1313559322033898E-4</v>
      </c>
      <c r="L151" s="18">
        <f t="shared" si="82"/>
        <v>1.2716155848572462E-2</v>
      </c>
      <c r="M151" s="18">
        <f t="shared" si="83"/>
        <v>1.1019293349703576E-2</v>
      </c>
      <c r="N151" s="18">
        <f t="shared" si="84"/>
        <v>4.2686056888631724E-2</v>
      </c>
      <c r="O151" s="18">
        <f t="shared" si="85"/>
        <v>2.2709281827633872E-2</v>
      </c>
      <c r="W151" s="18">
        <f t="shared" ca="1" si="86"/>
        <v>0.13</v>
      </c>
      <c r="X151" s="18">
        <f t="shared" ca="1" si="86"/>
        <v>0.6</v>
      </c>
      <c r="Y151" s="18">
        <f t="shared" ca="1" si="86"/>
        <v>0.31</v>
      </c>
      <c r="Z151" s="18">
        <f t="shared" ca="1" si="59"/>
        <v>0.86</v>
      </c>
      <c r="AA151" s="18">
        <f t="shared" ca="1" si="58"/>
        <v>0.22</v>
      </c>
      <c r="AB151" s="18">
        <f t="shared" ca="1" si="60"/>
        <v>2.12</v>
      </c>
      <c r="AC151" s="18">
        <f t="shared" ca="1" si="61"/>
        <v>6.1320754716981132E-2</v>
      </c>
      <c r="AD151" s="18">
        <f t="shared" ca="1" si="62"/>
        <v>0.28301886792452829</v>
      </c>
      <c r="AE151" s="18">
        <f t="shared" ca="1" si="63"/>
        <v>0.14622641509433962</v>
      </c>
      <c r="AF151" s="18">
        <f t="shared" ca="1" si="64"/>
        <v>0.40566037735849053</v>
      </c>
      <c r="AG151" s="18">
        <f t="shared" ca="1" si="65"/>
        <v>0.10377358490566037</v>
      </c>
      <c r="AH151" s="18">
        <f t="shared" ca="1" si="66"/>
        <v>0.99999999999999989</v>
      </c>
      <c r="AI151" s="18" cm="1">
        <f t="array" aca="1" ref="AI151" ca="1">MMULT(MMULT(AC151:AG151,$Q$2:$U$6),TRANSPOSE(AC151:AG151))</f>
        <v>2.8777957926639039E-4</v>
      </c>
      <c r="AJ151" s="18">
        <f t="shared" ca="1" si="67"/>
        <v>-2.0030081870557235E-3</v>
      </c>
      <c r="AK151" s="18">
        <f t="shared" ca="1" si="68"/>
        <v>-0.14242715133914449</v>
      </c>
      <c r="AL151" s="18">
        <f t="shared" ca="1" si="69"/>
        <v>-2.0030081870557235E-3</v>
      </c>
      <c r="AM151" s="18">
        <f t="shared" ca="1" si="70"/>
        <v>2.8777957926639039E-4</v>
      </c>
      <c r="AN151" s="18">
        <f t="shared" ca="1" si="71"/>
        <v>6.1320754716981132E-2</v>
      </c>
      <c r="AO151" s="18">
        <f t="shared" ca="1" si="72"/>
        <v>0.28301886792452829</v>
      </c>
      <c r="AP151" s="18">
        <f t="shared" ca="1" si="73"/>
        <v>0.14622641509433962</v>
      </c>
      <c r="AQ151" s="18">
        <f t="shared" ca="1" si="74"/>
        <v>0.40566037735849053</v>
      </c>
      <c r="AR151" s="18">
        <f t="shared" ca="1" si="75"/>
        <v>0.10377358490566037</v>
      </c>
    </row>
    <row r="152" spans="1:44">
      <c r="A152" s="20">
        <v>24.9</v>
      </c>
      <c r="B152" s="20">
        <v>23</v>
      </c>
      <c r="C152" s="20">
        <v>309.39999999999998</v>
      </c>
      <c r="D152" s="21">
        <v>41.5</v>
      </c>
      <c r="E152" s="20">
        <v>69.8</v>
      </c>
      <c r="F152" s="18">
        <f t="shared" si="76"/>
        <v>0</v>
      </c>
      <c r="G152" s="18">
        <f t="shared" si="77"/>
        <v>0</v>
      </c>
      <c r="H152" s="18">
        <f t="shared" si="78"/>
        <v>4.8598832085111612E-3</v>
      </c>
      <c r="I152" s="18">
        <f t="shared" si="79"/>
        <v>2.9341958284015375E-2</v>
      </c>
      <c r="J152" s="18">
        <f t="shared" si="80"/>
        <v>-2.8612322810322348E-3</v>
      </c>
      <c r="K152" s="18">
        <f t="shared" si="81"/>
        <v>-4.1313559322033898E-4</v>
      </c>
      <c r="L152" s="18">
        <f t="shared" si="82"/>
        <v>-4.1313559322033898E-4</v>
      </c>
      <c r="M152" s="18">
        <f t="shared" si="83"/>
        <v>4.4467476152908227E-3</v>
      </c>
      <c r="N152" s="18">
        <f t="shared" si="84"/>
        <v>2.8928822690795036E-2</v>
      </c>
      <c r="O152" s="18">
        <f t="shared" si="85"/>
        <v>-3.2743678742525738E-3</v>
      </c>
      <c r="W152" s="18">
        <f t="shared" ca="1" si="86"/>
        <v>0.35</v>
      </c>
      <c r="X152" s="18">
        <f t="shared" ca="1" si="86"/>
        <v>1</v>
      </c>
      <c r="Y152" s="18">
        <f t="shared" ca="1" si="86"/>
        <v>0.04</v>
      </c>
      <c r="Z152" s="18">
        <f t="shared" ca="1" si="59"/>
        <v>0.38</v>
      </c>
      <c r="AA152" s="18">
        <f t="shared" ca="1" si="58"/>
        <v>0.06</v>
      </c>
      <c r="AB152" s="18">
        <f t="shared" ca="1" si="60"/>
        <v>1.83</v>
      </c>
      <c r="AC152" s="18">
        <f t="shared" ca="1" si="61"/>
        <v>0.19125683060109289</v>
      </c>
      <c r="AD152" s="18">
        <f t="shared" ca="1" si="62"/>
        <v>0.54644808743169393</v>
      </c>
      <c r="AE152" s="18">
        <f t="shared" ca="1" si="63"/>
        <v>2.185792349726776E-2</v>
      </c>
      <c r="AF152" s="18">
        <f t="shared" ca="1" si="64"/>
        <v>0.2076502732240437</v>
      </c>
      <c r="AG152" s="18">
        <f t="shared" ca="1" si="65"/>
        <v>3.2786885245901634E-2</v>
      </c>
      <c r="AH152" s="18">
        <f t="shared" ca="1" si="66"/>
        <v>1</v>
      </c>
      <c r="AI152" s="18" cm="1">
        <f t="array" aca="1" ref="AI152" ca="1">MMULT(MMULT(AC152:AG152,$Q$2:$U$6),TRANSPOSE(AC152:AG152))</f>
        <v>2.1471148824009091E-4</v>
      </c>
      <c r="AJ152" s="18">
        <f t="shared" ca="1" si="67"/>
        <v>-4.4467441872168764E-3</v>
      </c>
      <c r="AK152" s="18">
        <f t="shared" ca="1" si="68"/>
        <v>-0.33166365702658479</v>
      </c>
      <c r="AL152" s="18">
        <f t="shared" ca="1" si="69"/>
        <v>-4.4467441872168764E-3</v>
      </c>
      <c r="AM152" s="18">
        <f t="shared" ca="1" si="70"/>
        <v>2.1471148824009091E-4</v>
      </c>
      <c r="AN152" s="18">
        <f t="shared" ca="1" si="71"/>
        <v>0.19125683060109289</v>
      </c>
      <c r="AO152" s="18">
        <f t="shared" ca="1" si="72"/>
        <v>0.54644808743169393</v>
      </c>
      <c r="AP152" s="18">
        <f t="shared" ca="1" si="73"/>
        <v>2.185792349726776E-2</v>
      </c>
      <c r="AQ152" s="18">
        <f t="shared" ca="1" si="74"/>
        <v>0.2076502732240437</v>
      </c>
      <c r="AR152" s="18">
        <f t="shared" ca="1" si="75"/>
        <v>3.2786885245901634E-2</v>
      </c>
    </row>
    <row r="153" spans="1:44">
      <c r="A153" s="20">
        <v>24.3</v>
      </c>
      <c r="B153" s="20">
        <v>22.8</v>
      </c>
      <c r="C153" s="20">
        <v>306.8</v>
      </c>
      <c r="D153" s="21">
        <v>39.5</v>
      </c>
      <c r="E153" s="20">
        <v>66.7</v>
      </c>
      <c r="F153" s="18">
        <f t="shared" si="76"/>
        <v>-2.4391453124159124E-2</v>
      </c>
      <c r="G153" s="18">
        <f t="shared" si="77"/>
        <v>-8.7336799687545534E-3</v>
      </c>
      <c r="H153" s="18">
        <f t="shared" si="78"/>
        <v>-8.4388686458644838E-3</v>
      </c>
      <c r="I153" s="18">
        <f t="shared" si="79"/>
        <v>-4.9392755329576474E-2</v>
      </c>
      <c r="J153" s="18">
        <f t="shared" si="80"/>
        <v>-4.542905684674866E-2</v>
      </c>
      <c r="K153" s="18">
        <f t="shared" si="81"/>
        <v>-2.4804588717379464E-2</v>
      </c>
      <c r="L153" s="18">
        <f t="shared" si="82"/>
        <v>-9.1468155619748928E-3</v>
      </c>
      <c r="M153" s="18">
        <f t="shared" si="83"/>
        <v>-8.8520042390848232E-3</v>
      </c>
      <c r="N153" s="18">
        <f t="shared" si="84"/>
        <v>-4.980589092279681E-2</v>
      </c>
      <c r="O153" s="18">
        <f t="shared" si="85"/>
        <v>-4.5842192439968996E-2</v>
      </c>
      <c r="W153" s="18">
        <f t="shared" ca="1" si="86"/>
        <v>0.04</v>
      </c>
      <c r="X153" s="18">
        <f t="shared" ca="1" si="86"/>
        <v>0.34</v>
      </c>
      <c r="Y153" s="18">
        <f t="shared" ca="1" si="86"/>
        <v>0.24</v>
      </c>
      <c r="Z153" s="18">
        <f t="shared" ca="1" si="59"/>
        <v>0.77</v>
      </c>
      <c r="AA153" s="18">
        <f t="shared" ca="1" si="58"/>
        <v>7.0000000000000007E-2</v>
      </c>
      <c r="AB153" s="18">
        <f t="shared" ca="1" si="60"/>
        <v>1.4600000000000002</v>
      </c>
      <c r="AC153" s="18">
        <f t="shared" ca="1" si="61"/>
        <v>2.7397260273972601E-2</v>
      </c>
      <c r="AD153" s="18">
        <f t="shared" ca="1" si="62"/>
        <v>0.23287671232876711</v>
      </c>
      <c r="AE153" s="18">
        <f t="shared" ca="1" si="63"/>
        <v>0.16438356164383558</v>
      </c>
      <c r="AF153" s="18">
        <f t="shared" ca="1" si="64"/>
        <v>0.5273972602739726</v>
      </c>
      <c r="AG153" s="18">
        <f t="shared" ca="1" si="65"/>
        <v>4.7945205479452052E-2</v>
      </c>
      <c r="AH153" s="18">
        <f t="shared" ca="1" si="66"/>
        <v>0.99999999999999989</v>
      </c>
      <c r="AI153" s="18" cm="1">
        <f t="array" aca="1" ref="AI153" ca="1">MMULT(MMULT(AC153:AG153,$Q$2:$U$6),TRANSPOSE(AC153:AG153))</f>
        <v>3.8620101767061386E-4</v>
      </c>
      <c r="AJ153" s="18">
        <f t="shared" ca="1" si="67"/>
        <v>-9.1519659504409013E-4</v>
      </c>
      <c r="AK153" s="18">
        <f t="shared" ca="1" si="68"/>
        <v>-6.7592730344427449E-2</v>
      </c>
      <c r="AL153" s="18">
        <f t="shared" ca="1" si="69"/>
        <v>-9.1519659504409013E-4</v>
      </c>
      <c r="AM153" s="18">
        <f t="shared" ca="1" si="70"/>
        <v>3.8620101767061386E-4</v>
      </c>
      <c r="AN153" s="18">
        <f t="shared" ca="1" si="71"/>
        <v>2.7397260273972601E-2</v>
      </c>
      <c r="AO153" s="18">
        <f t="shared" ca="1" si="72"/>
        <v>0.23287671232876711</v>
      </c>
      <c r="AP153" s="18">
        <f t="shared" ca="1" si="73"/>
        <v>0.16438356164383558</v>
      </c>
      <c r="AQ153" s="18">
        <f t="shared" ca="1" si="74"/>
        <v>0.5273972602739726</v>
      </c>
      <c r="AR153" s="18">
        <f t="shared" ca="1" si="75"/>
        <v>4.7945205479452052E-2</v>
      </c>
    </row>
    <row r="154" spans="1:44">
      <c r="A154" s="20">
        <v>25.1</v>
      </c>
      <c r="B154" s="20">
        <v>23</v>
      </c>
      <c r="C154" s="20">
        <v>313.60000000000002</v>
      </c>
      <c r="D154" s="21">
        <v>43.3</v>
      </c>
      <c r="E154" s="20">
        <v>72</v>
      </c>
      <c r="F154" s="18">
        <f t="shared" si="76"/>
        <v>3.23914957912355E-2</v>
      </c>
      <c r="G154" s="18">
        <f t="shared" si="77"/>
        <v>8.7336799687546315E-3</v>
      </c>
      <c r="H154" s="18">
        <f t="shared" si="78"/>
        <v>2.192221898315172E-2</v>
      </c>
      <c r="I154" s="18">
        <f t="shared" si="79"/>
        <v>9.1851963101367839E-2</v>
      </c>
      <c r="J154" s="18">
        <f t="shared" si="80"/>
        <v>7.6461166094477298E-2</v>
      </c>
      <c r="K154" s="18">
        <f t="shared" si="81"/>
        <v>3.1978360198015164E-2</v>
      </c>
      <c r="L154" s="18">
        <f t="shared" si="82"/>
        <v>8.3205443755342921E-3</v>
      </c>
      <c r="M154" s="18">
        <f t="shared" si="83"/>
        <v>2.1509083389931381E-2</v>
      </c>
      <c r="N154" s="18">
        <f t="shared" si="84"/>
        <v>9.1438827508147497E-2</v>
      </c>
      <c r="O154" s="18">
        <f t="shared" si="85"/>
        <v>7.6048030501256955E-2</v>
      </c>
      <c r="W154" s="18">
        <f t="shared" ca="1" si="86"/>
        <v>0.36</v>
      </c>
      <c r="X154" s="18">
        <f t="shared" ca="1" si="86"/>
        <v>0.49</v>
      </c>
      <c r="Y154" s="18">
        <f t="shared" ca="1" si="86"/>
        <v>0.92</v>
      </c>
      <c r="Z154" s="18">
        <f t="shared" ca="1" si="59"/>
        <v>0.9</v>
      </c>
      <c r="AA154" s="18">
        <f t="shared" ca="1" si="58"/>
        <v>0.88</v>
      </c>
      <c r="AB154" s="18">
        <f t="shared" ca="1" si="60"/>
        <v>3.55</v>
      </c>
      <c r="AC154" s="18">
        <f t="shared" ca="1" si="61"/>
        <v>0.10140845070422536</v>
      </c>
      <c r="AD154" s="18">
        <f t="shared" ca="1" si="62"/>
        <v>0.13802816901408452</v>
      </c>
      <c r="AE154" s="18">
        <f t="shared" ca="1" si="63"/>
        <v>0.25915492957746483</v>
      </c>
      <c r="AF154" s="18">
        <f t="shared" ca="1" si="64"/>
        <v>0.25352112676056338</v>
      </c>
      <c r="AG154" s="18">
        <f t="shared" ca="1" si="65"/>
        <v>0.24788732394366197</v>
      </c>
      <c r="AH154" s="18">
        <f t="shared" ca="1" si="66"/>
        <v>1</v>
      </c>
      <c r="AI154" s="18" cm="1">
        <f t="array" aca="1" ref="AI154" ca="1">MMULT(MMULT(AC154:AG154,$Q$2:$U$6),TRANSPOSE(AC154:AG154))</f>
        <v>2.3010662834507535E-4</v>
      </c>
      <c r="AJ154" s="18">
        <f t="shared" ca="1" si="67"/>
        <v>-2.7450037916111271E-3</v>
      </c>
      <c r="AK154" s="18">
        <f t="shared" ca="1" si="68"/>
        <v>-0.2081932904930717</v>
      </c>
      <c r="AL154" s="18">
        <f t="shared" ca="1" si="69"/>
        <v>-2.7450037916111271E-3</v>
      </c>
      <c r="AM154" s="18">
        <f t="shared" ca="1" si="70"/>
        <v>2.3010662834507535E-4</v>
      </c>
      <c r="AN154" s="18">
        <f t="shared" ca="1" si="71"/>
        <v>0.10140845070422536</v>
      </c>
      <c r="AO154" s="18">
        <f t="shared" ca="1" si="72"/>
        <v>0.13802816901408452</v>
      </c>
      <c r="AP154" s="18">
        <f t="shared" ca="1" si="73"/>
        <v>0.25915492957746483</v>
      </c>
      <c r="AQ154" s="18">
        <f t="shared" ca="1" si="74"/>
        <v>0.25352112676056338</v>
      </c>
      <c r="AR154" s="18">
        <f t="shared" ca="1" si="75"/>
        <v>0.24788732394366197</v>
      </c>
    </row>
    <row r="155" spans="1:44">
      <c r="A155" s="20">
        <v>25.2</v>
      </c>
      <c r="B155" s="20">
        <v>22.9</v>
      </c>
      <c r="C155" s="20">
        <v>315.39999999999998</v>
      </c>
      <c r="D155" s="21">
        <v>42.8</v>
      </c>
      <c r="E155" s="20">
        <v>72.8</v>
      </c>
      <c r="F155" s="18">
        <f t="shared" si="76"/>
        <v>3.9761483796394168E-3</v>
      </c>
      <c r="G155" s="18">
        <f t="shared" si="77"/>
        <v>-4.3573053689558126E-3</v>
      </c>
      <c r="H155" s="18">
        <f t="shared" si="78"/>
        <v>5.7233860526850321E-3</v>
      </c>
      <c r="I155" s="18">
        <f t="shared" si="79"/>
        <v>-1.1614532420693002E-2</v>
      </c>
      <c r="J155" s="18">
        <f t="shared" si="80"/>
        <v>1.1049836186584935E-2</v>
      </c>
      <c r="K155" s="18">
        <f t="shared" si="81"/>
        <v>3.5630127864190778E-3</v>
      </c>
      <c r="L155" s="18">
        <f t="shared" si="82"/>
        <v>-4.770440962176152E-3</v>
      </c>
      <c r="M155" s="18">
        <f t="shared" si="83"/>
        <v>5.3102504594646927E-3</v>
      </c>
      <c r="N155" s="18">
        <f t="shared" si="84"/>
        <v>-1.2027668013913341E-2</v>
      </c>
      <c r="O155" s="18">
        <f t="shared" si="85"/>
        <v>1.0636700593364596E-2</v>
      </c>
      <c r="W155" s="18">
        <f t="shared" ca="1" si="86"/>
        <v>0.78</v>
      </c>
      <c r="X155" s="18">
        <f t="shared" ca="1" si="86"/>
        <v>0.75</v>
      </c>
      <c r="Y155" s="18">
        <f t="shared" ca="1" si="86"/>
        <v>0.37</v>
      </c>
      <c r="Z155" s="18">
        <f t="shared" ca="1" si="59"/>
        <v>0.11</v>
      </c>
      <c r="AA155" s="18">
        <f t="shared" ca="1" si="58"/>
        <v>0.94</v>
      </c>
      <c r="AB155" s="18">
        <f t="shared" ca="1" si="60"/>
        <v>2.9499999999999997</v>
      </c>
      <c r="AC155" s="18">
        <f t="shared" ca="1" si="61"/>
        <v>0.264406779661017</v>
      </c>
      <c r="AD155" s="18">
        <f t="shared" ca="1" si="62"/>
        <v>0.25423728813559326</v>
      </c>
      <c r="AE155" s="18">
        <f t="shared" ca="1" si="63"/>
        <v>0.12542372881355934</v>
      </c>
      <c r="AF155" s="18">
        <f t="shared" ca="1" si="64"/>
        <v>3.7288135593220341E-2</v>
      </c>
      <c r="AG155" s="18">
        <f t="shared" ca="1" si="65"/>
        <v>0.3186440677966102</v>
      </c>
      <c r="AH155" s="18">
        <f t="shared" ca="1" si="66"/>
        <v>1</v>
      </c>
      <c r="AI155" s="18" cm="1">
        <f t="array" aca="1" ref="AI155" ca="1">MMULT(MMULT(AC155:AG155,$Q$2:$U$6),TRANSPOSE(AC155:AG155))</f>
        <v>2.2419843895251845E-4</v>
      </c>
      <c r="AJ155" s="18">
        <f t="shared" ca="1" si="67"/>
        <v>-2.6335406805246598E-3</v>
      </c>
      <c r="AK155" s="18">
        <f t="shared" ca="1" si="68"/>
        <v>-0.20347451327529933</v>
      </c>
      <c r="AL155" s="18">
        <f t="shared" ca="1" si="69"/>
        <v>-2.6335406805246598E-3</v>
      </c>
      <c r="AM155" s="18">
        <f t="shared" ca="1" si="70"/>
        <v>2.2419843895251845E-4</v>
      </c>
      <c r="AN155" s="18">
        <f t="shared" ca="1" si="71"/>
        <v>0.264406779661017</v>
      </c>
      <c r="AO155" s="18">
        <f t="shared" ca="1" si="72"/>
        <v>0.25423728813559326</v>
      </c>
      <c r="AP155" s="18">
        <f t="shared" ca="1" si="73"/>
        <v>0.12542372881355934</v>
      </c>
      <c r="AQ155" s="18">
        <f t="shared" ca="1" si="74"/>
        <v>3.7288135593220341E-2</v>
      </c>
      <c r="AR155" s="18">
        <f t="shared" ca="1" si="75"/>
        <v>0.3186440677966102</v>
      </c>
    </row>
    <row r="156" spans="1:44">
      <c r="A156" s="20">
        <v>25.2</v>
      </c>
      <c r="B156" s="20">
        <v>23</v>
      </c>
      <c r="C156" s="20">
        <v>307</v>
      </c>
      <c r="D156" s="21">
        <v>42.2</v>
      </c>
      <c r="E156" s="20">
        <v>74.2</v>
      </c>
      <c r="F156" s="18">
        <f t="shared" si="76"/>
        <v>0</v>
      </c>
      <c r="G156" s="18">
        <f t="shared" si="77"/>
        <v>4.3573053689558473E-3</v>
      </c>
      <c r="H156" s="18">
        <f t="shared" si="78"/>
        <v>-2.6993926941740794E-2</v>
      </c>
      <c r="I156" s="18">
        <f t="shared" si="79"/>
        <v>-1.4117881545784819E-2</v>
      </c>
      <c r="J156" s="18">
        <f t="shared" si="80"/>
        <v>1.904819497069463E-2</v>
      </c>
      <c r="K156" s="18">
        <f t="shared" si="81"/>
        <v>-4.1313559322033898E-4</v>
      </c>
      <c r="L156" s="18">
        <f t="shared" si="82"/>
        <v>3.9441697757355079E-3</v>
      </c>
      <c r="M156" s="18">
        <f t="shared" si="83"/>
        <v>-2.7407062534961134E-2</v>
      </c>
      <c r="N156" s="18">
        <f t="shared" si="84"/>
        <v>-1.4531017139005158E-2</v>
      </c>
      <c r="O156" s="18">
        <f t="shared" si="85"/>
        <v>1.863505937747429E-2</v>
      </c>
      <c r="W156" s="18">
        <f t="shared" ca="1" si="86"/>
        <v>0.89</v>
      </c>
      <c r="X156" s="18">
        <f t="shared" ca="1" si="86"/>
        <v>0.19</v>
      </c>
      <c r="Y156" s="18">
        <f t="shared" ca="1" si="86"/>
        <v>0.39</v>
      </c>
      <c r="Z156" s="18">
        <f t="shared" ca="1" si="59"/>
        <v>0.48</v>
      </c>
      <c r="AA156" s="18">
        <f t="shared" ca="1" si="58"/>
        <v>0.63</v>
      </c>
      <c r="AB156" s="18">
        <f t="shared" ca="1" si="60"/>
        <v>2.58</v>
      </c>
      <c r="AC156" s="18">
        <f t="shared" ca="1" si="61"/>
        <v>0.34496124031007752</v>
      </c>
      <c r="AD156" s="18">
        <f t="shared" ca="1" si="62"/>
        <v>7.364341085271317E-2</v>
      </c>
      <c r="AE156" s="18">
        <f t="shared" ca="1" si="63"/>
        <v>0.15116279069767441</v>
      </c>
      <c r="AF156" s="18">
        <f t="shared" ca="1" si="64"/>
        <v>0.18604651162790697</v>
      </c>
      <c r="AG156" s="18">
        <f t="shared" ca="1" si="65"/>
        <v>0.2441860465116279</v>
      </c>
      <c r="AH156" s="18">
        <f t="shared" ca="1" si="66"/>
        <v>0.99999999999999989</v>
      </c>
      <c r="AI156" s="18" cm="1">
        <f t="array" aca="1" ref="AI156" ca="1">MMULT(MMULT(AC156:AG156,$Q$2:$U$6),TRANSPOSE(AC156:AG156))</f>
        <v>2.1512347424477383E-4</v>
      </c>
      <c r="AJ156" s="18">
        <f t="shared" ca="1" si="67"/>
        <v>1.0874457765082991E-3</v>
      </c>
      <c r="AK156" s="18">
        <f t="shared" ca="1" si="68"/>
        <v>4.5974373185855746E-2</v>
      </c>
      <c r="AL156" s="18">
        <f t="shared" ca="1" si="69"/>
        <v>1.0874457765082991E-3</v>
      </c>
      <c r="AM156" s="18">
        <f t="shared" ca="1" si="70"/>
        <v>2.1512347424477383E-4</v>
      </c>
      <c r="AN156" s="18">
        <f t="shared" ca="1" si="71"/>
        <v>0.34496124031007752</v>
      </c>
      <c r="AO156" s="18">
        <f t="shared" ca="1" si="72"/>
        <v>7.364341085271317E-2</v>
      </c>
      <c r="AP156" s="18">
        <f t="shared" ca="1" si="73"/>
        <v>0.15116279069767441</v>
      </c>
      <c r="AQ156" s="18">
        <f t="shared" ca="1" si="74"/>
        <v>0.18604651162790697</v>
      </c>
      <c r="AR156" s="18">
        <f t="shared" ca="1" si="75"/>
        <v>0.2441860465116279</v>
      </c>
    </row>
    <row r="157" spans="1:44">
      <c r="A157" s="20">
        <v>24.9</v>
      </c>
      <c r="B157" s="20">
        <v>23</v>
      </c>
      <c r="C157" s="20">
        <v>310.39999999999998</v>
      </c>
      <c r="D157" s="21">
        <v>38.4</v>
      </c>
      <c r="E157" s="20">
        <v>72.099999999999994</v>
      </c>
      <c r="F157" s="18">
        <f t="shared" si="76"/>
        <v>-1.1976191046715762E-2</v>
      </c>
      <c r="G157" s="18">
        <f t="shared" si="77"/>
        <v>0</v>
      </c>
      <c r="H157" s="18">
        <f t="shared" si="78"/>
        <v>1.1014040721866404E-2</v>
      </c>
      <c r="I157" s="18">
        <f t="shared" si="79"/>
        <v>-9.4362761448284996E-2</v>
      </c>
      <c r="J157" s="18">
        <f t="shared" si="80"/>
        <v>-2.8710105882431482E-2</v>
      </c>
      <c r="K157" s="18">
        <f t="shared" si="81"/>
        <v>-1.2389326639936101E-2</v>
      </c>
      <c r="L157" s="18">
        <f t="shared" si="82"/>
        <v>-4.1313559322033898E-4</v>
      </c>
      <c r="M157" s="18">
        <f t="shared" si="83"/>
        <v>1.0600905128646065E-2</v>
      </c>
      <c r="N157" s="18">
        <f t="shared" si="84"/>
        <v>-9.4775897041505339E-2</v>
      </c>
      <c r="O157" s="18">
        <f t="shared" si="85"/>
        <v>-2.9123241475651821E-2</v>
      </c>
      <c r="W157" s="18">
        <f t="shared" ca="1" si="86"/>
        <v>0.89</v>
      </c>
      <c r="X157" s="18">
        <f t="shared" ca="1" si="86"/>
        <v>0.37</v>
      </c>
      <c r="Y157" s="18">
        <f t="shared" ca="1" si="86"/>
        <v>0.17</v>
      </c>
      <c r="Z157" s="18">
        <f t="shared" ca="1" si="59"/>
        <v>0.96</v>
      </c>
      <c r="AA157" s="18">
        <f t="shared" ca="1" si="58"/>
        <v>0.55000000000000004</v>
      </c>
      <c r="AB157" s="18">
        <f t="shared" ca="1" si="60"/>
        <v>2.9399999999999995</v>
      </c>
      <c r="AC157" s="18">
        <f t="shared" ca="1" si="61"/>
        <v>0.30272108843537421</v>
      </c>
      <c r="AD157" s="18">
        <f t="shared" ca="1" si="62"/>
        <v>0.12585034013605445</v>
      </c>
      <c r="AE157" s="18">
        <f t="shared" ca="1" si="63"/>
        <v>5.7823129251700696E-2</v>
      </c>
      <c r="AF157" s="18">
        <f t="shared" ca="1" si="64"/>
        <v>0.32653061224489799</v>
      </c>
      <c r="AG157" s="18">
        <f t="shared" ca="1" si="65"/>
        <v>0.18707482993197283</v>
      </c>
      <c r="AH157" s="18">
        <f t="shared" ca="1" si="66"/>
        <v>1.0000000000000002</v>
      </c>
      <c r="AI157" s="18" cm="1">
        <f t="array" aca="1" ref="AI157" ca="1">MMULT(MMULT(AC157:AG157,$Q$2:$U$6),TRANSPOSE(AC157:AG157))</f>
        <v>2.6306728395388663E-4</v>
      </c>
      <c r="AJ157" s="18">
        <f t="shared" ca="1" si="67"/>
        <v>2.8301708802486096E-3</v>
      </c>
      <c r="AK157" s="18">
        <f t="shared" ca="1" si="68"/>
        <v>0.14902171955100035</v>
      </c>
      <c r="AL157" s="18">
        <f t="shared" ca="1" si="69"/>
        <v>2.8301708802486096E-3</v>
      </c>
      <c r="AM157" s="18">
        <f t="shared" ca="1" si="70"/>
        <v>2.6306728395388663E-4</v>
      </c>
      <c r="AN157" s="18">
        <f t="shared" ca="1" si="71"/>
        <v>0.30272108843537421</v>
      </c>
      <c r="AO157" s="18">
        <f t="shared" ca="1" si="72"/>
        <v>0.12585034013605445</v>
      </c>
      <c r="AP157" s="18">
        <f t="shared" ca="1" si="73"/>
        <v>5.7823129251700696E-2</v>
      </c>
      <c r="AQ157" s="18">
        <f t="shared" ca="1" si="74"/>
        <v>0.32653061224489799</v>
      </c>
      <c r="AR157" s="18">
        <f t="shared" ca="1" si="75"/>
        <v>0.18707482993197283</v>
      </c>
    </row>
    <row r="158" spans="1:44">
      <c r="A158" s="20">
        <v>25</v>
      </c>
      <c r="B158" s="20">
        <v>22.6</v>
      </c>
      <c r="C158" s="20">
        <v>314.7</v>
      </c>
      <c r="D158" s="21">
        <v>40.5</v>
      </c>
      <c r="E158" s="20">
        <v>73.5</v>
      </c>
      <c r="F158" s="18">
        <f t="shared" si="76"/>
        <v>4.0080213975388678E-3</v>
      </c>
      <c r="G158" s="18">
        <f t="shared" si="77"/>
        <v>-1.7544309650909393E-2</v>
      </c>
      <c r="H158" s="18">
        <f t="shared" si="78"/>
        <v>1.3758015761297558E-2</v>
      </c>
      <c r="I158" s="18">
        <f t="shared" si="79"/>
        <v>5.3244514518812285E-2</v>
      </c>
      <c r="J158" s="18">
        <f t="shared" si="80"/>
        <v>1.9231361927887592E-2</v>
      </c>
      <c r="K158" s="18">
        <f t="shared" si="81"/>
        <v>3.5948858043185288E-3</v>
      </c>
      <c r="L158" s="18">
        <f t="shared" si="82"/>
        <v>-1.7957445244129733E-2</v>
      </c>
      <c r="M158" s="18">
        <f t="shared" si="83"/>
        <v>1.3344880168077219E-2</v>
      </c>
      <c r="N158" s="18">
        <f t="shared" si="84"/>
        <v>5.2831378925591949E-2</v>
      </c>
      <c r="O158" s="18">
        <f t="shared" si="85"/>
        <v>1.8818226334667253E-2</v>
      </c>
      <c r="W158" s="18">
        <f t="shared" ca="1" si="86"/>
        <v>0.67</v>
      </c>
      <c r="X158" s="18">
        <f t="shared" ca="1" si="86"/>
        <v>0.18</v>
      </c>
      <c r="Y158" s="18">
        <f t="shared" ca="1" si="86"/>
        <v>0.37</v>
      </c>
      <c r="Z158" s="18">
        <f t="shared" ca="1" si="59"/>
        <v>0.61</v>
      </c>
      <c r="AA158" s="18">
        <f t="shared" ca="1" si="58"/>
        <v>0.81</v>
      </c>
      <c r="AB158" s="18">
        <f t="shared" ca="1" si="60"/>
        <v>2.64</v>
      </c>
      <c r="AC158" s="18">
        <f t="shared" ca="1" si="61"/>
        <v>0.25378787878787878</v>
      </c>
      <c r="AD158" s="18">
        <f t="shared" ca="1" si="62"/>
        <v>6.8181818181818177E-2</v>
      </c>
      <c r="AE158" s="18">
        <f t="shared" ca="1" si="63"/>
        <v>0.14015151515151514</v>
      </c>
      <c r="AF158" s="18">
        <f t="shared" ca="1" si="64"/>
        <v>0.23106060606060605</v>
      </c>
      <c r="AG158" s="18">
        <f t="shared" ca="1" si="65"/>
        <v>0.30681818181818182</v>
      </c>
      <c r="AH158" s="18">
        <f t="shared" ca="1" si="66"/>
        <v>1</v>
      </c>
      <c r="AI158" s="18" cm="1">
        <f t="array" aca="1" ref="AI158" ca="1">MMULT(MMULT(AC158:AG158,$Q$2:$U$6),TRANSPOSE(AC158:AG158))</f>
        <v>2.6469305925258242E-4</v>
      </c>
      <c r="AJ158" s="18">
        <f t="shared" ca="1" si="67"/>
        <v>1.2657089571239941E-3</v>
      </c>
      <c r="AK158" s="18">
        <f t="shared" ca="1" si="68"/>
        <v>5.2403522846768365E-2</v>
      </c>
      <c r="AL158" s="18">
        <f t="shared" ca="1" si="69"/>
        <v>1.2657089571239941E-3</v>
      </c>
      <c r="AM158" s="18">
        <f t="shared" ca="1" si="70"/>
        <v>2.6469305925258242E-4</v>
      </c>
      <c r="AN158" s="18">
        <f t="shared" ca="1" si="71"/>
        <v>0.25378787878787878</v>
      </c>
      <c r="AO158" s="18">
        <f t="shared" ca="1" si="72"/>
        <v>6.8181818181818177E-2</v>
      </c>
      <c r="AP158" s="18">
        <f t="shared" ca="1" si="73"/>
        <v>0.14015151515151514</v>
      </c>
      <c r="AQ158" s="18">
        <f t="shared" ca="1" si="74"/>
        <v>0.23106060606060605</v>
      </c>
      <c r="AR158" s="18">
        <f t="shared" ca="1" si="75"/>
        <v>0.30681818181818182</v>
      </c>
    </row>
    <row r="159" spans="1:44">
      <c r="A159" s="20">
        <v>25</v>
      </c>
      <c r="B159" s="20">
        <v>22.9</v>
      </c>
      <c r="C159" s="20">
        <v>316.2</v>
      </c>
      <c r="D159" s="21">
        <v>39.700000000000003</v>
      </c>
      <c r="E159" s="20">
        <v>74.599999999999994</v>
      </c>
      <c r="F159" s="18">
        <f t="shared" si="76"/>
        <v>0</v>
      </c>
      <c r="G159" s="18">
        <f t="shared" si="77"/>
        <v>1.3187004281953681E-2</v>
      </c>
      <c r="H159" s="18">
        <f t="shared" si="78"/>
        <v>4.7551207050105107E-3</v>
      </c>
      <c r="I159" s="18">
        <f t="shared" si="79"/>
        <v>-1.9950786419348682E-2</v>
      </c>
      <c r="J159" s="18">
        <f t="shared" si="80"/>
        <v>1.4855100990924059E-2</v>
      </c>
      <c r="K159" s="18">
        <f t="shared" si="81"/>
        <v>-4.1313559322033898E-4</v>
      </c>
      <c r="L159" s="18">
        <f t="shared" si="82"/>
        <v>1.2773868688733342E-2</v>
      </c>
      <c r="M159" s="18">
        <f t="shared" si="83"/>
        <v>4.3419851117901722E-3</v>
      </c>
      <c r="N159" s="18">
        <f t="shared" si="84"/>
        <v>-2.0363922012569022E-2</v>
      </c>
      <c r="O159" s="18">
        <f t="shared" si="85"/>
        <v>1.444196539770372E-2</v>
      </c>
      <c r="W159" s="18">
        <f t="shared" ca="1" si="86"/>
        <v>0.65</v>
      </c>
      <c r="X159" s="18">
        <f t="shared" ca="1" si="86"/>
        <v>0.52</v>
      </c>
      <c r="Y159" s="18">
        <f t="shared" ca="1" si="86"/>
        <v>0.39</v>
      </c>
      <c r="Z159" s="18">
        <f t="shared" ca="1" si="59"/>
        <v>0.8</v>
      </c>
      <c r="AA159" s="18">
        <f t="shared" ca="1" si="58"/>
        <v>0.92</v>
      </c>
      <c r="AB159" s="18">
        <f t="shared" ca="1" si="60"/>
        <v>3.2800000000000002</v>
      </c>
      <c r="AC159" s="18">
        <f t="shared" ca="1" si="61"/>
        <v>0.19817073170731705</v>
      </c>
      <c r="AD159" s="18">
        <f t="shared" ca="1" si="62"/>
        <v>0.15853658536585366</v>
      </c>
      <c r="AE159" s="18">
        <f t="shared" ca="1" si="63"/>
        <v>0.11890243902439024</v>
      </c>
      <c r="AF159" s="18">
        <f t="shared" ca="1" si="64"/>
        <v>0.24390243902439024</v>
      </c>
      <c r="AG159" s="18">
        <f t="shared" ca="1" si="65"/>
        <v>0.28048780487804875</v>
      </c>
      <c r="AH159" s="18">
        <f t="shared" ca="1" si="66"/>
        <v>1</v>
      </c>
      <c r="AI159" s="18" cm="1">
        <f t="array" aca="1" ref="AI159" ca="1">MMULT(MMULT(AC159:AG159,$Q$2:$U$6),TRANSPOSE(AC159:AG159))</f>
        <v>2.5176009122025462E-4</v>
      </c>
      <c r="AJ159" s="18">
        <f t="shared" ca="1" si="67"/>
        <v>7.5804351291251467E-5</v>
      </c>
      <c r="AK159" s="18">
        <f t="shared" ca="1" si="68"/>
        <v>-2.1259993215683632E-2</v>
      </c>
      <c r="AL159" s="18">
        <f t="shared" ca="1" si="69"/>
        <v>7.5804351291251467E-5</v>
      </c>
      <c r="AM159" s="18">
        <f t="shared" ca="1" si="70"/>
        <v>2.5176009122025462E-4</v>
      </c>
      <c r="AN159" s="18">
        <f t="shared" ca="1" si="71"/>
        <v>0.19817073170731705</v>
      </c>
      <c r="AO159" s="18">
        <f t="shared" ca="1" si="72"/>
        <v>0.15853658536585366</v>
      </c>
      <c r="AP159" s="18">
        <f t="shared" ca="1" si="73"/>
        <v>0.11890243902439024</v>
      </c>
      <c r="AQ159" s="18">
        <f t="shared" ca="1" si="74"/>
        <v>0.24390243902439024</v>
      </c>
      <c r="AR159" s="18">
        <f t="shared" ca="1" si="75"/>
        <v>0.28048780487804875</v>
      </c>
    </row>
    <row r="160" spans="1:44">
      <c r="A160" s="20">
        <v>25.3</v>
      </c>
      <c r="B160" s="20">
        <v>23</v>
      </c>
      <c r="C160" s="20">
        <v>318.10000000000002</v>
      </c>
      <c r="D160" s="21">
        <v>44</v>
      </c>
      <c r="E160" s="20">
        <v>73.599999999999994</v>
      </c>
      <c r="F160" s="18">
        <f t="shared" si="76"/>
        <v>1.1928570865273812E-2</v>
      </c>
      <c r="G160" s="18">
        <f t="shared" si="77"/>
        <v>4.3573053689558473E-3</v>
      </c>
      <c r="H160" s="18">
        <f t="shared" si="78"/>
        <v>5.9908739797268672E-3</v>
      </c>
      <c r="I160" s="18">
        <f t="shared" si="79"/>
        <v>0.10283844622511629</v>
      </c>
      <c r="J160" s="18">
        <f t="shared" si="80"/>
        <v>-1.3495481474884621E-2</v>
      </c>
      <c r="K160" s="18">
        <f t="shared" si="81"/>
        <v>1.1515435272053473E-2</v>
      </c>
      <c r="L160" s="18">
        <f t="shared" si="82"/>
        <v>3.9441697757355079E-3</v>
      </c>
      <c r="M160" s="18">
        <f t="shared" si="83"/>
        <v>5.5777383865065287E-3</v>
      </c>
      <c r="N160" s="18">
        <f t="shared" si="84"/>
        <v>0.10242531063189594</v>
      </c>
      <c r="O160" s="18">
        <f t="shared" si="85"/>
        <v>-1.3908617068104961E-2</v>
      </c>
      <c r="W160" s="18">
        <f t="shared" ca="1" si="86"/>
        <v>0.72</v>
      </c>
      <c r="X160" s="18">
        <f t="shared" ca="1" si="86"/>
        <v>0.64</v>
      </c>
      <c r="Y160" s="18">
        <f t="shared" ca="1" si="86"/>
        <v>0.43</v>
      </c>
      <c r="Z160" s="18">
        <f t="shared" ca="1" si="59"/>
        <v>0.96</v>
      </c>
      <c r="AA160" s="18">
        <f t="shared" ca="1" si="58"/>
        <v>0.52</v>
      </c>
      <c r="AB160" s="18">
        <f t="shared" ca="1" si="60"/>
        <v>3.27</v>
      </c>
      <c r="AC160" s="18">
        <f t="shared" ca="1" si="61"/>
        <v>0.22018348623853209</v>
      </c>
      <c r="AD160" s="18">
        <f t="shared" ca="1" si="62"/>
        <v>0.19571865443425077</v>
      </c>
      <c r="AE160" s="18">
        <f t="shared" ca="1" si="63"/>
        <v>0.13149847094801223</v>
      </c>
      <c r="AF160" s="18">
        <f t="shared" ca="1" si="64"/>
        <v>0.29357798165137611</v>
      </c>
      <c r="AG160" s="18">
        <f t="shared" ca="1" si="65"/>
        <v>0.15902140672782875</v>
      </c>
      <c r="AH160" s="18">
        <f t="shared" ca="1" si="66"/>
        <v>0.99999999999999989</v>
      </c>
      <c r="AI160" s="18" cm="1">
        <f t="array" aca="1" ref="AI160" ca="1">MMULT(MMULT(AC160:AG160,$Q$2:$U$6),TRANSPOSE(AC160:AG160))</f>
        <v>2.260133371983522E-4</v>
      </c>
      <c r="AJ160" s="18">
        <f t="shared" ca="1" si="67"/>
        <v>-3.3134199854461188E-4</v>
      </c>
      <c r="AK160" s="18">
        <f t="shared" ca="1" si="68"/>
        <v>-4.9520451579155605E-2</v>
      </c>
      <c r="AL160" s="18">
        <f t="shared" ca="1" si="69"/>
        <v>-3.3134199854461188E-4</v>
      </c>
      <c r="AM160" s="18">
        <f t="shared" ca="1" si="70"/>
        <v>2.260133371983522E-4</v>
      </c>
      <c r="AN160" s="18">
        <f t="shared" ca="1" si="71"/>
        <v>0.22018348623853209</v>
      </c>
      <c r="AO160" s="18">
        <f t="shared" ca="1" si="72"/>
        <v>0.19571865443425077</v>
      </c>
      <c r="AP160" s="18">
        <f t="shared" ca="1" si="73"/>
        <v>0.13149847094801223</v>
      </c>
      <c r="AQ160" s="18">
        <f t="shared" ca="1" si="74"/>
        <v>0.29357798165137611</v>
      </c>
      <c r="AR160" s="18">
        <f t="shared" ca="1" si="75"/>
        <v>0.15902140672782875</v>
      </c>
    </row>
    <row r="161" spans="1:44">
      <c r="A161" s="20">
        <v>25.3</v>
      </c>
      <c r="B161" s="20">
        <v>22.5</v>
      </c>
      <c r="C161" s="20">
        <v>320.7</v>
      </c>
      <c r="D161" s="21">
        <v>44.4</v>
      </c>
      <c r="E161" s="20">
        <v>73.599999999999994</v>
      </c>
      <c r="F161" s="18">
        <f t="shared" si="76"/>
        <v>0</v>
      </c>
      <c r="G161" s="18">
        <f t="shared" si="77"/>
        <v>-2.197890671877523E-2</v>
      </c>
      <c r="H161" s="18">
        <f t="shared" si="78"/>
        <v>8.1403079440107353E-3</v>
      </c>
      <c r="I161" s="18">
        <f t="shared" si="79"/>
        <v>9.0498355199178562E-3</v>
      </c>
      <c r="J161" s="18">
        <f t="shared" si="80"/>
        <v>0</v>
      </c>
      <c r="K161" s="18">
        <f t="shared" si="81"/>
        <v>-4.1313559322033898E-4</v>
      </c>
      <c r="L161" s="18">
        <f t="shared" si="82"/>
        <v>-2.2392042311995569E-2</v>
      </c>
      <c r="M161" s="18">
        <f t="shared" si="83"/>
        <v>7.7271723507903959E-3</v>
      </c>
      <c r="N161" s="18">
        <f t="shared" si="84"/>
        <v>8.6366999266975168E-3</v>
      </c>
      <c r="O161" s="18">
        <f t="shared" si="85"/>
        <v>-4.1313559322033898E-4</v>
      </c>
      <c r="W161" s="18">
        <f t="shared" ca="1" si="86"/>
        <v>0.3</v>
      </c>
      <c r="X161" s="18">
        <f t="shared" ca="1" si="86"/>
        <v>0.64</v>
      </c>
      <c r="Y161" s="18">
        <f t="shared" ca="1" si="86"/>
        <v>0.73</v>
      </c>
      <c r="Z161" s="18">
        <f t="shared" ca="1" si="59"/>
        <v>0.76</v>
      </c>
      <c r="AA161" s="18">
        <f t="shared" ca="1" si="58"/>
        <v>0.75</v>
      </c>
      <c r="AB161" s="18">
        <f t="shared" ca="1" si="60"/>
        <v>3.1799999999999997</v>
      </c>
      <c r="AC161" s="18">
        <f t="shared" ca="1" si="61"/>
        <v>9.4339622641509441E-2</v>
      </c>
      <c r="AD161" s="18">
        <f t="shared" ca="1" si="62"/>
        <v>0.20125786163522014</v>
      </c>
      <c r="AE161" s="18">
        <f t="shared" ca="1" si="63"/>
        <v>0.22955974842767296</v>
      </c>
      <c r="AF161" s="18">
        <f t="shared" ca="1" si="64"/>
        <v>0.23899371069182393</v>
      </c>
      <c r="AG161" s="18">
        <f t="shared" ca="1" si="65"/>
        <v>0.23584905660377362</v>
      </c>
      <c r="AH161" s="18">
        <f t="shared" ca="1" si="66"/>
        <v>1</v>
      </c>
      <c r="AI161" s="18" cm="1">
        <f t="array" aca="1" ref="AI161" ca="1">MMULT(MMULT(AC161:AG161,$Q$2:$U$6),TRANSPOSE(AC161:AG161))</f>
        <v>2.1933037020135449E-4</v>
      </c>
      <c r="AJ161" s="18">
        <f t="shared" ca="1" si="67"/>
        <v>-3.2956720877044278E-3</v>
      </c>
      <c r="AK161" s="18">
        <f t="shared" ca="1" si="68"/>
        <v>-0.25042917793087272</v>
      </c>
      <c r="AL161" s="18">
        <f t="shared" ca="1" si="69"/>
        <v>-3.2956720877044278E-3</v>
      </c>
      <c r="AM161" s="18">
        <f t="shared" ca="1" si="70"/>
        <v>2.1933037020135449E-4</v>
      </c>
      <c r="AN161" s="18">
        <f t="shared" ca="1" si="71"/>
        <v>9.4339622641509441E-2</v>
      </c>
      <c r="AO161" s="18">
        <f t="shared" ca="1" si="72"/>
        <v>0.20125786163522014</v>
      </c>
      <c r="AP161" s="18">
        <f t="shared" ca="1" si="73"/>
        <v>0.22955974842767296</v>
      </c>
      <c r="AQ161" s="18">
        <f t="shared" ca="1" si="74"/>
        <v>0.23899371069182393</v>
      </c>
      <c r="AR161" s="18">
        <f t="shared" ca="1" si="75"/>
        <v>0.23584905660377362</v>
      </c>
    </row>
    <row r="162" spans="1:44">
      <c r="A162" s="20">
        <v>25.4</v>
      </c>
      <c r="B162" s="20">
        <v>22.4</v>
      </c>
      <c r="C162" s="20">
        <v>323</v>
      </c>
      <c r="D162" s="21">
        <v>44.2</v>
      </c>
      <c r="E162" s="20">
        <v>76.099999999999994</v>
      </c>
      <c r="F162" s="18">
        <f t="shared" si="76"/>
        <v>3.9447782910163251E-3</v>
      </c>
      <c r="G162" s="18">
        <f t="shared" si="77"/>
        <v>-4.4543503493803087E-3</v>
      </c>
      <c r="H162" s="18">
        <f t="shared" si="78"/>
        <v>7.1462165235473447E-3</v>
      </c>
      <c r="I162" s="18">
        <f t="shared" si="79"/>
        <v>-4.5146803545265827E-3</v>
      </c>
      <c r="J162" s="18">
        <f t="shared" si="80"/>
        <v>3.3403239132809667E-2</v>
      </c>
      <c r="K162" s="18">
        <f t="shared" si="81"/>
        <v>3.5316426977959861E-3</v>
      </c>
      <c r="L162" s="18">
        <f t="shared" si="82"/>
        <v>-4.8674859426006481E-3</v>
      </c>
      <c r="M162" s="18">
        <f t="shared" si="83"/>
        <v>6.7330809303270053E-3</v>
      </c>
      <c r="N162" s="18">
        <f t="shared" si="84"/>
        <v>-4.9278159477469212E-3</v>
      </c>
      <c r="O162" s="18">
        <f t="shared" si="85"/>
        <v>3.2990103539589331E-2</v>
      </c>
      <c r="W162" s="18">
        <f t="shared" ca="1" si="86"/>
        <v>0.28999999999999998</v>
      </c>
      <c r="X162" s="18">
        <f t="shared" ca="1" si="86"/>
        <v>0.87</v>
      </c>
      <c r="Y162" s="18">
        <f t="shared" ca="1" si="86"/>
        <v>0.17</v>
      </c>
      <c r="Z162" s="18">
        <f t="shared" ca="1" si="59"/>
        <v>0.52</v>
      </c>
      <c r="AA162" s="18">
        <f t="shared" ca="1" si="58"/>
        <v>0.64</v>
      </c>
      <c r="AB162" s="18">
        <f t="shared" ca="1" si="60"/>
        <v>2.4899999999999998</v>
      </c>
      <c r="AC162" s="18">
        <f t="shared" ca="1" si="61"/>
        <v>0.11646586345381527</v>
      </c>
      <c r="AD162" s="18">
        <f t="shared" ca="1" si="62"/>
        <v>0.3493975903614458</v>
      </c>
      <c r="AE162" s="18">
        <f t="shared" ca="1" si="63"/>
        <v>6.8273092369477928E-2</v>
      </c>
      <c r="AF162" s="18">
        <f t="shared" ca="1" si="64"/>
        <v>0.20883534136546186</v>
      </c>
      <c r="AG162" s="18">
        <f t="shared" ca="1" si="65"/>
        <v>0.25702811244979923</v>
      </c>
      <c r="AH162" s="18">
        <f t="shared" ca="1" si="66"/>
        <v>1</v>
      </c>
      <c r="AI162" s="18" cm="1">
        <f t="array" aca="1" ref="AI162" ca="1">MMULT(MMULT(AC162:AG162,$Q$2:$U$6),TRANSPOSE(AC162:AG162))</f>
        <v>2.3560058551317243E-4</v>
      </c>
      <c r="AJ162" s="18">
        <f t="shared" ca="1" si="67"/>
        <v>-2.5704685374456095E-3</v>
      </c>
      <c r="AK162" s="18">
        <f t="shared" ca="1" si="68"/>
        <v>-0.19438064417142228</v>
      </c>
      <c r="AL162" s="18">
        <f t="shared" ca="1" si="69"/>
        <v>-2.5704685374456095E-3</v>
      </c>
      <c r="AM162" s="18">
        <f t="shared" ca="1" si="70"/>
        <v>2.3560058551317243E-4</v>
      </c>
      <c r="AN162" s="18">
        <f t="shared" ca="1" si="71"/>
        <v>0.11646586345381527</v>
      </c>
      <c r="AO162" s="18">
        <f t="shared" ca="1" si="72"/>
        <v>0.3493975903614458</v>
      </c>
      <c r="AP162" s="18">
        <f t="shared" ca="1" si="73"/>
        <v>6.8273092369477928E-2</v>
      </c>
      <c r="AQ162" s="18">
        <f t="shared" ca="1" si="74"/>
        <v>0.20883534136546186</v>
      </c>
      <c r="AR162" s="18">
        <f t="shared" ca="1" si="75"/>
        <v>0.25702811244979923</v>
      </c>
    </row>
    <row r="163" spans="1:44">
      <c r="A163" s="20">
        <v>25.4</v>
      </c>
      <c r="B163" s="20">
        <v>22.2</v>
      </c>
      <c r="C163" s="20">
        <v>322.89999999999998</v>
      </c>
      <c r="D163" s="21">
        <v>40.200000000000003</v>
      </c>
      <c r="E163" s="20">
        <v>76</v>
      </c>
      <c r="F163" s="18">
        <f t="shared" si="76"/>
        <v>0</v>
      </c>
      <c r="G163" s="18">
        <f t="shared" si="77"/>
        <v>-8.9686699827603751E-3</v>
      </c>
      <c r="H163" s="18">
        <f t="shared" si="78"/>
        <v>-3.096454584271015E-4</v>
      </c>
      <c r="I163" s="18">
        <f t="shared" si="79"/>
        <v>-9.4857793458677078E-2</v>
      </c>
      <c r="J163" s="18">
        <f t="shared" si="80"/>
        <v>-1.3149245813090288E-3</v>
      </c>
      <c r="K163" s="18">
        <f t="shared" si="81"/>
        <v>-4.1313559322033898E-4</v>
      </c>
      <c r="L163" s="18">
        <f t="shared" si="82"/>
        <v>-9.3818055759807145E-3</v>
      </c>
      <c r="M163" s="18">
        <f t="shared" si="83"/>
        <v>-7.2278105164744048E-4</v>
      </c>
      <c r="N163" s="18">
        <f t="shared" si="84"/>
        <v>-9.5270929051897421E-2</v>
      </c>
      <c r="O163" s="18">
        <f t="shared" si="85"/>
        <v>-1.7280601745293678E-3</v>
      </c>
      <c r="W163" s="18">
        <f t="shared" ca="1" si="86"/>
        <v>0.5</v>
      </c>
      <c r="X163" s="18">
        <f t="shared" ca="1" si="86"/>
        <v>0.7</v>
      </c>
      <c r="Y163" s="18">
        <f t="shared" ca="1" si="86"/>
        <v>0.45</v>
      </c>
      <c r="Z163" s="18">
        <f t="shared" ca="1" si="59"/>
        <v>0.09</v>
      </c>
      <c r="AA163" s="18">
        <f t="shared" ca="1" si="58"/>
        <v>0.28000000000000003</v>
      </c>
      <c r="AB163" s="18">
        <f t="shared" ca="1" si="60"/>
        <v>2.02</v>
      </c>
      <c r="AC163" s="18">
        <f t="shared" ca="1" si="61"/>
        <v>0.24752475247524752</v>
      </c>
      <c r="AD163" s="18">
        <f t="shared" ca="1" si="62"/>
        <v>0.34653465346534651</v>
      </c>
      <c r="AE163" s="18">
        <f t="shared" ca="1" si="63"/>
        <v>0.22277227722772278</v>
      </c>
      <c r="AF163" s="18">
        <f t="shared" ca="1" si="64"/>
        <v>4.4554455445544552E-2</v>
      </c>
      <c r="AG163" s="18">
        <f t="shared" ca="1" si="65"/>
        <v>0.13861386138613863</v>
      </c>
      <c r="AH163" s="18">
        <f t="shared" ca="1" si="66"/>
        <v>1</v>
      </c>
      <c r="AI163" s="18" cm="1">
        <f t="array" aca="1" ref="AI163" ca="1">MMULT(MMULT(AC163:AG163,$Q$2:$U$6),TRANSPOSE(AC163:AG163))</f>
        <v>1.4308260716942162E-4</v>
      </c>
      <c r="AJ163" s="18">
        <f t="shared" ca="1" si="67"/>
        <v>-6.0459127403342831E-3</v>
      </c>
      <c r="AK163" s="18">
        <f t="shared" ca="1" si="68"/>
        <v>-0.53997681375451967</v>
      </c>
      <c r="AL163" s="18">
        <f t="shared" ca="1" si="69"/>
        <v>-6.0459127403342831E-3</v>
      </c>
      <c r="AM163" s="18">
        <f t="shared" ca="1" si="70"/>
        <v>1.4308260716942162E-4</v>
      </c>
      <c r="AN163" s="18">
        <f t="shared" ca="1" si="71"/>
        <v>0.24752475247524752</v>
      </c>
      <c r="AO163" s="18">
        <f t="shared" ca="1" si="72"/>
        <v>0.34653465346534651</v>
      </c>
      <c r="AP163" s="18">
        <f t="shared" ca="1" si="73"/>
        <v>0.22277227722772278</v>
      </c>
      <c r="AQ163" s="18">
        <f t="shared" ca="1" si="74"/>
        <v>4.4554455445544552E-2</v>
      </c>
      <c r="AR163" s="18">
        <f t="shared" ca="1" si="75"/>
        <v>0.13861386138613863</v>
      </c>
    </row>
    <row r="164" spans="1:44">
      <c r="A164" s="20">
        <v>25.5</v>
      </c>
      <c r="B164" s="20">
        <v>22.6</v>
      </c>
      <c r="C164" s="20">
        <v>322.8</v>
      </c>
      <c r="D164" s="21">
        <v>41.2</v>
      </c>
      <c r="E164" s="20">
        <v>77</v>
      </c>
      <c r="F164" s="18">
        <f t="shared" si="76"/>
        <v>3.929278139889557E-3</v>
      </c>
      <c r="G164" s="18">
        <f t="shared" si="77"/>
        <v>1.7857617400006472E-2</v>
      </c>
      <c r="H164" s="18">
        <f t="shared" si="78"/>
        <v>-3.0974136843566944E-4</v>
      </c>
      <c r="I164" s="18">
        <f t="shared" si="79"/>
        <v>2.4571260730505327E-2</v>
      </c>
      <c r="J164" s="18">
        <f t="shared" si="80"/>
        <v>1.3072081567352701E-2</v>
      </c>
      <c r="K164" s="18">
        <f t="shared" si="81"/>
        <v>3.516142546669218E-3</v>
      </c>
      <c r="L164" s="18">
        <f t="shared" si="82"/>
        <v>1.7444481806786132E-2</v>
      </c>
      <c r="M164" s="18">
        <f t="shared" si="83"/>
        <v>-7.2287696165600841E-4</v>
      </c>
      <c r="N164" s="18">
        <f t="shared" si="84"/>
        <v>2.4158125137284988E-2</v>
      </c>
      <c r="O164" s="18">
        <f t="shared" si="85"/>
        <v>1.2658945974132361E-2</v>
      </c>
      <c r="W164" s="18">
        <f t="shared" ca="1" si="86"/>
        <v>0.15</v>
      </c>
      <c r="X164" s="18">
        <f t="shared" ca="1" si="86"/>
        <v>0.63</v>
      </c>
      <c r="Y164" s="18">
        <f t="shared" ca="1" si="86"/>
        <v>0.6</v>
      </c>
      <c r="Z164" s="18">
        <f t="shared" ca="1" si="59"/>
        <v>0.68</v>
      </c>
      <c r="AA164" s="18">
        <f t="shared" ca="1" si="58"/>
        <v>0.27</v>
      </c>
      <c r="AB164" s="18">
        <f t="shared" ca="1" si="60"/>
        <v>2.33</v>
      </c>
      <c r="AC164" s="18">
        <f t="shared" ca="1" si="61"/>
        <v>6.4377682403433473E-2</v>
      </c>
      <c r="AD164" s="18">
        <f t="shared" ca="1" si="62"/>
        <v>0.27038626609442057</v>
      </c>
      <c r="AE164" s="18">
        <f t="shared" ca="1" si="63"/>
        <v>0.25751072961373389</v>
      </c>
      <c r="AF164" s="18">
        <f t="shared" ca="1" si="64"/>
        <v>0.29184549356223177</v>
      </c>
      <c r="AG164" s="18">
        <f t="shared" ca="1" si="65"/>
        <v>0.11587982832618027</v>
      </c>
      <c r="AH164" s="18">
        <f t="shared" ca="1" si="66"/>
        <v>1</v>
      </c>
      <c r="AI164" s="18" cm="1">
        <f t="array" aca="1" ref="AI164" ca="1">MMULT(MMULT(AC164:AG164,$Q$2:$U$6),TRANSPOSE(AC164:AG164))</f>
        <v>2.1146000879262547E-4</v>
      </c>
      <c r="AJ164" s="18">
        <f t="shared" ca="1" si="67"/>
        <v>-4.7327714261821583E-3</v>
      </c>
      <c r="AK164" s="18">
        <f t="shared" ca="1" si="68"/>
        <v>-0.35387331282893464</v>
      </c>
      <c r="AL164" s="18">
        <f t="shared" ca="1" si="69"/>
        <v>-4.7327714261821583E-3</v>
      </c>
      <c r="AM164" s="18">
        <f t="shared" ca="1" si="70"/>
        <v>2.1146000879262547E-4</v>
      </c>
      <c r="AN164" s="18">
        <f t="shared" ca="1" si="71"/>
        <v>6.4377682403433473E-2</v>
      </c>
      <c r="AO164" s="18">
        <f t="shared" ca="1" si="72"/>
        <v>0.27038626609442057</v>
      </c>
      <c r="AP164" s="18">
        <f t="shared" ca="1" si="73"/>
        <v>0.25751072961373389</v>
      </c>
      <c r="AQ164" s="18">
        <f t="shared" ca="1" si="74"/>
        <v>0.29184549356223177</v>
      </c>
      <c r="AR164" s="18">
        <f t="shared" ca="1" si="75"/>
        <v>0.11587982832618027</v>
      </c>
    </row>
    <row r="165" spans="1:44">
      <c r="A165" s="20">
        <v>25.5</v>
      </c>
      <c r="B165" s="20">
        <v>22.7</v>
      </c>
      <c r="C165" s="20">
        <v>324.10000000000002</v>
      </c>
      <c r="D165" s="21">
        <v>37.799999999999997</v>
      </c>
      <c r="E165" s="20">
        <v>77</v>
      </c>
      <c r="F165" s="18">
        <f t="shared" si="76"/>
        <v>0</v>
      </c>
      <c r="G165" s="18">
        <f t="shared" si="77"/>
        <v>4.4150182091166933E-3</v>
      </c>
      <c r="H165" s="18">
        <f t="shared" si="78"/>
        <v>4.0191737517079294E-3</v>
      </c>
      <c r="I165" s="18">
        <f t="shared" si="79"/>
        <v>-8.6129153729938901E-2</v>
      </c>
      <c r="J165" s="18">
        <f t="shared" si="80"/>
        <v>0</v>
      </c>
      <c r="K165" s="18">
        <f t="shared" si="81"/>
        <v>-4.1313559322033898E-4</v>
      </c>
      <c r="L165" s="18">
        <f t="shared" si="82"/>
        <v>4.0018826158963548E-3</v>
      </c>
      <c r="M165" s="18">
        <f t="shared" si="83"/>
        <v>3.6060381584875905E-3</v>
      </c>
      <c r="N165" s="18">
        <f t="shared" si="84"/>
        <v>-8.6542289323159244E-2</v>
      </c>
      <c r="O165" s="18">
        <f t="shared" si="85"/>
        <v>-4.1313559322033898E-4</v>
      </c>
      <c r="W165" s="18">
        <f t="shared" ca="1" si="86"/>
        <v>0.5</v>
      </c>
      <c r="X165" s="18">
        <f t="shared" ca="1" si="86"/>
        <v>0.05</v>
      </c>
      <c r="Y165" s="18">
        <f t="shared" ca="1" si="86"/>
        <v>0.77</v>
      </c>
      <c r="Z165" s="18">
        <f t="shared" ca="1" si="59"/>
        <v>0.14000000000000001</v>
      </c>
      <c r="AA165" s="18">
        <f t="shared" ca="1" si="58"/>
        <v>0.41</v>
      </c>
      <c r="AB165" s="18">
        <f t="shared" ca="1" si="60"/>
        <v>1.8699999999999999</v>
      </c>
      <c r="AC165" s="18">
        <f t="shared" ca="1" si="61"/>
        <v>0.26737967914438504</v>
      </c>
      <c r="AD165" s="18">
        <f t="shared" ca="1" si="62"/>
        <v>2.6737967914438505E-2</v>
      </c>
      <c r="AE165" s="18">
        <f t="shared" ca="1" si="63"/>
        <v>0.41176470588235298</v>
      </c>
      <c r="AF165" s="18">
        <f t="shared" ca="1" si="64"/>
        <v>7.4866310160427815E-2</v>
      </c>
      <c r="AG165" s="18">
        <f t="shared" ca="1" si="65"/>
        <v>0.21925133689839571</v>
      </c>
      <c r="AH165" s="18">
        <f t="shared" ca="1" si="66"/>
        <v>1</v>
      </c>
      <c r="AI165" s="18" cm="1">
        <f t="array" aca="1" ref="AI165" ca="1">MMULT(MMULT(AC165:AG165,$Q$2:$U$6),TRANSPOSE(AC165:AG165))</f>
        <v>1.6649062361883348E-4</v>
      </c>
      <c r="AJ165" s="18">
        <f t="shared" ca="1" si="67"/>
        <v>-4.3943556857086868E-3</v>
      </c>
      <c r="AK165" s="18">
        <f t="shared" ca="1" si="68"/>
        <v>-0.37258349739798075</v>
      </c>
      <c r="AL165" s="18">
        <f t="shared" ca="1" si="69"/>
        <v>-4.3943556857086868E-3</v>
      </c>
      <c r="AM165" s="18">
        <f t="shared" ca="1" si="70"/>
        <v>1.6649062361883348E-4</v>
      </c>
      <c r="AN165" s="18">
        <f t="shared" ca="1" si="71"/>
        <v>0.26737967914438504</v>
      </c>
      <c r="AO165" s="18">
        <f t="shared" ca="1" si="72"/>
        <v>2.6737967914438505E-2</v>
      </c>
      <c r="AP165" s="18">
        <f t="shared" ca="1" si="73"/>
        <v>0.41176470588235298</v>
      </c>
      <c r="AQ165" s="18">
        <f t="shared" ca="1" si="74"/>
        <v>7.4866310160427815E-2</v>
      </c>
      <c r="AR165" s="18">
        <f t="shared" ca="1" si="75"/>
        <v>0.21925133689839571</v>
      </c>
    </row>
    <row r="166" spans="1:44">
      <c r="A166" s="20">
        <v>25.7</v>
      </c>
      <c r="B166" s="20">
        <v>22.6</v>
      </c>
      <c r="C166" s="20">
        <v>323.3</v>
      </c>
      <c r="D166" s="21">
        <v>38.299999999999997</v>
      </c>
      <c r="E166" s="20">
        <v>78.8</v>
      </c>
      <c r="F166" s="18">
        <f t="shared" si="76"/>
        <v>7.8125397367936247E-3</v>
      </c>
      <c r="G166" s="18">
        <f t="shared" si="77"/>
        <v>-4.4150182091167202E-3</v>
      </c>
      <c r="H166" s="18">
        <f t="shared" si="78"/>
        <v>-2.4714254161142951E-3</v>
      </c>
      <c r="I166" s="18">
        <f t="shared" si="79"/>
        <v>1.3140793561058328E-2</v>
      </c>
      <c r="J166" s="18">
        <f t="shared" si="80"/>
        <v>2.3107575010149491E-2</v>
      </c>
      <c r="K166" s="18">
        <f t="shared" si="81"/>
        <v>7.3994041435732853E-3</v>
      </c>
      <c r="L166" s="18">
        <f t="shared" si="82"/>
        <v>-4.8281538023370596E-3</v>
      </c>
      <c r="M166" s="18">
        <f t="shared" si="83"/>
        <v>-2.8845610093346341E-3</v>
      </c>
      <c r="N166" s="18">
        <f t="shared" si="84"/>
        <v>1.2727657967837988E-2</v>
      </c>
      <c r="O166" s="18">
        <f t="shared" si="85"/>
        <v>2.2694439416929151E-2</v>
      </c>
      <c r="W166" s="18">
        <f t="shared" ca="1" si="86"/>
        <v>0.85</v>
      </c>
      <c r="X166" s="18">
        <f t="shared" ca="1" si="86"/>
        <v>0.45</v>
      </c>
      <c r="Y166" s="18">
        <f t="shared" ca="1" si="86"/>
        <v>0.48</v>
      </c>
      <c r="Z166" s="18">
        <f t="shared" ca="1" si="59"/>
        <v>0.37</v>
      </c>
      <c r="AA166" s="18">
        <f t="shared" ca="1" si="58"/>
        <v>0.46</v>
      </c>
      <c r="AB166" s="18">
        <f t="shared" ca="1" si="60"/>
        <v>2.61</v>
      </c>
      <c r="AC166" s="18">
        <f t="shared" ca="1" si="61"/>
        <v>0.32567049808429122</v>
      </c>
      <c r="AD166" s="18">
        <f t="shared" ca="1" si="62"/>
        <v>0.17241379310344829</v>
      </c>
      <c r="AE166" s="18">
        <f t="shared" ca="1" si="63"/>
        <v>0.18390804597701149</v>
      </c>
      <c r="AF166" s="18">
        <f t="shared" ca="1" si="64"/>
        <v>0.1417624521072797</v>
      </c>
      <c r="AG166" s="18">
        <f t="shared" ca="1" si="65"/>
        <v>0.17624521072796936</v>
      </c>
      <c r="AH166" s="18">
        <f t="shared" ca="1" si="66"/>
        <v>1</v>
      </c>
      <c r="AI166" s="18" cm="1">
        <f t="array" aca="1" ref="AI166" ca="1">MMULT(MMULT(AC166:AG166,$Q$2:$U$6),TRANSPOSE(AC166:AG166))</f>
        <v>1.6842166407204741E-4</v>
      </c>
      <c r="AJ166" s="18">
        <f t="shared" ca="1" si="67"/>
        <v>-1.5087057437074176E-3</v>
      </c>
      <c r="AK166" s="18">
        <f t="shared" ca="1" si="68"/>
        <v>-0.14808755180018893</v>
      </c>
      <c r="AL166" s="18">
        <f t="shared" ca="1" si="69"/>
        <v>-1.5087057437074176E-3</v>
      </c>
      <c r="AM166" s="18">
        <f t="shared" ca="1" si="70"/>
        <v>1.6842166407204741E-4</v>
      </c>
      <c r="AN166" s="18">
        <f t="shared" ca="1" si="71"/>
        <v>0.32567049808429122</v>
      </c>
      <c r="AO166" s="18">
        <f t="shared" ca="1" si="72"/>
        <v>0.17241379310344829</v>
      </c>
      <c r="AP166" s="18">
        <f t="shared" ca="1" si="73"/>
        <v>0.18390804597701149</v>
      </c>
      <c r="AQ166" s="18">
        <f t="shared" ca="1" si="74"/>
        <v>0.1417624521072797</v>
      </c>
      <c r="AR166" s="18">
        <f t="shared" ca="1" si="75"/>
        <v>0.17624521072796936</v>
      </c>
    </row>
    <row r="167" spans="1:44">
      <c r="A167" s="20">
        <v>25.8</v>
      </c>
      <c r="B167" s="20">
        <v>22.6</v>
      </c>
      <c r="C167" s="20">
        <v>322.5</v>
      </c>
      <c r="D167" s="21">
        <v>37.6</v>
      </c>
      <c r="E167" s="20">
        <v>79.5</v>
      </c>
      <c r="F167" s="18">
        <f t="shared" si="76"/>
        <v>3.8835000263976122E-3</v>
      </c>
      <c r="G167" s="18">
        <f t="shared" si="77"/>
        <v>0</v>
      </c>
      <c r="H167" s="18">
        <f t="shared" si="78"/>
        <v>-2.4775484955603076E-3</v>
      </c>
      <c r="I167" s="18">
        <f t="shared" si="79"/>
        <v>-1.8445845790751342E-2</v>
      </c>
      <c r="J167" s="18">
        <f t="shared" si="80"/>
        <v>8.8440247964527742E-3</v>
      </c>
      <c r="K167" s="18">
        <f t="shared" si="81"/>
        <v>3.4703644331772732E-3</v>
      </c>
      <c r="L167" s="18">
        <f t="shared" si="82"/>
        <v>-4.1313559322033898E-4</v>
      </c>
      <c r="M167" s="18">
        <f t="shared" si="83"/>
        <v>-2.8906840887806466E-3</v>
      </c>
      <c r="N167" s="18">
        <f t="shared" si="84"/>
        <v>-1.8858981383971681E-2</v>
      </c>
      <c r="O167" s="18">
        <f t="shared" si="85"/>
        <v>8.4308892032324348E-3</v>
      </c>
      <c r="W167" s="18">
        <f t="shared" ca="1" si="86"/>
        <v>0.8</v>
      </c>
      <c r="X167" s="18">
        <f t="shared" ca="1" si="86"/>
        <v>0.08</v>
      </c>
      <c r="Y167" s="18">
        <f t="shared" ca="1" si="86"/>
        <v>0.86</v>
      </c>
      <c r="Z167" s="18">
        <f t="shared" ca="1" si="59"/>
        <v>0.23</v>
      </c>
      <c r="AA167" s="18">
        <f t="shared" ca="1" si="58"/>
        <v>0.12</v>
      </c>
      <c r="AB167" s="18">
        <f t="shared" ca="1" si="60"/>
        <v>2.09</v>
      </c>
      <c r="AC167" s="18">
        <f t="shared" ca="1" si="61"/>
        <v>0.38277511961722493</v>
      </c>
      <c r="AD167" s="18">
        <f t="shared" ca="1" si="62"/>
        <v>3.8277511961722493E-2</v>
      </c>
      <c r="AE167" s="18">
        <f t="shared" ca="1" si="63"/>
        <v>0.41148325358851678</v>
      </c>
      <c r="AF167" s="18">
        <f t="shared" ca="1" si="64"/>
        <v>0.11004784688995217</v>
      </c>
      <c r="AG167" s="18">
        <f t="shared" ca="1" si="65"/>
        <v>5.7416267942583733E-2</v>
      </c>
      <c r="AH167" s="18">
        <f t="shared" ca="1" si="66"/>
        <v>1.0000000000000002</v>
      </c>
      <c r="AI167" s="18" cm="1">
        <f t="array" aca="1" ref="AI167" ca="1">MMULT(MMULT(AC167:AG167,$Q$2:$U$6),TRANSPOSE(AC167:AG167))</f>
        <v>1.4202991131907316E-4</v>
      </c>
      <c r="AJ167" s="18">
        <f t="shared" ca="1" si="67"/>
        <v>-3.803099023292204E-3</v>
      </c>
      <c r="AK167" s="18">
        <f t="shared" ca="1" si="68"/>
        <v>-0.35378129040776407</v>
      </c>
      <c r="AL167" s="18">
        <f t="shared" ca="1" si="69"/>
        <v>-3.803099023292204E-3</v>
      </c>
      <c r="AM167" s="18">
        <f t="shared" ca="1" si="70"/>
        <v>1.4202991131907316E-4</v>
      </c>
      <c r="AN167" s="18">
        <f t="shared" ca="1" si="71"/>
        <v>0.38277511961722493</v>
      </c>
      <c r="AO167" s="18">
        <f t="shared" ca="1" si="72"/>
        <v>3.8277511961722493E-2</v>
      </c>
      <c r="AP167" s="18">
        <f t="shared" ca="1" si="73"/>
        <v>0.41148325358851678</v>
      </c>
      <c r="AQ167" s="18">
        <f t="shared" ca="1" si="74"/>
        <v>0.11004784688995217</v>
      </c>
      <c r="AR167" s="18">
        <f t="shared" ca="1" si="75"/>
        <v>5.7416267942583733E-2</v>
      </c>
    </row>
    <row r="168" spans="1:44">
      <c r="A168" s="20">
        <v>25.9</v>
      </c>
      <c r="B168" s="20">
        <v>22.6</v>
      </c>
      <c r="C168" s="20">
        <v>323.5</v>
      </c>
      <c r="D168" s="21">
        <v>34.5</v>
      </c>
      <c r="E168" s="20">
        <v>81</v>
      </c>
      <c r="F168" s="18">
        <f t="shared" si="76"/>
        <v>3.8684767779203319E-3</v>
      </c>
      <c r="G168" s="18">
        <f t="shared" si="77"/>
        <v>0</v>
      </c>
      <c r="H168" s="18">
        <f t="shared" si="78"/>
        <v>3.0959777051279922E-3</v>
      </c>
      <c r="I168" s="18">
        <f t="shared" si="79"/>
        <v>-8.6044726358534815E-2</v>
      </c>
      <c r="J168" s="18">
        <f t="shared" si="80"/>
        <v>1.8692133012152546E-2</v>
      </c>
      <c r="K168" s="18">
        <f t="shared" si="81"/>
        <v>3.4553411846999929E-3</v>
      </c>
      <c r="L168" s="18">
        <f t="shared" si="82"/>
        <v>-4.1313559322033898E-4</v>
      </c>
      <c r="M168" s="18">
        <f t="shared" si="83"/>
        <v>2.6828421119076532E-3</v>
      </c>
      <c r="N168" s="18">
        <f t="shared" si="84"/>
        <v>-8.6457861951755158E-2</v>
      </c>
      <c r="O168" s="18">
        <f t="shared" si="85"/>
        <v>1.8278997418932207E-2</v>
      </c>
      <c r="W168" s="18">
        <f t="shared" ca="1" si="86"/>
        <v>0.11</v>
      </c>
      <c r="X168" s="18">
        <f t="shared" ca="1" si="86"/>
        <v>0.57999999999999996</v>
      </c>
      <c r="Y168" s="18">
        <f t="shared" ca="1" si="86"/>
        <v>0.63</v>
      </c>
      <c r="Z168" s="18">
        <f t="shared" ca="1" si="59"/>
        <v>0.76</v>
      </c>
      <c r="AA168" s="18">
        <f t="shared" ca="1" si="58"/>
        <v>0.85</v>
      </c>
      <c r="AB168" s="18">
        <f t="shared" ca="1" si="60"/>
        <v>2.93</v>
      </c>
      <c r="AC168" s="18">
        <f t="shared" ca="1" si="61"/>
        <v>3.7542662116040952E-2</v>
      </c>
      <c r="AD168" s="18">
        <f t="shared" ca="1" si="62"/>
        <v>0.1979522184300341</v>
      </c>
      <c r="AE168" s="18">
        <f t="shared" ca="1" si="63"/>
        <v>0.21501706484641636</v>
      </c>
      <c r="AF168" s="18">
        <f t="shared" ca="1" si="64"/>
        <v>0.25938566552901021</v>
      </c>
      <c r="AG168" s="18">
        <f t="shared" ca="1" si="65"/>
        <v>0.29010238907849828</v>
      </c>
      <c r="AH168" s="18">
        <f t="shared" ca="1" si="66"/>
        <v>0.99999999999999989</v>
      </c>
      <c r="AI168" s="18" cm="1">
        <f t="array" aca="1" ref="AI168" ca="1">MMULT(MMULT(AC168:AG168,$Q$2:$U$6),TRANSPOSE(AC168:AG168))</f>
        <v>2.5723587507771659E-4</v>
      </c>
      <c r="AJ168" s="18">
        <f t="shared" ca="1" si="67"/>
        <v>-3.0855926335482228E-3</v>
      </c>
      <c r="AK168" s="18">
        <f t="shared" ca="1" si="68"/>
        <v>-0.21814458671399439</v>
      </c>
      <c r="AL168" s="18">
        <f t="shared" ca="1" si="69"/>
        <v>-3.0855926335482228E-3</v>
      </c>
      <c r="AM168" s="18">
        <f t="shared" ca="1" si="70"/>
        <v>2.5723587507771659E-4</v>
      </c>
      <c r="AN168" s="18">
        <f t="shared" ca="1" si="71"/>
        <v>3.7542662116040952E-2</v>
      </c>
      <c r="AO168" s="18">
        <f t="shared" ca="1" si="72"/>
        <v>0.1979522184300341</v>
      </c>
      <c r="AP168" s="18">
        <f t="shared" ca="1" si="73"/>
        <v>0.21501706484641636</v>
      </c>
      <c r="AQ168" s="18">
        <f t="shared" ca="1" si="74"/>
        <v>0.25938566552901021</v>
      </c>
      <c r="AR168" s="18">
        <f t="shared" ca="1" si="75"/>
        <v>0.29010238907849828</v>
      </c>
    </row>
    <row r="169" spans="1:44">
      <c r="A169" s="20">
        <v>26</v>
      </c>
      <c r="B169" s="20">
        <v>22.6</v>
      </c>
      <c r="C169" s="20">
        <v>322.8</v>
      </c>
      <c r="D169" s="21">
        <v>33.299999999999997</v>
      </c>
      <c r="E169" s="20">
        <v>80.7</v>
      </c>
      <c r="F169" s="18">
        <f t="shared" si="76"/>
        <v>3.8535693159899723E-3</v>
      </c>
      <c r="G169" s="18">
        <f t="shared" si="77"/>
        <v>0</v>
      </c>
      <c r="H169" s="18">
        <f t="shared" si="78"/>
        <v>-2.1661775451614546E-3</v>
      </c>
      <c r="I169" s="18">
        <f t="shared" si="79"/>
        <v>-3.540192705091607E-2</v>
      </c>
      <c r="J169" s="18">
        <f t="shared" si="80"/>
        <v>-3.7105793965356015E-3</v>
      </c>
      <c r="K169" s="18">
        <f t="shared" si="81"/>
        <v>3.4404337227696333E-3</v>
      </c>
      <c r="L169" s="18">
        <f t="shared" si="82"/>
        <v>-4.1313559322033898E-4</v>
      </c>
      <c r="M169" s="18">
        <f t="shared" si="83"/>
        <v>-2.5793131383817936E-3</v>
      </c>
      <c r="N169" s="18">
        <f t="shared" si="84"/>
        <v>-3.5815062644136406E-2</v>
      </c>
      <c r="O169" s="18">
        <f t="shared" si="85"/>
        <v>-4.1237149897559409E-3</v>
      </c>
      <c r="W169" s="18">
        <f t="shared" ca="1" si="86"/>
        <v>0.4</v>
      </c>
      <c r="X169" s="18">
        <f t="shared" ca="1" si="86"/>
        <v>0.05</v>
      </c>
      <c r="Y169" s="18">
        <f t="shared" ca="1" si="86"/>
        <v>0.31</v>
      </c>
      <c r="Z169" s="18">
        <f t="shared" ca="1" si="59"/>
        <v>0.05</v>
      </c>
      <c r="AA169" s="18">
        <f t="shared" ca="1" si="58"/>
        <v>0.44</v>
      </c>
      <c r="AB169" s="18">
        <f t="shared" ca="1" si="60"/>
        <v>1.25</v>
      </c>
      <c r="AC169" s="18">
        <f t="shared" ca="1" si="61"/>
        <v>0.32</v>
      </c>
      <c r="AD169" s="18">
        <f t="shared" ca="1" si="62"/>
        <v>0.04</v>
      </c>
      <c r="AE169" s="18">
        <f t="shared" ca="1" si="63"/>
        <v>0.248</v>
      </c>
      <c r="AF169" s="18">
        <f t="shared" ca="1" si="64"/>
        <v>0.04</v>
      </c>
      <c r="AG169" s="18">
        <f t="shared" ca="1" si="65"/>
        <v>0.35199999999999998</v>
      </c>
      <c r="AH169" s="18">
        <f t="shared" ca="1" si="66"/>
        <v>1</v>
      </c>
      <c r="AI169" s="18" cm="1">
        <f t="array" aca="1" ref="AI169" ca="1">MMULT(MMULT(AC169:AG169,$Q$2:$U$6),TRANSPOSE(AC169:AG169))</f>
        <v>2.4469819332801902E-4</v>
      </c>
      <c r="AJ169" s="18">
        <f t="shared" ca="1" si="67"/>
        <v>-1.3678883419298142E-3</v>
      </c>
      <c r="AK169" s="18">
        <f t="shared" ca="1" si="68"/>
        <v>-0.11385559429932181</v>
      </c>
      <c r="AL169" s="18">
        <f t="shared" ca="1" si="69"/>
        <v>-1.3678883419298142E-3</v>
      </c>
      <c r="AM169" s="18">
        <f t="shared" ca="1" si="70"/>
        <v>2.4469819332801902E-4</v>
      </c>
      <c r="AN169" s="18">
        <f t="shared" ca="1" si="71"/>
        <v>0.32</v>
      </c>
      <c r="AO169" s="18">
        <f t="shared" ca="1" si="72"/>
        <v>0.04</v>
      </c>
      <c r="AP169" s="18">
        <f t="shared" ca="1" si="73"/>
        <v>0.248</v>
      </c>
      <c r="AQ169" s="18">
        <f t="shared" ca="1" si="74"/>
        <v>0.04</v>
      </c>
      <c r="AR169" s="18">
        <f t="shared" ca="1" si="75"/>
        <v>0.35199999999999998</v>
      </c>
    </row>
    <row r="170" spans="1:44">
      <c r="A170" s="20">
        <v>26.2</v>
      </c>
      <c r="B170" s="20">
        <v>22.7</v>
      </c>
      <c r="C170" s="20">
        <v>322.2</v>
      </c>
      <c r="D170" s="21">
        <v>33.6</v>
      </c>
      <c r="E170" s="20">
        <v>78.8</v>
      </c>
      <c r="F170" s="18">
        <f t="shared" si="76"/>
        <v>7.6628727455690972E-3</v>
      </c>
      <c r="G170" s="18">
        <f t="shared" si="77"/>
        <v>4.4150182091166933E-3</v>
      </c>
      <c r="H170" s="18">
        <f t="shared" si="78"/>
        <v>-1.8604656529197896E-3</v>
      </c>
      <c r="I170" s="18">
        <f t="shared" si="79"/>
        <v>8.9686699827605364E-3</v>
      </c>
      <c r="J170" s="18">
        <f t="shared" si="80"/>
        <v>-2.3825578412069788E-2</v>
      </c>
      <c r="K170" s="18">
        <f t="shared" si="81"/>
        <v>7.2497371523487578E-3</v>
      </c>
      <c r="L170" s="18">
        <f t="shared" si="82"/>
        <v>4.0018826158963548E-3</v>
      </c>
      <c r="M170" s="18">
        <f t="shared" si="83"/>
        <v>-2.2736012461401283E-3</v>
      </c>
      <c r="N170" s="18">
        <f t="shared" si="84"/>
        <v>8.555534389540197E-3</v>
      </c>
      <c r="O170" s="18">
        <f t="shared" si="85"/>
        <v>-2.4238714005290127E-2</v>
      </c>
      <c r="W170" s="18">
        <f t="shared" ca="1" si="86"/>
        <v>0.09</v>
      </c>
      <c r="X170" s="18">
        <f t="shared" ca="1" si="86"/>
        <v>0.52</v>
      </c>
      <c r="Y170" s="18">
        <f t="shared" ca="1" si="86"/>
        <v>0.11</v>
      </c>
      <c r="Z170" s="18">
        <f t="shared" ca="1" si="59"/>
        <v>0.96</v>
      </c>
      <c r="AA170" s="18">
        <f t="shared" ca="1" si="58"/>
        <v>0.16</v>
      </c>
      <c r="AB170" s="18">
        <f t="shared" ca="1" si="60"/>
        <v>1.8399999999999999</v>
      </c>
      <c r="AC170" s="18">
        <f t="shared" ca="1" si="61"/>
        <v>4.8913043478260872E-2</v>
      </c>
      <c r="AD170" s="18">
        <f t="shared" ca="1" si="62"/>
        <v>0.28260869565217395</v>
      </c>
      <c r="AE170" s="18">
        <f t="shared" ca="1" si="63"/>
        <v>5.9782608695652176E-2</v>
      </c>
      <c r="AF170" s="18">
        <f t="shared" ca="1" si="64"/>
        <v>0.52173913043478259</v>
      </c>
      <c r="AG170" s="18">
        <f t="shared" ca="1" si="65"/>
        <v>8.6956521739130446E-2</v>
      </c>
      <c r="AH170" s="18">
        <f t="shared" ca="1" si="66"/>
        <v>1</v>
      </c>
      <c r="AI170" s="18" cm="1">
        <f t="array" aca="1" ref="AI170" ca="1">MMULT(MMULT(AC170:AG170,$Q$2:$U$6),TRANSPOSE(AC170:AG170))</f>
        <v>3.8992960705365714E-4</v>
      </c>
      <c r="AJ170" s="18">
        <f t="shared" ca="1" si="67"/>
        <v>4.1648186408628171E-4</v>
      </c>
      <c r="AK170" s="18">
        <f t="shared" ca="1" si="68"/>
        <v>1.6946030597986584E-4</v>
      </c>
      <c r="AL170" s="18">
        <f t="shared" ca="1" si="69"/>
        <v>4.1648186408628171E-4</v>
      </c>
      <c r="AM170" s="18">
        <f t="shared" ca="1" si="70"/>
        <v>3.8992960705365714E-4</v>
      </c>
      <c r="AN170" s="18">
        <f t="shared" ca="1" si="71"/>
        <v>4.8913043478260872E-2</v>
      </c>
      <c r="AO170" s="18">
        <f t="shared" ca="1" si="72"/>
        <v>0.28260869565217395</v>
      </c>
      <c r="AP170" s="18">
        <f t="shared" ca="1" si="73"/>
        <v>5.9782608695652176E-2</v>
      </c>
      <c r="AQ170" s="18">
        <f t="shared" ca="1" si="74"/>
        <v>0.52173913043478259</v>
      </c>
      <c r="AR170" s="18">
        <f t="shared" ca="1" si="75"/>
        <v>8.6956521739130446E-2</v>
      </c>
    </row>
    <row r="171" spans="1:44">
      <c r="A171" s="20">
        <v>26.1</v>
      </c>
      <c r="B171" s="20">
        <v>22.7</v>
      </c>
      <c r="C171" s="20">
        <v>324.8</v>
      </c>
      <c r="D171" s="21">
        <v>34.299999999999997</v>
      </c>
      <c r="E171" s="20">
        <v>80.2</v>
      </c>
      <c r="F171" s="18">
        <f t="shared" si="76"/>
        <v>-3.8240964384033942E-3</v>
      </c>
      <c r="G171" s="18">
        <f t="shared" si="77"/>
        <v>0</v>
      </c>
      <c r="H171" s="18">
        <f t="shared" si="78"/>
        <v>8.0371375446489281E-3</v>
      </c>
      <c r="I171" s="18">
        <f t="shared" si="79"/>
        <v>2.061928720273561E-2</v>
      </c>
      <c r="J171" s="18">
        <f t="shared" si="80"/>
        <v>1.7610518008635369E-2</v>
      </c>
      <c r="K171" s="18">
        <f t="shared" si="81"/>
        <v>-4.2372320316237336E-3</v>
      </c>
      <c r="L171" s="18">
        <f t="shared" si="82"/>
        <v>-4.1313559322033898E-4</v>
      </c>
      <c r="M171" s="18">
        <f t="shared" si="83"/>
        <v>7.6240019514285887E-3</v>
      </c>
      <c r="N171" s="18">
        <f t="shared" si="84"/>
        <v>2.020615160951527E-2</v>
      </c>
      <c r="O171" s="18">
        <f t="shared" si="85"/>
        <v>1.7197382415415029E-2</v>
      </c>
      <c r="W171" s="18">
        <f t="shared" ca="1" si="86"/>
        <v>0.97</v>
      </c>
      <c r="X171" s="18">
        <f t="shared" ca="1" si="86"/>
        <v>0.09</v>
      </c>
      <c r="Y171" s="18">
        <f t="shared" ca="1" si="86"/>
        <v>0.97</v>
      </c>
      <c r="Z171" s="18">
        <f t="shared" ca="1" si="59"/>
        <v>0.24</v>
      </c>
      <c r="AA171" s="18">
        <f t="shared" ca="1" si="58"/>
        <v>0.02</v>
      </c>
      <c r="AB171" s="18">
        <f t="shared" ca="1" si="60"/>
        <v>2.2900000000000005</v>
      </c>
      <c r="AC171" s="18">
        <f t="shared" ca="1" si="61"/>
        <v>0.42358078602620075</v>
      </c>
      <c r="AD171" s="18">
        <f t="shared" ca="1" si="62"/>
        <v>3.930131004366811E-2</v>
      </c>
      <c r="AE171" s="18">
        <f t="shared" ca="1" si="63"/>
        <v>0.42358078602620075</v>
      </c>
      <c r="AF171" s="18">
        <f t="shared" ca="1" si="64"/>
        <v>0.10480349344978164</v>
      </c>
      <c r="AG171" s="18">
        <f t="shared" ca="1" si="65"/>
        <v>8.7336244541484694E-3</v>
      </c>
      <c r="AH171" s="18">
        <f t="shared" ca="1" si="66"/>
        <v>0.99999999999999978</v>
      </c>
      <c r="AI171" s="18" cm="1">
        <f t="array" aca="1" ref="AI171" ca="1">MMULT(MMULT(AC171:AG171,$Q$2:$U$6),TRANSPOSE(AC171:AG171))</f>
        <v>1.4519157303469473E-4</v>
      </c>
      <c r="AJ171" s="18">
        <f t="shared" ca="1" si="67"/>
        <v>-3.9027280629744124E-3</v>
      </c>
      <c r="AK171" s="18">
        <f t="shared" ca="1" si="68"/>
        <v>-0.35817643625082068</v>
      </c>
      <c r="AL171" s="18">
        <f t="shared" ca="1" si="69"/>
        <v>-3.9027280629744124E-3</v>
      </c>
      <c r="AM171" s="18">
        <f t="shared" ca="1" si="70"/>
        <v>1.4519157303469473E-4</v>
      </c>
      <c r="AN171" s="18">
        <f t="shared" ca="1" si="71"/>
        <v>0.42358078602620075</v>
      </c>
      <c r="AO171" s="18">
        <f t="shared" ca="1" si="72"/>
        <v>3.930131004366811E-2</v>
      </c>
      <c r="AP171" s="18">
        <f t="shared" ca="1" si="73"/>
        <v>0.42358078602620075</v>
      </c>
      <c r="AQ171" s="18">
        <f t="shared" ca="1" si="74"/>
        <v>0.10480349344978164</v>
      </c>
      <c r="AR171" s="18">
        <f t="shared" ca="1" si="75"/>
        <v>8.7336244541484694E-3</v>
      </c>
    </row>
    <row r="172" spans="1:44">
      <c r="A172" s="20">
        <v>26</v>
      </c>
      <c r="B172" s="20">
        <v>22.9</v>
      </c>
      <c r="C172" s="20">
        <v>322.5</v>
      </c>
      <c r="D172" s="21">
        <v>33.4</v>
      </c>
      <c r="E172" s="20">
        <v>81.5</v>
      </c>
      <c r="F172" s="18">
        <f t="shared" si="76"/>
        <v>-3.8387763071657129E-3</v>
      </c>
      <c r="G172" s="18">
        <f t="shared" si="77"/>
        <v>8.7719860728370409E-3</v>
      </c>
      <c r="H172" s="18">
        <f t="shared" si="78"/>
        <v>-7.1064720516957457E-3</v>
      </c>
      <c r="I172" s="18">
        <f t="shared" si="79"/>
        <v>-2.6589454189239498E-2</v>
      </c>
      <c r="J172" s="18">
        <f t="shared" si="80"/>
        <v>1.6079505374348147E-2</v>
      </c>
      <c r="K172" s="18">
        <f t="shared" si="81"/>
        <v>-4.2519119003860519E-3</v>
      </c>
      <c r="L172" s="18">
        <f t="shared" si="82"/>
        <v>8.3588504796167015E-3</v>
      </c>
      <c r="M172" s="18">
        <f t="shared" si="83"/>
        <v>-7.5196076449160851E-3</v>
      </c>
      <c r="N172" s="18">
        <f t="shared" si="84"/>
        <v>-2.7002589782459837E-2</v>
      </c>
      <c r="O172" s="18">
        <f t="shared" si="85"/>
        <v>1.5666369781127808E-2</v>
      </c>
      <c r="W172" s="18">
        <f t="shared" ca="1" si="86"/>
        <v>0.91</v>
      </c>
      <c r="X172" s="18">
        <f t="shared" ca="1" si="86"/>
        <v>0.23</v>
      </c>
      <c r="Y172" s="18">
        <f t="shared" ca="1" si="86"/>
        <v>0.69</v>
      </c>
      <c r="Z172" s="18">
        <f t="shared" ca="1" si="59"/>
        <v>0.73</v>
      </c>
      <c r="AA172" s="18">
        <f t="shared" ca="1" si="58"/>
        <v>0.39</v>
      </c>
      <c r="AB172" s="18">
        <f t="shared" ca="1" si="60"/>
        <v>2.95</v>
      </c>
      <c r="AC172" s="18">
        <f t="shared" ca="1" si="61"/>
        <v>0.30847457627118641</v>
      </c>
      <c r="AD172" s="18">
        <f t="shared" ca="1" si="62"/>
        <v>7.7966101694915246E-2</v>
      </c>
      <c r="AE172" s="18">
        <f t="shared" ca="1" si="63"/>
        <v>0.23389830508474574</v>
      </c>
      <c r="AF172" s="18">
        <f t="shared" ca="1" si="64"/>
        <v>0.24745762711864405</v>
      </c>
      <c r="AG172" s="18">
        <f t="shared" ca="1" si="65"/>
        <v>0.13220338983050847</v>
      </c>
      <c r="AH172" s="18">
        <f t="shared" ca="1" si="66"/>
        <v>1</v>
      </c>
      <c r="AI172" s="18" cm="1">
        <f t="array" aca="1" ref="AI172" ca="1">MMULT(MMULT(AC172:AG172,$Q$2:$U$6),TRANSPOSE(AC172:AG172))</f>
        <v>1.9598433533780691E-4</v>
      </c>
      <c r="AJ172" s="18">
        <f t="shared" ca="1" si="67"/>
        <v>-3.7247098312772985E-4</v>
      </c>
      <c r="AK172" s="18">
        <f t="shared" ca="1" si="68"/>
        <v>-5.6116997982467332E-2</v>
      </c>
      <c r="AL172" s="18">
        <f t="shared" ca="1" si="69"/>
        <v>-3.7247098312772985E-4</v>
      </c>
      <c r="AM172" s="18">
        <f t="shared" ca="1" si="70"/>
        <v>1.9598433533780691E-4</v>
      </c>
      <c r="AN172" s="18">
        <f t="shared" ca="1" si="71"/>
        <v>0.30847457627118641</v>
      </c>
      <c r="AO172" s="18">
        <f t="shared" ca="1" si="72"/>
        <v>7.7966101694915246E-2</v>
      </c>
      <c r="AP172" s="18">
        <f t="shared" ca="1" si="73"/>
        <v>0.23389830508474574</v>
      </c>
      <c r="AQ172" s="18">
        <f t="shared" ca="1" si="74"/>
        <v>0.24745762711864405</v>
      </c>
      <c r="AR172" s="18">
        <f t="shared" ca="1" si="75"/>
        <v>0.13220338983050847</v>
      </c>
    </row>
    <row r="173" spans="1:44">
      <c r="A173" s="20">
        <v>26.3</v>
      </c>
      <c r="B173" s="20">
        <v>23</v>
      </c>
      <c r="C173" s="20">
        <v>320.39999999999998</v>
      </c>
      <c r="D173" s="21">
        <v>31.9</v>
      </c>
      <c r="E173" s="20">
        <v>78.900000000000006</v>
      </c>
      <c r="F173" s="18">
        <f t="shared" si="76"/>
        <v>1.1472401162236781E-2</v>
      </c>
      <c r="G173" s="18">
        <f t="shared" si="77"/>
        <v>4.3573053689558473E-3</v>
      </c>
      <c r="H173" s="18">
        <f t="shared" si="78"/>
        <v>-6.5329210416230719E-3</v>
      </c>
      <c r="I173" s="18">
        <f t="shared" si="79"/>
        <v>-4.5949890191855809E-2</v>
      </c>
      <c r="J173" s="18">
        <f t="shared" si="80"/>
        <v>-3.2421792394988394E-2</v>
      </c>
      <c r="K173" s="18">
        <f t="shared" si="81"/>
        <v>1.1059265569016442E-2</v>
      </c>
      <c r="L173" s="18">
        <f t="shared" si="82"/>
        <v>3.9441697757355079E-3</v>
      </c>
      <c r="M173" s="18">
        <f t="shared" si="83"/>
        <v>-6.9460566348434113E-3</v>
      </c>
      <c r="N173" s="18">
        <f t="shared" si="84"/>
        <v>-4.6363025785076145E-2</v>
      </c>
      <c r="O173" s="18">
        <f t="shared" si="85"/>
        <v>-3.283492798820873E-2</v>
      </c>
      <c r="W173" s="18">
        <f t="shared" ca="1" si="86"/>
        <v>0.06</v>
      </c>
      <c r="X173" s="18">
        <f t="shared" ca="1" si="86"/>
        <v>0.33</v>
      </c>
      <c r="Y173" s="18">
        <f t="shared" ca="1" si="86"/>
        <v>0.84</v>
      </c>
      <c r="Z173" s="18">
        <f t="shared" ca="1" si="59"/>
        <v>0.46</v>
      </c>
      <c r="AA173" s="18">
        <f t="shared" ca="1" si="58"/>
        <v>0.3</v>
      </c>
      <c r="AB173" s="18">
        <f t="shared" ca="1" si="60"/>
        <v>1.99</v>
      </c>
      <c r="AC173" s="18">
        <f t="shared" ca="1" si="61"/>
        <v>3.015075376884422E-2</v>
      </c>
      <c r="AD173" s="18">
        <f t="shared" ca="1" si="62"/>
        <v>0.16582914572864321</v>
      </c>
      <c r="AE173" s="18">
        <f t="shared" ca="1" si="63"/>
        <v>0.42211055276381909</v>
      </c>
      <c r="AF173" s="18">
        <f t="shared" ca="1" si="64"/>
        <v>0.23115577889447236</v>
      </c>
      <c r="AG173" s="18">
        <f t="shared" ca="1" si="65"/>
        <v>0.15075376884422109</v>
      </c>
      <c r="AH173" s="18">
        <f t="shared" ca="1" si="66"/>
        <v>1</v>
      </c>
      <c r="AI173" s="18" cm="1">
        <f t="array" aca="1" ref="AI173" ca="1">MMULT(MMULT(AC173:AG173,$Q$2:$U$6),TRANSPOSE(AC173:AG173))</f>
        <v>1.8575535068590475E-4</v>
      </c>
      <c r="AJ173" s="18">
        <f t="shared" ca="1" si="67"/>
        <v>-6.8733727176936476E-3</v>
      </c>
      <c r="AK173" s="18">
        <f t="shared" ca="1" si="68"/>
        <v>-0.53462442768541252</v>
      </c>
      <c r="AL173" s="18">
        <f t="shared" ca="1" si="69"/>
        <v>-6.8733727176936476E-3</v>
      </c>
      <c r="AM173" s="18">
        <f t="shared" ca="1" si="70"/>
        <v>1.8575535068590475E-4</v>
      </c>
      <c r="AN173" s="18">
        <f t="shared" ca="1" si="71"/>
        <v>3.015075376884422E-2</v>
      </c>
      <c r="AO173" s="18">
        <f t="shared" ca="1" si="72"/>
        <v>0.16582914572864321</v>
      </c>
      <c r="AP173" s="18">
        <f t="shared" ca="1" si="73"/>
        <v>0.42211055276381909</v>
      </c>
      <c r="AQ173" s="18">
        <f t="shared" ca="1" si="74"/>
        <v>0.23115577889447236</v>
      </c>
      <c r="AR173" s="18">
        <f t="shared" ca="1" si="75"/>
        <v>0.15075376884422109</v>
      </c>
    </row>
    <row r="174" spans="1:44">
      <c r="A174" s="20">
        <v>26.1</v>
      </c>
      <c r="B174" s="20">
        <v>23</v>
      </c>
      <c r="C174" s="20">
        <v>321.5</v>
      </c>
      <c r="D174" s="21">
        <v>30.3</v>
      </c>
      <c r="E174" s="20">
        <v>77.3</v>
      </c>
      <c r="F174" s="18">
        <f t="shared" si="76"/>
        <v>-7.633624855071095E-3</v>
      </c>
      <c r="G174" s="18">
        <f t="shared" si="77"/>
        <v>0</v>
      </c>
      <c r="H174" s="18">
        <f t="shared" si="78"/>
        <v>3.4273284834700963E-3</v>
      </c>
      <c r="I174" s="18">
        <f t="shared" si="79"/>
        <v>-5.1458297275475351E-2</v>
      </c>
      <c r="J174" s="18">
        <f t="shared" si="80"/>
        <v>-2.0487272258452382E-2</v>
      </c>
      <c r="K174" s="18">
        <f t="shared" si="81"/>
        <v>-8.0467604482914335E-3</v>
      </c>
      <c r="L174" s="18">
        <f t="shared" si="82"/>
        <v>-4.1313559322033898E-4</v>
      </c>
      <c r="M174" s="18">
        <f t="shared" si="83"/>
        <v>3.0141928902497573E-3</v>
      </c>
      <c r="N174" s="18">
        <f t="shared" si="84"/>
        <v>-5.1871432868695687E-2</v>
      </c>
      <c r="O174" s="18">
        <f t="shared" si="85"/>
        <v>-2.0900407851672721E-2</v>
      </c>
      <c r="W174" s="18">
        <f t="shared" ca="1" si="86"/>
        <v>0.68</v>
      </c>
      <c r="X174" s="18">
        <f t="shared" ca="1" si="86"/>
        <v>0.97</v>
      </c>
      <c r="Y174" s="18">
        <f t="shared" ca="1" si="86"/>
        <v>0.88</v>
      </c>
      <c r="Z174" s="18">
        <f t="shared" ca="1" si="59"/>
        <v>0.43</v>
      </c>
      <c r="AA174" s="18">
        <f t="shared" ca="1" si="58"/>
        <v>0.76</v>
      </c>
      <c r="AB174" s="18">
        <f t="shared" ca="1" si="60"/>
        <v>3.7199999999999998</v>
      </c>
      <c r="AC174" s="18">
        <f t="shared" ca="1" si="61"/>
        <v>0.18279569892473121</v>
      </c>
      <c r="AD174" s="18">
        <f t="shared" ca="1" si="62"/>
        <v>0.260752688172043</v>
      </c>
      <c r="AE174" s="18">
        <f t="shared" ca="1" si="63"/>
        <v>0.23655913978494625</v>
      </c>
      <c r="AF174" s="18">
        <f t="shared" ca="1" si="64"/>
        <v>0.11559139784946237</v>
      </c>
      <c r="AG174" s="18">
        <f t="shared" ca="1" si="65"/>
        <v>0.20430107526881722</v>
      </c>
      <c r="AH174" s="18">
        <f t="shared" ca="1" si="66"/>
        <v>1</v>
      </c>
      <c r="AI174" s="18" cm="1">
        <f t="array" aca="1" ref="AI174" ca="1">MMULT(MMULT(AC174:AG174,$Q$2:$U$6),TRANSPOSE(AC174:AG174))</f>
        <v>1.6760461250825328E-4</v>
      </c>
      <c r="AJ174" s="18">
        <f t="shared" ca="1" si="67"/>
        <v>-4.7849922803168375E-3</v>
      </c>
      <c r="AK174" s="18">
        <f t="shared" ca="1" si="68"/>
        <v>-0.4015170350981126</v>
      </c>
      <c r="AL174" s="18">
        <f t="shared" ca="1" si="69"/>
        <v>-4.7849922803168375E-3</v>
      </c>
      <c r="AM174" s="18">
        <f t="shared" ca="1" si="70"/>
        <v>1.6760461250825328E-4</v>
      </c>
      <c r="AN174" s="18">
        <f t="shared" ca="1" si="71"/>
        <v>0.18279569892473121</v>
      </c>
      <c r="AO174" s="18">
        <f t="shared" ca="1" si="72"/>
        <v>0.260752688172043</v>
      </c>
      <c r="AP174" s="18">
        <f t="shared" ca="1" si="73"/>
        <v>0.23655913978494625</v>
      </c>
      <c r="AQ174" s="18">
        <f t="shared" ca="1" si="74"/>
        <v>0.11559139784946237</v>
      </c>
      <c r="AR174" s="18">
        <f t="shared" ca="1" si="75"/>
        <v>0.20430107526881722</v>
      </c>
    </row>
    <row r="175" spans="1:44">
      <c r="A175" s="20">
        <v>26.1</v>
      </c>
      <c r="B175" s="20">
        <v>23</v>
      </c>
      <c r="C175" s="20">
        <v>323.39999999999998</v>
      </c>
      <c r="D175" s="21">
        <v>30.8</v>
      </c>
      <c r="E175" s="20">
        <v>78.900000000000006</v>
      </c>
      <c r="F175" s="18">
        <f t="shared" si="76"/>
        <v>0</v>
      </c>
      <c r="G175" s="18">
        <f t="shared" si="77"/>
        <v>0</v>
      </c>
      <c r="H175" s="18">
        <f t="shared" si="78"/>
        <v>5.8924034653323925E-3</v>
      </c>
      <c r="I175" s="18">
        <f t="shared" si="79"/>
        <v>1.6366977464205412E-2</v>
      </c>
      <c r="J175" s="18">
        <f t="shared" si="80"/>
        <v>2.0487272258452333E-2</v>
      </c>
      <c r="K175" s="18">
        <f t="shared" si="81"/>
        <v>-4.1313559322033898E-4</v>
      </c>
      <c r="L175" s="18">
        <f t="shared" si="82"/>
        <v>-4.1313559322033898E-4</v>
      </c>
      <c r="M175" s="18">
        <f t="shared" si="83"/>
        <v>5.4792678721120539E-3</v>
      </c>
      <c r="N175" s="18">
        <f t="shared" si="84"/>
        <v>1.5953841870985072E-2</v>
      </c>
      <c r="O175" s="18">
        <f t="shared" si="85"/>
        <v>2.0074136665231994E-2</v>
      </c>
      <c r="W175" s="18">
        <f t="shared" ca="1" si="86"/>
        <v>0.95</v>
      </c>
      <c r="X175" s="18">
        <f t="shared" ca="1" si="86"/>
        <v>0.98</v>
      </c>
      <c r="Y175" s="18">
        <f t="shared" ca="1" si="86"/>
        <v>0.56000000000000005</v>
      </c>
      <c r="Z175" s="18">
        <f t="shared" ca="1" si="59"/>
        <v>0.14000000000000001</v>
      </c>
      <c r="AA175" s="18">
        <f t="shared" ca="1" si="58"/>
        <v>0.06</v>
      </c>
      <c r="AB175" s="18">
        <f t="shared" ca="1" si="60"/>
        <v>2.6900000000000004</v>
      </c>
      <c r="AC175" s="18">
        <f t="shared" ca="1" si="61"/>
        <v>0.35315985130111516</v>
      </c>
      <c r="AD175" s="18">
        <f t="shared" ca="1" si="62"/>
        <v>0.36431226765799252</v>
      </c>
      <c r="AE175" s="18">
        <f t="shared" ca="1" si="63"/>
        <v>0.20817843866171001</v>
      </c>
      <c r="AF175" s="18">
        <f t="shared" ca="1" si="64"/>
        <v>5.2044609665427503E-2</v>
      </c>
      <c r="AG175" s="18">
        <f t="shared" ca="1" si="65"/>
        <v>2.2304832713754642E-2</v>
      </c>
      <c r="AH175" s="18">
        <f t="shared" ca="1" si="66"/>
        <v>0.99999999999999978</v>
      </c>
      <c r="AI175" s="18" cm="1">
        <f t="array" aca="1" ref="AI175" ca="1">MMULT(MMULT(AC175:AG175,$Q$2:$U$6),TRANSPOSE(AC175:AG175))</f>
        <v>1.3934607233604264E-4</v>
      </c>
      <c r="AJ175" s="18">
        <f t="shared" ca="1" si="67"/>
        <v>-5.5007601171203841E-3</v>
      </c>
      <c r="AK175" s="18">
        <f t="shared" ca="1" si="68"/>
        <v>-0.50098681427419656</v>
      </c>
      <c r="AL175" s="18">
        <f t="shared" ca="1" si="69"/>
        <v>-5.5007601171203841E-3</v>
      </c>
      <c r="AM175" s="18">
        <f t="shared" ca="1" si="70"/>
        <v>1.3934607233604264E-4</v>
      </c>
      <c r="AN175" s="18">
        <f t="shared" ca="1" si="71"/>
        <v>0.35315985130111516</v>
      </c>
      <c r="AO175" s="18">
        <f t="shared" ca="1" si="72"/>
        <v>0.36431226765799252</v>
      </c>
      <c r="AP175" s="18">
        <f t="shared" ca="1" si="73"/>
        <v>0.20817843866171001</v>
      </c>
      <c r="AQ175" s="18">
        <f t="shared" ca="1" si="74"/>
        <v>5.2044609665427503E-2</v>
      </c>
      <c r="AR175" s="18">
        <f t="shared" ca="1" si="75"/>
        <v>2.2304832713754642E-2</v>
      </c>
    </row>
    <row r="176" spans="1:44">
      <c r="A176" s="20">
        <v>26</v>
      </c>
      <c r="B176" s="20">
        <v>22.9</v>
      </c>
      <c r="C176" s="20">
        <v>323.89999999999998</v>
      </c>
      <c r="D176" s="21">
        <v>30.8</v>
      </c>
      <c r="E176" s="20">
        <v>79.400000000000006</v>
      </c>
      <c r="F176" s="18">
        <f t="shared" si="76"/>
        <v>-3.8387763071657129E-3</v>
      </c>
      <c r="G176" s="18">
        <f t="shared" si="77"/>
        <v>-4.3573053689558126E-3</v>
      </c>
      <c r="H176" s="18">
        <f t="shared" si="78"/>
        <v>1.5448790342771144E-3</v>
      </c>
      <c r="I176" s="18">
        <f t="shared" si="79"/>
        <v>0</v>
      </c>
      <c r="J176" s="18">
        <f t="shared" si="80"/>
        <v>6.3171404012614969E-3</v>
      </c>
      <c r="K176" s="18">
        <f t="shared" si="81"/>
        <v>-4.2519119003860519E-3</v>
      </c>
      <c r="L176" s="18">
        <f t="shared" si="82"/>
        <v>-4.770440962176152E-3</v>
      </c>
      <c r="M176" s="18">
        <f t="shared" si="83"/>
        <v>1.1317434410567755E-3</v>
      </c>
      <c r="N176" s="18">
        <f t="shared" si="84"/>
        <v>-4.1313559322033898E-4</v>
      </c>
      <c r="O176" s="18">
        <f t="shared" si="85"/>
        <v>5.9040048080411574E-3</v>
      </c>
      <c r="W176" s="18">
        <f t="shared" ca="1" si="86"/>
        <v>0.64</v>
      </c>
      <c r="X176" s="18">
        <f t="shared" ca="1" si="86"/>
        <v>0.16</v>
      </c>
      <c r="Y176" s="18">
        <f t="shared" ca="1" si="86"/>
        <v>0.7</v>
      </c>
      <c r="Z176" s="18">
        <f t="shared" ca="1" si="59"/>
        <v>0.7</v>
      </c>
      <c r="AA176" s="18">
        <f t="shared" ca="1" si="58"/>
        <v>0.63</v>
      </c>
      <c r="AB176" s="18">
        <f t="shared" ca="1" si="60"/>
        <v>2.83</v>
      </c>
      <c r="AC176" s="18">
        <f t="shared" ca="1" si="61"/>
        <v>0.22614840989399293</v>
      </c>
      <c r="AD176" s="18">
        <f t="shared" ca="1" si="62"/>
        <v>5.6537102473498232E-2</v>
      </c>
      <c r="AE176" s="18">
        <f t="shared" ca="1" si="63"/>
        <v>0.24734982332155475</v>
      </c>
      <c r="AF176" s="18">
        <f t="shared" ca="1" si="64"/>
        <v>0.24734982332155475</v>
      </c>
      <c r="AG176" s="18">
        <f t="shared" ca="1" si="65"/>
        <v>0.22261484098939929</v>
      </c>
      <c r="AH176" s="18">
        <f t="shared" ca="1" si="66"/>
        <v>1</v>
      </c>
      <c r="AI176" s="18" cm="1">
        <f t="array" aca="1" ref="AI176" ca="1">MMULT(MMULT(AC176:AG176,$Q$2:$U$6),TRANSPOSE(AC176:AG176))</f>
        <v>2.2109700243902409E-4</v>
      </c>
      <c r="AJ176" s="18">
        <f t="shared" ca="1" si="67"/>
        <v>-6.7999201151365063E-4</v>
      </c>
      <c r="AK176" s="18">
        <f t="shared" ca="1" si="68"/>
        <v>-7.351558786006436E-2</v>
      </c>
      <c r="AL176" s="18">
        <f t="shared" ca="1" si="69"/>
        <v>-6.7999201151365063E-4</v>
      </c>
      <c r="AM176" s="18">
        <f t="shared" ca="1" si="70"/>
        <v>2.2109700243902409E-4</v>
      </c>
      <c r="AN176" s="18">
        <f t="shared" ca="1" si="71"/>
        <v>0.22614840989399293</v>
      </c>
      <c r="AO176" s="18">
        <f t="shared" ca="1" si="72"/>
        <v>5.6537102473498232E-2</v>
      </c>
      <c r="AP176" s="18">
        <f t="shared" ca="1" si="73"/>
        <v>0.24734982332155475</v>
      </c>
      <c r="AQ176" s="18">
        <f t="shared" ca="1" si="74"/>
        <v>0.24734982332155475</v>
      </c>
      <c r="AR176" s="18">
        <f t="shared" ca="1" si="75"/>
        <v>0.22261484098939929</v>
      </c>
    </row>
    <row r="177" spans="1:44">
      <c r="A177" s="20">
        <v>25.6</v>
      </c>
      <c r="B177" s="20">
        <v>22.5</v>
      </c>
      <c r="C177" s="20">
        <v>324</v>
      </c>
      <c r="D177" s="21">
        <v>31</v>
      </c>
      <c r="E177" s="20">
        <v>79.099999999999994</v>
      </c>
      <c r="F177" s="18">
        <f t="shared" si="76"/>
        <v>-1.5504186535965199E-2</v>
      </c>
      <c r="G177" s="18">
        <f t="shared" si="77"/>
        <v>-1.7621601349819445E-2</v>
      </c>
      <c r="H177" s="18">
        <f t="shared" si="78"/>
        <v>3.0868961504573414E-4</v>
      </c>
      <c r="I177" s="18">
        <f t="shared" si="79"/>
        <v>6.4725145056175196E-3</v>
      </c>
      <c r="J177" s="18">
        <f t="shared" si="80"/>
        <v>-3.7854934794819676E-3</v>
      </c>
      <c r="K177" s="18">
        <f t="shared" si="81"/>
        <v>-1.5917322129185538E-2</v>
      </c>
      <c r="L177" s="18">
        <f t="shared" si="82"/>
        <v>-1.8034736943039784E-2</v>
      </c>
      <c r="M177" s="18">
        <f t="shared" si="83"/>
        <v>-1.0444597817460484E-4</v>
      </c>
      <c r="N177" s="18">
        <f t="shared" si="84"/>
        <v>6.0593789123971811E-3</v>
      </c>
      <c r="O177" s="18">
        <f t="shared" si="85"/>
        <v>-4.1986290727023066E-3</v>
      </c>
      <c r="W177" s="18">
        <f t="shared" ca="1" si="86"/>
        <v>0.1</v>
      </c>
      <c r="X177" s="18">
        <f t="shared" ca="1" si="86"/>
        <v>0.79</v>
      </c>
      <c r="Y177" s="18">
        <f t="shared" ca="1" si="86"/>
        <v>0.56999999999999995</v>
      </c>
      <c r="Z177" s="18">
        <f t="shared" ca="1" si="59"/>
        <v>0.79</v>
      </c>
      <c r="AA177" s="18">
        <f t="shared" ca="1" si="58"/>
        <v>0.79</v>
      </c>
      <c r="AB177" s="18">
        <f t="shared" ca="1" si="60"/>
        <v>3.04</v>
      </c>
      <c r="AC177" s="18">
        <f t="shared" ca="1" si="61"/>
        <v>3.2894736842105261E-2</v>
      </c>
      <c r="AD177" s="18">
        <f t="shared" ca="1" si="62"/>
        <v>0.25986842105263158</v>
      </c>
      <c r="AE177" s="18">
        <f t="shared" ca="1" si="63"/>
        <v>0.18749999999999997</v>
      </c>
      <c r="AF177" s="18">
        <f t="shared" ca="1" si="64"/>
        <v>0.25986842105263158</v>
      </c>
      <c r="AG177" s="18">
        <f t="shared" ca="1" si="65"/>
        <v>0.25986842105263158</v>
      </c>
      <c r="AH177" s="18">
        <f t="shared" ca="1" si="66"/>
        <v>1</v>
      </c>
      <c r="AI177" s="18" cm="1">
        <f t="array" aca="1" ref="AI177" ca="1">MMULT(MMULT(AC177:AG177,$Q$2:$U$6),TRANSPOSE(AC177:AG177))</f>
        <v>2.4444907809027686E-4</v>
      </c>
      <c r="AJ177" s="18">
        <f t="shared" ca="1" si="67"/>
        <v>-3.5456296403802851E-3</v>
      </c>
      <c r="AK177" s="18">
        <f t="shared" ca="1" si="68"/>
        <v>-0.25320107530008185</v>
      </c>
      <c r="AL177" s="18">
        <f t="shared" ca="1" si="69"/>
        <v>-3.5456296403802851E-3</v>
      </c>
      <c r="AM177" s="18">
        <f t="shared" ca="1" si="70"/>
        <v>2.4444907809027686E-4</v>
      </c>
      <c r="AN177" s="18">
        <f t="shared" ca="1" si="71"/>
        <v>3.2894736842105261E-2</v>
      </c>
      <c r="AO177" s="18">
        <f t="shared" ca="1" si="72"/>
        <v>0.25986842105263158</v>
      </c>
      <c r="AP177" s="18">
        <f t="shared" ca="1" si="73"/>
        <v>0.18749999999999997</v>
      </c>
      <c r="AQ177" s="18">
        <f t="shared" ca="1" si="74"/>
        <v>0.25986842105263158</v>
      </c>
      <c r="AR177" s="18">
        <f t="shared" ca="1" si="75"/>
        <v>0.25986842105263158</v>
      </c>
    </row>
    <row r="178" spans="1:44">
      <c r="A178" s="20">
        <v>25.6</v>
      </c>
      <c r="B178" s="20">
        <v>22.6</v>
      </c>
      <c r="C178" s="20">
        <v>324.2</v>
      </c>
      <c r="D178" s="21">
        <v>31.3</v>
      </c>
      <c r="E178" s="20">
        <v>78.400000000000006</v>
      </c>
      <c r="F178" s="18">
        <f t="shared" si="76"/>
        <v>0</v>
      </c>
      <c r="G178" s="18">
        <f t="shared" si="77"/>
        <v>4.4345970678657748E-3</v>
      </c>
      <c r="H178" s="18">
        <f t="shared" si="78"/>
        <v>6.170935092463907E-4</v>
      </c>
      <c r="I178" s="18">
        <f t="shared" si="79"/>
        <v>9.6308930609613659E-3</v>
      </c>
      <c r="J178" s="18">
        <f t="shared" si="80"/>
        <v>-8.8889474172459283E-3</v>
      </c>
      <c r="K178" s="18">
        <f t="shared" si="81"/>
        <v>-4.1313559322033898E-4</v>
      </c>
      <c r="L178" s="18">
        <f t="shared" si="82"/>
        <v>4.0214614746454363E-3</v>
      </c>
      <c r="M178" s="18">
        <f t="shared" si="83"/>
        <v>2.0395791602605172E-4</v>
      </c>
      <c r="N178" s="18">
        <f t="shared" si="84"/>
        <v>9.2177574677410265E-3</v>
      </c>
      <c r="O178" s="18">
        <f t="shared" si="85"/>
        <v>-9.3020830104662677E-3</v>
      </c>
      <c r="W178" s="18">
        <f t="shared" ca="1" si="86"/>
        <v>0.13</v>
      </c>
      <c r="X178" s="18">
        <f t="shared" ca="1" si="86"/>
        <v>0.01</v>
      </c>
      <c r="Y178" s="18">
        <f t="shared" ca="1" si="86"/>
        <v>0.11</v>
      </c>
      <c r="Z178" s="18">
        <f t="shared" ca="1" si="59"/>
        <v>0.09</v>
      </c>
      <c r="AA178" s="18">
        <f t="shared" ca="1" si="58"/>
        <v>0.31</v>
      </c>
      <c r="AB178" s="18">
        <f t="shared" ca="1" si="60"/>
        <v>0.64999999999999991</v>
      </c>
      <c r="AC178" s="18">
        <f t="shared" ca="1" si="61"/>
        <v>0.20000000000000004</v>
      </c>
      <c r="AD178" s="18">
        <f t="shared" ca="1" si="62"/>
        <v>1.5384615384615387E-2</v>
      </c>
      <c r="AE178" s="18">
        <f t="shared" ca="1" si="63"/>
        <v>0.16923076923076927</v>
      </c>
      <c r="AF178" s="18">
        <f t="shared" ca="1" si="64"/>
        <v>0.13846153846153847</v>
      </c>
      <c r="AG178" s="18">
        <f t="shared" ca="1" si="65"/>
        <v>0.47692307692307701</v>
      </c>
      <c r="AH178" s="18">
        <f t="shared" ca="1" si="66"/>
        <v>1.0000000000000002</v>
      </c>
      <c r="AI178" s="18" cm="1">
        <f t="array" aca="1" ref="AI178" ca="1">MMULT(MMULT(AC178:AG178,$Q$2:$U$6),TRANSPOSE(AC178:AG178))</f>
        <v>3.7772175647611094E-4</v>
      </c>
      <c r="AJ178" s="18">
        <f t="shared" ca="1" si="67"/>
        <v>6.6855645826005062E-4</v>
      </c>
      <c r="AK178" s="18">
        <f t="shared" ca="1" si="68"/>
        <v>1.3142269571806768E-2</v>
      </c>
      <c r="AL178" s="18">
        <f t="shared" ca="1" si="69"/>
        <v>6.6855645826005062E-4</v>
      </c>
      <c r="AM178" s="18">
        <f t="shared" ca="1" si="70"/>
        <v>3.7772175647611094E-4</v>
      </c>
      <c r="AN178" s="18">
        <f t="shared" ca="1" si="71"/>
        <v>0.20000000000000004</v>
      </c>
      <c r="AO178" s="18">
        <f t="shared" ca="1" si="72"/>
        <v>1.5384615384615387E-2</v>
      </c>
      <c r="AP178" s="18">
        <f t="shared" ca="1" si="73"/>
        <v>0.16923076923076927</v>
      </c>
      <c r="AQ178" s="18">
        <f t="shared" ca="1" si="74"/>
        <v>0.13846153846153847</v>
      </c>
      <c r="AR178" s="18">
        <f t="shared" ca="1" si="75"/>
        <v>0.47692307692307701</v>
      </c>
    </row>
    <row r="179" spans="1:44">
      <c r="A179" s="20">
        <v>26</v>
      </c>
      <c r="B179" s="20">
        <v>22.7</v>
      </c>
      <c r="C179" s="20">
        <v>324.2</v>
      </c>
      <c r="D179" s="21">
        <v>31.9</v>
      </c>
      <c r="E179" s="20">
        <v>78.7</v>
      </c>
      <c r="F179" s="18">
        <f t="shared" si="76"/>
        <v>1.5504186535965254E-2</v>
      </c>
      <c r="G179" s="18">
        <f t="shared" si="77"/>
        <v>4.4150182091166933E-3</v>
      </c>
      <c r="H179" s="18">
        <f t="shared" si="78"/>
        <v>0</v>
      </c>
      <c r="I179" s="18">
        <f t="shared" si="79"/>
        <v>1.8987912244691381E-2</v>
      </c>
      <c r="J179" s="18">
        <f t="shared" si="80"/>
        <v>3.8192280669953971E-3</v>
      </c>
      <c r="K179" s="18">
        <f t="shared" si="81"/>
        <v>1.5091050942744915E-2</v>
      </c>
      <c r="L179" s="18">
        <f t="shared" si="82"/>
        <v>4.0018826158963548E-3</v>
      </c>
      <c r="M179" s="18">
        <f t="shared" si="83"/>
        <v>-4.1313559322033898E-4</v>
      </c>
      <c r="N179" s="18">
        <f t="shared" si="84"/>
        <v>1.8574776651471041E-2</v>
      </c>
      <c r="O179" s="18">
        <f t="shared" si="85"/>
        <v>3.4060924737750581E-3</v>
      </c>
      <c r="W179" s="18">
        <f t="shared" ca="1" si="86"/>
        <v>0.1</v>
      </c>
      <c r="X179" s="18">
        <f t="shared" ca="1" si="86"/>
        <v>0.31</v>
      </c>
      <c r="Y179" s="18">
        <f t="shared" ca="1" si="86"/>
        <v>0.01</v>
      </c>
      <c r="Z179" s="18">
        <f t="shared" ca="1" si="59"/>
        <v>0.61</v>
      </c>
      <c r="AA179" s="18">
        <f t="shared" ca="1" si="58"/>
        <v>0.22</v>
      </c>
      <c r="AB179" s="18">
        <f t="shared" ca="1" si="60"/>
        <v>1.25</v>
      </c>
      <c r="AC179" s="18">
        <f t="shared" ca="1" si="61"/>
        <v>0.08</v>
      </c>
      <c r="AD179" s="18">
        <f t="shared" ca="1" si="62"/>
        <v>0.248</v>
      </c>
      <c r="AE179" s="18">
        <f t="shared" ca="1" si="63"/>
        <v>8.0000000000000002E-3</v>
      </c>
      <c r="AF179" s="18">
        <f t="shared" ca="1" si="64"/>
        <v>0.48799999999999999</v>
      </c>
      <c r="AG179" s="18">
        <f t="shared" ca="1" si="65"/>
        <v>0.17599999999999999</v>
      </c>
      <c r="AH179" s="18">
        <f t="shared" ca="1" si="66"/>
        <v>1</v>
      </c>
      <c r="AI179" s="18" cm="1">
        <f t="array" aca="1" ref="AI179" ca="1">MMULT(MMULT(AC179:AG179,$Q$2:$U$6),TRANSPOSE(AC179:AG179))</f>
        <v>3.778613875509842E-4</v>
      </c>
      <c r="AJ179" s="18">
        <f t="shared" ca="1" si="67"/>
        <v>1.9063176487716695E-3</v>
      </c>
      <c r="AK179" s="18">
        <f t="shared" ca="1" si="68"/>
        <v>7.6815083079814675E-2</v>
      </c>
      <c r="AL179" s="18">
        <f t="shared" ca="1" si="69"/>
        <v>1.9063176487716695E-3</v>
      </c>
      <c r="AM179" s="18">
        <f t="shared" ca="1" si="70"/>
        <v>3.778613875509842E-4</v>
      </c>
      <c r="AN179" s="18">
        <f t="shared" ca="1" si="71"/>
        <v>0.08</v>
      </c>
      <c r="AO179" s="18">
        <f t="shared" ca="1" si="72"/>
        <v>0.248</v>
      </c>
      <c r="AP179" s="18">
        <f t="shared" ca="1" si="73"/>
        <v>8.0000000000000002E-3</v>
      </c>
      <c r="AQ179" s="18">
        <f t="shared" ca="1" si="74"/>
        <v>0.48799999999999999</v>
      </c>
      <c r="AR179" s="18">
        <f t="shared" ca="1" si="75"/>
        <v>0.17599999999999999</v>
      </c>
    </row>
    <row r="180" spans="1:44">
      <c r="A180" s="20">
        <v>26.2</v>
      </c>
      <c r="B180" s="20">
        <v>22.8</v>
      </c>
      <c r="C180" s="20">
        <v>324.7</v>
      </c>
      <c r="D180" s="21">
        <v>32.200000000000003</v>
      </c>
      <c r="E180" s="20">
        <v>79.2</v>
      </c>
      <c r="F180" s="18">
        <f t="shared" si="76"/>
        <v>7.6628727455690972E-3</v>
      </c>
      <c r="G180" s="18">
        <f t="shared" si="77"/>
        <v>4.3956114730381293E-3</v>
      </c>
      <c r="H180" s="18">
        <f t="shared" si="78"/>
        <v>1.5410698072245224E-3</v>
      </c>
      <c r="I180" s="18">
        <f t="shared" si="79"/>
        <v>9.3604427595638928E-3</v>
      </c>
      <c r="J180" s="18">
        <f t="shared" si="80"/>
        <v>6.3331433970225991E-3</v>
      </c>
      <c r="K180" s="18">
        <f t="shared" si="81"/>
        <v>7.2497371523487578E-3</v>
      </c>
      <c r="L180" s="18">
        <f t="shared" si="82"/>
        <v>3.9824758798177907E-3</v>
      </c>
      <c r="M180" s="18">
        <f t="shared" si="83"/>
        <v>1.1279342140041834E-3</v>
      </c>
      <c r="N180" s="18">
        <f t="shared" si="84"/>
        <v>8.9473071663435533E-3</v>
      </c>
      <c r="O180" s="18">
        <f t="shared" si="85"/>
        <v>5.9200078038022606E-3</v>
      </c>
      <c r="W180" s="18">
        <f t="shared" ca="1" si="86"/>
        <v>0.56999999999999995</v>
      </c>
      <c r="X180" s="18">
        <f t="shared" ca="1" si="86"/>
        <v>0.24</v>
      </c>
      <c r="Y180" s="18">
        <f t="shared" ca="1" si="86"/>
        <v>0.86</v>
      </c>
      <c r="Z180" s="18">
        <f t="shared" ca="1" si="59"/>
        <v>0.64</v>
      </c>
      <c r="AA180" s="18">
        <f t="shared" ca="1" si="58"/>
        <v>0.52</v>
      </c>
      <c r="AB180" s="18">
        <f t="shared" ca="1" si="60"/>
        <v>2.83</v>
      </c>
      <c r="AC180" s="18">
        <f t="shared" ca="1" si="61"/>
        <v>0.20141342756183744</v>
      </c>
      <c r="AD180" s="18">
        <f t="shared" ca="1" si="62"/>
        <v>8.4805653710247342E-2</v>
      </c>
      <c r="AE180" s="18">
        <f t="shared" ca="1" si="63"/>
        <v>0.303886925795053</v>
      </c>
      <c r="AF180" s="18">
        <f t="shared" ca="1" si="64"/>
        <v>0.22614840989399293</v>
      </c>
      <c r="AG180" s="18">
        <f t="shared" ca="1" si="65"/>
        <v>0.18374558303886926</v>
      </c>
      <c r="AH180" s="18">
        <f t="shared" ca="1" si="66"/>
        <v>1</v>
      </c>
      <c r="AI180" s="18" cm="1">
        <f t="array" aca="1" ref="AI180" ca="1">MMULT(MMULT(AC180:AG180,$Q$2:$U$6),TRANSPOSE(AC180:AG180))</f>
        <v>1.9380392639909775E-4</v>
      </c>
      <c r="AJ180" s="18">
        <f t="shared" ca="1" si="67"/>
        <v>-2.4971843558428061E-3</v>
      </c>
      <c r="AK180" s="18">
        <f t="shared" ca="1" si="68"/>
        <v>-0.20905446635840441</v>
      </c>
      <c r="AL180" s="18">
        <f t="shared" ca="1" si="69"/>
        <v>-2.4971843558428061E-3</v>
      </c>
      <c r="AM180" s="18">
        <f t="shared" ca="1" si="70"/>
        <v>1.9380392639909775E-4</v>
      </c>
      <c r="AN180" s="18">
        <f t="shared" ca="1" si="71"/>
        <v>0.20141342756183744</v>
      </c>
      <c r="AO180" s="18">
        <f t="shared" ca="1" si="72"/>
        <v>8.4805653710247342E-2</v>
      </c>
      <c r="AP180" s="18">
        <f t="shared" ca="1" si="73"/>
        <v>0.303886925795053</v>
      </c>
      <c r="AQ180" s="18">
        <f t="shared" ca="1" si="74"/>
        <v>0.22614840989399293</v>
      </c>
      <c r="AR180" s="18">
        <f t="shared" ca="1" si="75"/>
        <v>0.18374558303886926</v>
      </c>
    </row>
    <row r="181" spans="1:44">
      <c r="A181" s="20">
        <v>26.4</v>
      </c>
      <c r="B181" s="20">
        <v>22.7</v>
      </c>
      <c r="C181" s="20">
        <v>324</v>
      </c>
      <c r="D181" s="21">
        <v>32.4</v>
      </c>
      <c r="E181" s="20">
        <v>81.2</v>
      </c>
      <c r="F181" s="18">
        <f t="shared" si="76"/>
        <v>7.6045993852192125E-3</v>
      </c>
      <c r="G181" s="18">
        <f t="shared" si="77"/>
        <v>-4.3956114730381093E-3</v>
      </c>
      <c r="H181" s="18">
        <f t="shared" si="78"/>
        <v>-2.1581633164708706E-3</v>
      </c>
      <c r="I181" s="18">
        <f t="shared" si="79"/>
        <v>6.1919702479209804E-3</v>
      </c>
      <c r="J181" s="18">
        <f t="shared" si="80"/>
        <v>2.4938948347252146E-2</v>
      </c>
      <c r="K181" s="18">
        <f t="shared" si="81"/>
        <v>7.1914637919988731E-3</v>
      </c>
      <c r="L181" s="18">
        <f t="shared" si="82"/>
        <v>-4.8087470662584487E-3</v>
      </c>
      <c r="M181" s="18">
        <f t="shared" si="83"/>
        <v>-2.5712989096912096E-3</v>
      </c>
      <c r="N181" s="18">
        <f t="shared" si="84"/>
        <v>5.778834654700641E-3</v>
      </c>
      <c r="O181" s="18">
        <f t="shared" si="85"/>
        <v>2.4525812754031807E-2</v>
      </c>
      <c r="W181" s="18">
        <f t="shared" ca="1" si="86"/>
        <v>0.89</v>
      </c>
      <c r="X181" s="18">
        <f t="shared" ca="1" si="86"/>
        <v>0.38</v>
      </c>
      <c r="Y181" s="18">
        <f t="shared" ca="1" si="86"/>
        <v>0.84</v>
      </c>
      <c r="Z181" s="18">
        <f t="shared" ca="1" si="59"/>
        <v>0.44</v>
      </c>
      <c r="AA181" s="18">
        <f t="shared" ca="1" si="58"/>
        <v>0.94</v>
      </c>
      <c r="AB181" s="18">
        <f t="shared" ca="1" si="60"/>
        <v>3.4899999999999998</v>
      </c>
      <c r="AC181" s="18">
        <f t="shared" ca="1" si="61"/>
        <v>0.25501432664756452</v>
      </c>
      <c r="AD181" s="18">
        <f t="shared" ca="1" si="62"/>
        <v>0.10888252148997135</v>
      </c>
      <c r="AE181" s="18">
        <f t="shared" ca="1" si="63"/>
        <v>0.24068767908309457</v>
      </c>
      <c r="AF181" s="18">
        <f t="shared" ca="1" si="64"/>
        <v>0.12607449856733524</v>
      </c>
      <c r="AG181" s="18">
        <f t="shared" ca="1" si="65"/>
        <v>0.2693409742120344</v>
      </c>
      <c r="AH181" s="18">
        <f t="shared" ca="1" si="66"/>
        <v>1</v>
      </c>
      <c r="AI181" s="18" cm="1">
        <f t="array" aca="1" ref="AI181" ca="1">MMULT(MMULT(AC181:AG181,$Q$2:$U$6),TRANSPOSE(AC181:AG181))</f>
        <v>1.9988898570198939E-4</v>
      </c>
      <c r="AJ181" s="18">
        <f t="shared" ca="1" si="67"/>
        <v>-2.049502601778361E-3</v>
      </c>
      <c r="AK181" s="18">
        <f t="shared" ca="1" si="68"/>
        <v>-0.174183165494051</v>
      </c>
      <c r="AL181" s="18">
        <f t="shared" ca="1" si="69"/>
        <v>-2.049502601778361E-3</v>
      </c>
      <c r="AM181" s="18">
        <f t="shared" ca="1" si="70"/>
        <v>1.9988898570198939E-4</v>
      </c>
      <c r="AN181" s="18">
        <f t="shared" ca="1" si="71"/>
        <v>0.25501432664756452</v>
      </c>
      <c r="AO181" s="18">
        <f t="shared" ca="1" si="72"/>
        <v>0.10888252148997135</v>
      </c>
      <c r="AP181" s="18">
        <f t="shared" ca="1" si="73"/>
        <v>0.24068767908309457</v>
      </c>
      <c r="AQ181" s="18">
        <f t="shared" ca="1" si="74"/>
        <v>0.12607449856733524</v>
      </c>
      <c r="AR181" s="18">
        <f t="shared" ca="1" si="75"/>
        <v>0.2693409742120344</v>
      </c>
    </row>
    <row r="182" spans="1:44">
      <c r="A182" s="20">
        <v>26.2</v>
      </c>
      <c r="B182" s="20">
        <v>22.8</v>
      </c>
      <c r="C182" s="20">
        <v>324</v>
      </c>
      <c r="D182" s="21">
        <v>32.200000000000003</v>
      </c>
      <c r="E182" s="20">
        <v>80.8</v>
      </c>
      <c r="F182" s="18">
        <f t="shared" si="76"/>
        <v>-7.6045993852193036E-3</v>
      </c>
      <c r="G182" s="18">
        <f t="shared" si="77"/>
        <v>4.3956114730381293E-3</v>
      </c>
      <c r="H182" s="18">
        <f t="shared" si="78"/>
        <v>0</v>
      </c>
      <c r="I182" s="18">
        <f t="shared" si="79"/>
        <v>-6.1919702479209951E-3</v>
      </c>
      <c r="J182" s="18">
        <f t="shared" si="80"/>
        <v>-4.9382816405826773E-3</v>
      </c>
      <c r="K182" s="18">
        <f t="shared" si="81"/>
        <v>-8.0177349784396421E-3</v>
      </c>
      <c r="L182" s="18">
        <f t="shared" si="82"/>
        <v>3.9824758798177907E-3</v>
      </c>
      <c r="M182" s="18">
        <f t="shared" si="83"/>
        <v>-4.1313559322033898E-4</v>
      </c>
      <c r="N182" s="18">
        <f t="shared" si="84"/>
        <v>-6.6051058411413337E-3</v>
      </c>
      <c r="O182" s="18">
        <f t="shared" si="85"/>
        <v>-5.3514172338030158E-3</v>
      </c>
      <c r="W182" s="18">
        <f t="shared" ca="1" si="86"/>
        <v>0.41</v>
      </c>
      <c r="X182" s="18">
        <f t="shared" ca="1" si="86"/>
        <v>0.02</v>
      </c>
      <c r="Y182" s="18">
        <f t="shared" ca="1" si="86"/>
        <v>0.42</v>
      </c>
      <c r="Z182" s="18">
        <f t="shared" ca="1" si="59"/>
        <v>0.26</v>
      </c>
      <c r="AA182" s="18">
        <f t="shared" ca="1" si="58"/>
        <v>0.97</v>
      </c>
      <c r="AB182" s="18">
        <f t="shared" ca="1" si="60"/>
        <v>2.08</v>
      </c>
      <c r="AC182" s="18">
        <f t="shared" ca="1" si="61"/>
        <v>0.19711538461538461</v>
      </c>
      <c r="AD182" s="18">
        <f t="shared" ca="1" si="62"/>
        <v>9.6153846153846159E-3</v>
      </c>
      <c r="AE182" s="18">
        <f t="shared" ca="1" si="63"/>
        <v>0.2019230769230769</v>
      </c>
      <c r="AF182" s="18">
        <f t="shared" ca="1" si="64"/>
        <v>0.125</v>
      </c>
      <c r="AG182" s="18">
        <f t="shared" ca="1" si="65"/>
        <v>0.4663461538461538</v>
      </c>
      <c r="AH182" s="18">
        <f t="shared" ca="1" si="66"/>
        <v>1</v>
      </c>
      <c r="AI182" s="18" cm="1">
        <f t="array" aca="1" ref="AI182" ca="1">MMULT(MMULT(AC182:AG182,$Q$2:$U$6),TRANSPOSE(AC182:AG182))</f>
        <v>3.6153074476331503E-4</v>
      </c>
      <c r="AJ182" s="18">
        <f t="shared" ca="1" si="67"/>
        <v>1.406426506634262E-5</v>
      </c>
      <c r="AK182" s="18">
        <f t="shared" ca="1" si="68"/>
        <v>-2.0988331183243926E-2</v>
      </c>
      <c r="AL182" s="18">
        <f t="shared" ca="1" si="69"/>
        <v>1.406426506634262E-5</v>
      </c>
      <c r="AM182" s="18">
        <f t="shared" ca="1" si="70"/>
        <v>3.6153074476331503E-4</v>
      </c>
      <c r="AN182" s="18">
        <f t="shared" ca="1" si="71"/>
        <v>0.19711538461538461</v>
      </c>
      <c r="AO182" s="18">
        <f t="shared" ca="1" si="72"/>
        <v>9.6153846153846159E-3</v>
      </c>
      <c r="AP182" s="18">
        <f t="shared" ca="1" si="73"/>
        <v>0.2019230769230769</v>
      </c>
      <c r="AQ182" s="18">
        <f t="shared" ca="1" si="74"/>
        <v>0.125</v>
      </c>
      <c r="AR182" s="18">
        <f t="shared" ca="1" si="75"/>
        <v>0.4663461538461538</v>
      </c>
    </row>
    <row r="183" spans="1:44">
      <c r="A183" s="20">
        <v>28.1</v>
      </c>
      <c r="B183" s="20">
        <v>22.9</v>
      </c>
      <c r="C183" s="20">
        <v>328.2</v>
      </c>
      <c r="D183" s="21">
        <v>32.799999999999997</v>
      </c>
      <c r="E183" s="20">
        <v>82.3</v>
      </c>
      <c r="F183" s="18">
        <f t="shared" si="76"/>
        <v>7.001016557264908E-2</v>
      </c>
      <c r="G183" s="18">
        <f t="shared" si="77"/>
        <v>4.3763745997987815E-3</v>
      </c>
      <c r="H183" s="18">
        <f t="shared" si="78"/>
        <v>1.2879662863661019E-2</v>
      </c>
      <c r="I183" s="18">
        <f t="shared" si="79"/>
        <v>1.8462062839735352E-2</v>
      </c>
      <c r="J183" s="18">
        <f t="shared" si="80"/>
        <v>1.839414215597434E-2</v>
      </c>
      <c r="K183" s="18">
        <f t="shared" si="81"/>
        <v>6.9597029979428737E-2</v>
      </c>
      <c r="L183" s="18">
        <f t="shared" si="82"/>
        <v>3.963239006578443E-3</v>
      </c>
      <c r="M183" s="18">
        <f t="shared" si="83"/>
        <v>1.246652727044068E-2</v>
      </c>
      <c r="N183" s="18">
        <f t="shared" si="84"/>
        <v>1.8048927246515013E-2</v>
      </c>
      <c r="O183" s="18">
        <f t="shared" si="85"/>
        <v>1.7981006562754E-2</v>
      </c>
      <c r="W183" s="18">
        <f t="shared" ca="1" si="86"/>
        <v>0.8</v>
      </c>
      <c r="X183" s="18">
        <f t="shared" ca="1" si="86"/>
        <v>0.92</v>
      </c>
      <c r="Y183" s="18">
        <f t="shared" ca="1" si="86"/>
        <v>0.93</v>
      </c>
      <c r="Z183" s="18">
        <f t="shared" ca="1" si="59"/>
        <v>0.93</v>
      </c>
      <c r="AA183" s="18">
        <f t="shared" ca="1" si="58"/>
        <v>0.74</v>
      </c>
      <c r="AB183" s="18">
        <f t="shared" ca="1" si="60"/>
        <v>4.32</v>
      </c>
      <c r="AC183" s="18">
        <f t="shared" ca="1" si="61"/>
        <v>0.18518518518518517</v>
      </c>
      <c r="AD183" s="18">
        <f t="shared" ca="1" si="62"/>
        <v>0.21296296296296297</v>
      </c>
      <c r="AE183" s="18">
        <f t="shared" ca="1" si="63"/>
        <v>0.21527777777777776</v>
      </c>
      <c r="AF183" s="18">
        <f t="shared" ca="1" si="64"/>
        <v>0.21527777777777776</v>
      </c>
      <c r="AG183" s="18">
        <f t="shared" ca="1" si="65"/>
        <v>0.17129629629629628</v>
      </c>
      <c r="AH183" s="18">
        <f t="shared" ca="1" si="66"/>
        <v>1</v>
      </c>
      <c r="AI183" s="18" cm="1">
        <f t="array" aca="1" ref="AI183" ca="1">MMULT(MMULT(AC183:AG183,$Q$2:$U$6),TRANSPOSE(AC183:AG183))</f>
        <v>1.8703676675721668E-4</v>
      </c>
      <c r="AJ183" s="18">
        <f t="shared" ca="1" si="67"/>
        <v>-2.9356297039637054E-3</v>
      </c>
      <c r="AK183" s="18">
        <f t="shared" ca="1" si="68"/>
        <v>-0.24486190125441268</v>
      </c>
      <c r="AL183" s="18">
        <f t="shared" ca="1" si="69"/>
        <v>-2.9356297039637054E-3</v>
      </c>
      <c r="AM183" s="18">
        <f t="shared" ca="1" si="70"/>
        <v>1.8703676675721668E-4</v>
      </c>
      <c r="AN183" s="18">
        <f t="shared" ca="1" si="71"/>
        <v>0.18518518518518517</v>
      </c>
      <c r="AO183" s="18">
        <f t="shared" ca="1" si="72"/>
        <v>0.21296296296296297</v>
      </c>
      <c r="AP183" s="18">
        <f t="shared" ca="1" si="73"/>
        <v>0.21527777777777776</v>
      </c>
      <c r="AQ183" s="18">
        <f t="shared" ca="1" si="74"/>
        <v>0.21527777777777776</v>
      </c>
      <c r="AR183" s="18">
        <f t="shared" ca="1" si="75"/>
        <v>0.17129629629629628</v>
      </c>
    </row>
    <row r="184" spans="1:44">
      <c r="A184" s="20">
        <v>28</v>
      </c>
      <c r="B184" s="20">
        <v>23</v>
      </c>
      <c r="C184" s="20">
        <v>328.1</v>
      </c>
      <c r="D184" s="21">
        <v>33.200000000000003</v>
      </c>
      <c r="E184" s="20">
        <v>82.1</v>
      </c>
      <c r="F184" s="18">
        <f t="shared" si="76"/>
        <v>-3.5650661644962569E-3</v>
      </c>
      <c r="G184" s="18">
        <f t="shared" si="77"/>
        <v>4.3573053689558473E-3</v>
      </c>
      <c r="H184" s="18">
        <f t="shared" si="78"/>
        <v>-3.0473868893441834E-4</v>
      </c>
      <c r="I184" s="18">
        <f t="shared" si="79"/>
        <v>1.2121360532345041E-2</v>
      </c>
      <c r="J184" s="18">
        <f t="shared" si="80"/>
        <v>-2.433091224641666E-3</v>
      </c>
      <c r="K184" s="18">
        <f t="shared" si="81"/>
        <v>-3.9782017577165959E-3</v>
      </c>
      <c r="L184" s="18">
        <f t="shared" si="82"/>
        <v>3.9441697757355079E-3</v>
      </c>
      <c r="M184" s="18">
        <f t="shared" si="83"/>
        <v>-7.1787428215475731E-4</v>
      </c>
      <c r="N184" s="18">
        <f t="shared" si="84"/>
        <v>1.1708224939124701E-2</v>
      </c>
      <c r="O184" s="18">
        <f t="shared" si="85"/>
        <v>-2.846226817862005E-3</v>
      </c>
      <c r="W184" s="18">
        <f t="shared" ca="1" si="86"/>
        <v>0.91</v>
      </c>
      <c r="X184" s="18">
        <f t="shared" ca="1" si="86"/>
        <v>0.69</v>
      </c>
      <c r="Y184" s="18">
        <f t="shared" ca="1" si="86"/>
        <v>0.63</v>
      </c>
      <c r="Z184" s="18">
        <f t="shared" ca="1" si="59"/>
        <v>0.89</v>
      </c>
      <c r="AA184" s="18">
        <f t="shared" ca="1" si="58"/>
        <v>0.83</v>
      </c>
      <c r="AB184" s="18">
        <f t="shared" ca="1" si="60"/>
        <v>3.95</v>
      </c>
      <c r="AC184" s="18">
        <f t="shared" ca="1" si="61"/>
        <v>0.23037974683544304</v>
      </c>
      <c r="AD184" s="18">
        <f t="shared" ca="1" si="62"/>
        <v>0.17468354430379746</v>
      </c>
      <c r="AE184" s="18">
        <f t="shared" ca="1" si="63"/>
        <v>0.15949367088607594</v>
      </c>
      <c r="AF184" s="18">
        <f t="shared" ca="1" si="64"/>
        <v>0.22531645569620251</v>
      </c>
      <c r="AG184" s="18">
        <f t="shared" ca="1" si="65"/>
        <v>0.21012658227848099</v>
      </c>
      <c r="AH184" s="18">
        <f t="shared" ca="1" si="66"/>
        <v>1</v>
      </c>
      <c r="AI184" s="18" cm="1">
        <f t="array" aca="1" ref="AI184" ca="1">MMULT(MMULT(AC184:AG184,$Q$2:$U$6),TRANSPOSE(AC184:AG184))</f>
        <v>2.0793145651195103E-4</v>
      </c>
      <c r="AJ184" s="18">
        <f t="shared" ca="1" si="67"/>
        <v>-9.5320258703668142E-4</v>
      </c>
      <c r="AK184" s="18">
        <f t="shared" ca="1" si="68"/>
        <v>-9.4754120820742319E-2</v>
      </c>
      <c r="AL184" s="18">
        <f t="shared" ca="1" si="69"/>
        <v>-9.5320258703668142E-4</v>
      </c>
      <c r="AM184" s="18">
        <f t="shared" ca="1" si="70"/>
        <v>2.0793145651195103E-4</v>
      </c>
      <c r="AN184" s="18">
        <f t="shared" ca="1" si="71"/>
        <v>0.23037974683544304</v>
      </c>
      <c r="AO184" s="18">
        <f t="shared" ca="1" si="72"/>
        <v>0.17468354430379746</v>
      </c>
      <c r="AP184" s="18">
        <f t="shared" ca="1" si="73"/>
        <v>0.15949367088607594</v>
      </c>
      <c r="AQ184" s="18">
        <f t="shared" ca="1" si="74"/>
        <v>0.22531645569620251</v>
      </c>
      <c r="AR184" s="18">
        <f t="shared" ca="1" si="75"/>
        <v>0.21012658227848099</v>
      </c>
    </row>
    <row r="185" spans="1:44">
      <c r="A185" s="20">
        <v>28.3</v>
      </c>
      <c r="B185" s="20">
        <v>22.8</v>
      </c>
      <c r="C185" s="20">
        <v>324.89999999999998</v>
      </c>
      <c r="D185" s="21">
        <v>33.200000000000003</v>
      </c>
      <c r="E185" s="20">
        <v>82.7</v>
      </c>
      <c r="F185" s="18">
        <f t="shared" si="76"/>
        <v>1.0657294473987979E-2</v>
      </c>
      <c r="G185" s="18">
        <f t="shared" si="77"/>
        <v>-8.7336799687545534E-3</v>
      </c>
      <c r="H185" s="18">
        <f t="shared" si="78"/>
        <v>-9.8009972920014305E-3</v>
      </c>
      <c r="I185" s="18">
        <f t="shared" si="79"/>
        <v>0</v>
      </c>
      <c r="J185" s="18">
        <f t="shared" si="80"/>
        <v>7.2815855712632729E-3</v>
      </c>
      <c r="K185" s="18">
        <f t="shared" si="81"/>
        <v>1.0244158880767639E-2</v>
      </c>
      <c r="L185" s="18">
        <f t="shared" si="82"/>
        <v>-9.1468155619748928E-3</v>
      </c>
      <c r="M185" s="18">
        <f t="shared" si="83"/>
        <v>-1.021413288522177E-2</v>
      </c>
      <c r="N185" s="18">
        <f t="shared" si="84"/>
        <v>-4.1313559322033898E-4</v>
      </c>
      <c r="O185" s="18">
        <f t="shared" si="85"/>
        <v>6.8684499780429335E-3</v>
      </c>
      <c r="W185" s="18">
        <f t="shared" ca="1" si="86"/>
        <v>0.81</v>
      </c>
      <c r="X185" s="18">
        <f t="shared" ca="1" si="86"/>
        <v>0.99</v>
      </c>
      <c r="Y185" s="18">
        <f t="shared" ca="1" si="86"/>
        <v>0.15</v>
      </c>
      <c r="Z185" s="18">
        <f t="shared" ca="1" si="59"/>
        <v>0.67</v>
      </c>
      <c r="AA185" s="18">
        <f t="shared" ca="1" si="58"/>
        <v>0.92</v>
      </c>
      <c r="AB185" s="18">
        <f t="shared" ca="1" si="60"/>
        <v>3.54</v>
      </c>
      <c r="AC185" s="18">
        <f t="shared" ca="1" si="61"/>
        <v>0.2288135593220339</v>
      </c>
      <c r="AD185" s="18">
        <f t="shared" ca="1" si="62"/>
        <v>0.27966101694915252</v>
      </c>
      <c r="AE185" s="18">
        <f t="shared" ca="1" si="63"/>
        <v>4.2372881355932202E-2</v>
      </c>
      <c r="AF185" s="18">
        <f t="shared" ca="1" si="64"/>
        <v>0.18926553672316385</v>
      </c>
      <c r="AG185" s="18">
        <f t="shared" ca="1" si="65"/>
        <v>0.25988700564971751</v>
      </c>
      <c r="AH185" s="18">
        <f t="shared" ca="1" si="66"/>
        <v>1</v>
      </c>
      <c r="AI185" s="18" cm="1">
        <f t="array" aca="1" ref="AI185" ca="1">MMULT(MMULT(AC185:AG185,$Q$2:$U$6),TRANSPOSE(AC185:AG185))</f>
        <v>2.2921692159333514E-4</v>
      </c>
      <c r="AJ185" s="18">
        <f t="shared" ca="1" si="67"/>
        <v>-5.6098612866421142E-4</v>
      </c>
      <c r="AK185" s="18">
        <f t="shared" ca="1" si="68"/>
        <v>-6.4341308665047767E-2</v>
      </c>
      <c r="AL185" s="18">
        <f t="shared" ca="1" si="69"/>
        <v>-5.6098612866421142E-4</v>
      </c>
      <c r="AM185" s="18">
        <f t="shared" ca="1" si="70"/>
        <v>2.2921692159333514E-4</v>
      </c>
      <c r="AN185" s="18">
        <f t="shared" ca="1" si="71"/>
        <v>0.2288135593220339</v>
      </c>
      <c r="AO185" s="18">
        <f t="shared" ca="1" si="72"/>
        <v>0.27966101694915252</v>
      </c>
      <c r="AP185" s="18">
        <f t="shared" ca="1" si="73"/>
        <v>4.2372881355932202E-2</v>
      </c>
      <c r="AQ185" s="18">
        <f t="shared" ca="1" si="74"/>
        <v>0.18926553672316385</v>
      </c>
      <c r="AR185" s="18">
        <f t="shared" ca="1" si="75"/>
        <v>0.25988700564971751</v>
      </c>
    </row>
    <row r="186" spans="1:44">
      <c r="A186" s="20">
        <v>28.6</v>
      </c>
      <c r="B186" s="20">
        <v>22.8</v>
      </c>
      <c r="C186" s="20">
        <v>324.60000000000002</v>
      </c>
      <c r="D186" s="21">
        <v>32.299999999999997</v>
      </c>
      <c r="E186" s="20">
        <v>81.8</v>
      </c>
      <c r="F186" s="18">
        <f t="shared" si="76"/>
        <v>1.054491317661504E-2</v>
      </c>
      <c r="G186" s="18">
        <f t="shared" si="77"/>
        <v>0</v>
      </c>
      <c r="H186" s="18">
        <f t="shared" si="78"/>
        <v>-9.2378759456366048E-4</v>
      </c>
      <c r="I186" s="18">
        <f t="shared" si="79"/>
        <v>-2.748264569383212E-2</v>
      </c>
      <c r="J186" s="18">
        <f t="shared" si="80"/>
        <v>-1.0942358420944357E-2</v>
      </c>
      <c r="K186" s="18">
        <f t="shared" si="81"/>
        <v>1.01317775833947E-2</v>
      </c>
      <c r="L186" s="18">
        <f t="shared" si="82"/>
        <v>-4.1313559322033898E-4</v>
      </c>
      <c r="M186" s="18">
        <f t="shared" si="83"/>
        <v>-1.3369231877839996E-3</v>
      </c>
      <c r="N186" s="18">
        <f t="shared" si="84"/>
        <v>-2.789578128705246E-2</v>
      </c>
      <c r="O186" s="18">
        <f t="shared" si="85"/>
        <v>-1.1355494014164696E-2</v>
      </c>
      <c r="W186" s="18">
        <f t="shared" ca="1" si="86"/>
        <v>0.59</v>
      </c>
      <c r="X186" s="18">
        <f t="shared" ca="1" si="86"/>
        <v>0.76</v>
      </c>
      <c r="Y186" s="18">
        <f t="shared" ca="1" si="86"/>
        <v>0.13</v>
      </c>
      <c r="Z186" s="18">
        <f t="shared" ca="1" si="59"/>
        <v>0.4</v>
      </c>
      <c r="AA186" s="18">
        <f t="shared" ca="1" si="58"/>
        <v>0.75</v>
      </c>
      <c r="AB186" s="18">
        <f t="shared" ca="1" si="60"/>
        <v>2.63</v>
      </c>
      <c r="AC186" s="18">
        <f t="shared" ca="1" si="61"/>
        <v>0.22433460076045628</v>
      </c>
      <c r="AD186" s="18">
        <f t="shared" ca="1" si="62"/>
        <v>0.28897338403041828</v>
      </c>
      <c r="AE186" s="18">
        <f t="shared" ca="1" si="63"/>
        <v>4.9429657794676812E-2</v>
      </c>
      <c r="AF186" s="18">
        <f t="shared" ca="1" si="64"/>
        <v>0.15209125475285173</v>
      </c>
      <c r="AG186" s="18">
        <f t="shared" ca="1" si="65"/>
        <v>0.28517110266159695</v>
      </c>
      <c r="AH186" s="18">
        <f t="shared" ca="1" si="66"/>
        <v>1</v>
      </c>
      <c r="AI186" s="18" cm="1">
        <f t="array" aca="1" ref="AI186" ca="1">MMULT(MMULT(AC186:AG186,$Q$2:$U$6),TRANSPOSE(AC186:AG186))</f>
        <v>2.3121335702440112E-4</v>
      </c>
      <c r="AJ186" s="18">
        <f t="shared" ca="1" si="67"/>
        <v>-1.1148548506128104E-3</v>
      </c>
      <c r="AK186" s="18">
        <f t="shared" ca="1" si="68"/>
        <v>-0.10048799441516752</v>
      </c>
      <c r="AL186" s="18">
        <f t="shared" ca="1" si="69"/>
        <v>-1.1148548506128104E-3</v>
      </c>
      <c r="AM186" s="18">
        <f t="shared" ca="1" si="70"/>
        <v>2.3121335702440112E-4</v>
      </c>
      <c r="AN186" s="18">
        <f t="shared" ca="1" si="71"/>
        <v>0.22433460076045628</v>
      </c>
      <c r="AO186" s="18">
        <f t="shared" ca="1" si="72"/>
        <v>0.28897338403041828</v>
      </c>
      <c r="AP186" s="18">
        <f t="shared" ca="1" si="73"/>
        <v>4.9429657794676812E-2</v>
      </c>
      <c r="AQ186" s="18">
        <f t="shared" ca="1" si="74"/>
        <v>0.15209125475285173</v>
      </c>
      <c r="AR186" s="18">
        <f t="shared" ca="1" si="75"/>
        <v>0.28517110266159695</v>
      </c>
    </row>
    <row r="187" spans="1:44">
      <c r="A187" s="20">
        <v>28.8</v>
      </c>
      <c r="B187" s="20">
        <v>22.6</v>
      </c>
      <c r="C187" s="20">
        <v>324.3</v>
      </c>
      <c r="D187" s="21">
        <v>32.700000000000003</v>
      </c>
      <c r="E187" s="20">
        <v>82.7</v>
      </c>
      <c r="F187" s="18">
        <f t="shared" si="76"/>
        <v>6.9686693160932152E-3</v>
      </c>
      <c r="G187" s="18">
        <f t="shared" si="77"/>
        <v>-8.810629682154807E-3</v>
      </c>
      <c r="H187" s="18">
        <f t="shared" si="78"/>
        <v>-9.2464176721856507E-4</v>
      </c>
      <c r="I187" s="18">
        <f t="shared" si="79"/>
        <v>1.2307847674596993E-2</v>
      </c>
      <c r="J187" s="18">
        <f t="shared" si="80"/>
        <v>1.0942358420944227E-2</v>
      </c>
      <c r="K187" s="18">
        <f t="shared" si="81"/>
        <v>6.5555337228728767E-3</v>
      </c>
      <c r="L187" s="18">
        <f t="shared" si="82"/>
        <v>-9.2237652753751464E-3</v>
      </c>
      <c r="M187" s="18">
        <f t="shared" si="83"/>
        <v>-1.337777360438904E-3</v>
      </c>
      <c r="N187" s="18">
        <f t="shared" si="84"/>
        <v>1.1894712081376654E-2</v>
      </c>
      <c r="O187" s="18">
        <f t="shared" si="85"/>
        <v>1.0529222827723887E-2</v>
      </c>
      <c r="W187" s="18">
        <f t="shared" ca="1" si="86"/>
        <v>0.78</v>
      </c>
      <c r="X187" s="18">
        <f t="shared" ca="1" si="86"/>
        <v>0.86</v>
      </c>
      <c r="Y187" s="18">
        <f t="shared" ca="1" si="86"/>
        <v>0.33</v>
      </c>
      <c r="Z187" s="18">
        <f t="shared" ca="1" si="59"/>
        <v>0.53</v>
      </c>
      <c r="AA187" s="18">
        <f t="shared" ca="1" si="58"/>
        <v>0.76</v>
      </c>
      <c r="AB187" s="18">
        <f t="shared" ca="1" si="60"/>
        <v>3.26</v>
      </c>
      <c r="AC187" s="18">
        <f t="shared" ca="1" si="61"/>
        <v>0.23926380368098163</v>
      </c>
      <c r="AD187" s="18">
        <f t="shared" ca="1" si="62"/>
        <v>0.26380368098159512</v>
      </c>
      <c r="AE187" s="18">
        <f t="shared" ca="1" si="63"/>
        <v>0.10122699386503069</v>
      </c>
      <c r="AF187" s="18">
        <f t="shared" ca="1" si="64"/>
        <v>0.16257668711656442</v>
      </c>
      <c r="AG187" s="18">
        <f t="shared" ca="1" si="65"/>
        <v>0.23312883435582823</v>
      </c>
      <c r="AH187" s="18">
        <f t="shared" ca="1" si="66"/>
        <v>1</v>
      </c>
      <c r="AI187" s="18" cm="1">
        <f t="array" aca="1" ref="AI187" ca="1">MMULT(MMULT(AC187:AG187,$Q$2:$U$6),TRANSPOSE(AC187:AG187))</f>
        <v>2.0147146098482252E-4</v>
      </c>
      <c r="AJ187" s="18">
        <f t="shared" ca="1" si="67"/>
        <v>-1.5959505959528947E-3</v>
      </c>
      <c r="AK187" s="18">
        <f t="shared" ca="1" si="68"/>
        <v>-0.14154410946318294</v>
      </c>
      <c r="AL187" s="18">
        <f t="shared" ca="1" si="69"/>
        <v>-1.5959505959528947E-3</v>
      </c>
      <c r="AM187" s="18">
        <f t="shared" ca="1" si="70"/>
        <v>2.0147146098482252E-4</v>
      </c>
      <c r="AN187" s="18">
        <f t="shared" ca="1" si="71"/>
        <v>0.23926380368098163</v>
      </c>
      <c r="AO187" s="18">
        <f t="shared" ca="1" si="72"/>
        <v>0.26380368098159512</v>
      </c>
      <c r="AP187" s="18">
        <f t="shared" ca="1" si="73"/>
        <v>0.10122699386503069</v>
      </c>
      <c r="AQ187" s="18">
        <f t="shared" ca="1" si="74"/>
        <v>0.16257668711656442</v>
      </c>
      <c r="AR187" s="18">
        <f t="shared" ca="1" si="75"/>
        <v>0.23312883435582823</v>
      </c>
    </row>
    <row r="188" spans="1:44">
      <c r="A188" s="20">
        <v>29.1</v>
      </c>
      <c r="B188" s="20">
        <v>22.7</v>
      </c>
      <c r="C188" s="20">
        <v>326.60000000000002</v>
      </c>
      <c r="D188" s="21">
        <v>33</v>
      </c>
      <c r="E188" s="20">
        <v>84.2</v>
      </c>
      <c r="F188" s="18">
        <f t="shared" si="76"/>
        <v>1.0362787035546658E-2</v>
      </c>
      <c r="G188" s="18">
        <f t="shared" si="77"/>
        <v>4.4150182091166933E-3</v>
      </c>
      <c r="H188" s="18">
        <f t="shared" si="78"/>
        <v>7.0671672230925731E-3</v>
      </c>
      <c r="I188" s="18">
        <f t="shared" si="79"/>
        <v>9.1324835632724723E-3</v>
      </c>
      <c r="J188" s="18">
        <f t="shared" si="80"/>
        <v>1.7975319218635315E-2</v>
      </c>
      <c r="K188" s="18">
        <f t="shared" si="81"/>
        <v>9.9496514423263183E-3</v>
      </c>
      <c r="L188" s="18">
        <f t="shared" si="82"/>
        <v>4.0018826158963548E-3</v>
      </c>
      <c r="M188" s="18">
        <f t="shared" si="83"/>
        <v>6.6540316298722337E-3</v>
      </c>
      <c r="N188" s="18">
        <f t="shared" si="84"/>
        <v>8.7193479700521329E-3</v>
      </c>
      <c r="O188" s="18">
        <f t="shared" si="85"/>
        <v>1.7562183625414975E-2</v>
      </c>
      <c r="W188" s="18">
        <f t="shared" ca="1" si="86"/>
        <v>0.27</v>
      </c>
      <c r="X188" s="18">
        <f t="shared" ca="1" si="86"/>
        <v>0.51</v>
      </c>
      <c r="Y188" s="18">
        <f t="shared" ca="1" si="86"/>
        <v>0.68</v>
      </c>
      <c r="Z188" s="18">
        <f t="shared" ca="1" si="59"/>
        <v>0.27</v>
      </c>
      <c r="AA188" s="18">
        <f t="shared" ca="1" si="59"/>
        <v>0.5</v>
      </c>
      <c r="AB188" s="18">
        <f t="shared" ca="1" si="60"/>
        <v>2.23</v>
      </c>
      <c r="AC188" s="18">
        <f t="shared" ca="1" si="61"/>
        <v>0.1210762331838565</v>
      </c>
      <c r="AD188" s="18">
        <f t="shared" ca="1" si="62"/>
        <v>0.22869955156950672</v>
      </c>
      <c r="AE188" s="18">
        <f t="shared" ca="1" si="63"/>
        <v>0.30493273542600902</v>
      </c>
      <c r="AF188" s="18">
        <f t="shared" ca="1" si="64"/>
        <v>0.1210762331838565</v>
      </c>
      <c r="AG188" s="18">
        <f t="shared" ca="1" si="65"/>
        <v>0.22421524663677131</v>
      </c>
      <c r="AH188" s="18">
        <f t="shared" ca="1" si="66"/>
        <v>1.0000000000000002</v>
      </c>
      <c r="AI188" s="18" cm="1">
        <f t="array" aca="1" ref="AI188" ca="1">MMULT(MMULT(AC188:AG188,$Q$2:$U$6),TRANSPOSE(AC188:AG188))</f>
        <v>1.7348861209019989E-4</v>
      </c>
      <c r="AJ188" s="18">
        <f t="shared" ca="1" si="67"/>
        <v>-5.872168543607087E-3</v>
      </c>
      <c r="AK188" s="18">
        <f t="shared" ca="1" si="68"/>
        <v>-0.4771894254131725</v>
      </c>
      <c r="AL188" s="18">
        <f t="shared" ca="1" si="69"/>
        <v>-5.872168543607087E-3</v>
      </c>
      <c r="AM188" s="18">
        <f t="shared" ca="1" si="70"/>
        <v>1.7348861209019989E-4</v>
      </c>
      <c r="AN188" s="18">
        <f t="shared" ca="1" si="71"/>
        <v>0.1210762331838565</v>
      </c>
      <c r="AO188" s="18">
        <f t="shared" ca="1" si="72"/>
        <v>0.22869955156950672</v>
      </c>
      <c r="AP188" s="18">
        <f t="shared" ca="1" si="73"/>
        <v>0.30493273542600902</v>
      </c>
      <c r="AQ188" s="18">
        <f t="shared" ca="1" si="74"/>
        <v>0.1210762331838565</v>
      </c>
      <c r="AR188" s="18">
        <f t="shared" ca="1" si="75"/>
        <v>0.22421524663677131</v>
      </c>
    </row>
    <row r="189" spans="1:44">
      <c r="A189" s="20">
        <v>28.7</v>
      </c>
      <c r="B189" s="20">
        <v>22.7</v>
      </c>
      <c r="C189" s="20">
        <v>327.60000000000002</v>
      </c>
      <c r="D189" s="21">
        <v>33</v>
      </c>
      <c r="E189" s="20">
        <v>84.2</v>
      </c>
      <c r="F189" s="18">
        <f t="shared" si="76"/>
        <v>-1.3841051411871468E-2</v>
      </c>
      <c r="G189" s="18">
        <f t="shared" si="77"/>
        <v>0</v>
      </c>
      <c r="H189" s="18">
        <f t="shared" si="78"/>
        <v>3.0571714425495786E-3</v>
      </c>
      <c r="I189" s="18">
        <f t="shared" si="79"/>
        <v>0</v>
      </c>
      <c r="J189" s="18">
        <f t="shared" si="80"/>
        <v>0</v>
      </c>
      <c r="K189" s="18">
        <f t="shared" si="81"/>
        <v>-1.4254187005091807E-2</v>
      </c>
      <c r="L189" s="18">
        <f t="shared" si="82"/>
        <v>-4.1313559322033898E-4</v>
      </c>
      <c r="M189" s="18">
        <f t="shared" si="83"/>
        <v>2.6440358493292396E-3</v>
      </c>
      <c r="N189" s="18">
        <f t="shared" si="84"/>
        <v>-4.1313559322033898E-4</v>
      </c>
      <c r="O189" s="18">
        <f t="shared" si="85"/>
        <v>-4.1313559322033898E-4</v>
      </c>
      <c r="W189" s="18">
        <f t="shared" ca="1" si="86"/>
        <v>0.24</v>
      </c>
      <c r="X189" s="18">
        <f t="shared" ca="1" si="86"/>
        <v>0.76</v>
      </c>
      <c r="Y189" s="18">
        <f t="shared" ca="1" si="86"/>
        <v>0.08</v>
      </c>
      <c r="Z189" s="18">
        <f t="shared" ca="1" si="59"/>
        <v>0.99</v>
      </c>
      <c r="AA189" s="18">
        <f t="shared" ca="1" si="59"/>
        <v>0.64</v>
      </c>
      <c r="AB189" s="18">
        <f t="shared" ca="1" si="60"/>
        <v>2.7100000000000004</v>
      </c>
      <c r="AC189" s="18">
        <f t="shared" ca="1" si="61"/>
        <v>8.8560885608856069E-2</v>
      </c>
      <c r="AD189" s="18">
        <f t="shared" ca="1" si="62"/>
        <v>0.28044280442804426</v>
      </c>
      <c r="AE189" s="18">
        <f t="shared" ca="1" si="63"/>
        <v>2.9520295202952025E-2</v>
      </c>
      <c r="AF189" s="18">
        <f t="shared" ca="1" si="64"/>
        <v>0.3653136531365313</v>
      </c>
      <c r="AG189" s="18">
        <f t="shared" ca="1" si="65"/>
        <v>0.2361623616236162</v>
      </c>
      <c r="AH189" s="18">
        <f t="shared" ca="1" si="66"/>
        <v>0.99999999999999978</v>
      </c>
      <c r="AI189" s="18" cm="1">
        <f t="array" aca="1" ref="AI189" ca="1">MMULT(MMULT(AC189:AG189,$Q$2:$U$6),TRANSPOSE(AC189:AG189))</f>
        <v>3.0514795117517202E-4</v>
      </c>
      <c r="AJ189" s="18">
        <f t="shared" ca="1" si="67"/>
        <v>1.9447443872149873E-4</v>
      </c>
      <c r="AK189" s="18">
        <f t="shared" ca="1" si="68"/>
        <v>-1.2517465630070711E-2</v>
      </c>
      <c r="AL189" s="18">
        <f t="shared" ca="1" si="69"/>
        <v>1.9447443872149873E-4</v>
      </c>
      <c r="AM189" s="18">
        <f t="shared" ca="1" si="70"/>
        <v>3.0514795117517202E-4</v>
      </c>
      <c r="AN189" s="18">
        <f t="shared" ca="1" si="71"/>
        <v>8.8560885608856069E-2</v>
      </c>
      <c r="AO189" s="18">
        <f t="shared" ca="1" si="72"/>
        <v>0.28044280442804426</v>
      </c>
      <c r="AP189" s="18">
        <f t="shared" ca="1" si="73"/>
        <v>2.9520295202952025E-2</v>
      </c>
      <c r="AQ189" s="18">
        <f t="shared" ca="1" si="74"/>
        <v>0.3653136531365313</v>
      </c>
      <c r="AR189" s="18">
        <f t="shared" ca="1" si="75"/>
        <v>0.2361623616236162</v>
      </c>
    </row>
    <row r="190" spans="1:44">
      <c r="A190" s="20">
        <v>28.7</v>
      </c>
      <c r="B190" s="20">
        <v>22.7</v>
      </c>
      <c r="C190" s="20">
        <v>327</v>
      </c>
      <c r="D190" s="21">
        <v>33.299999999999997</v>
      </c>
      <c r="E190" s="20">
        <v>84.6</v>
      </c>
      <c r="F190" s="18">
        <f t="shared" si="76"/>
        <v>0</v>
      </c>
      <c r="G190" s="18">
        <f t="shared" si="77"/>
        <v>0</v>
      </c>
      <c r="H190" s="18">
        <f t="shared" si="78"/>
        <v>-1.8331810816610717E-3</v>
      </c>
      <c r="I190" s="18">
        <f t="shared" si="79"/>
        <v>9.0498355199178562E-3</v>
      </c>
      <c r="J190" s="18">
        <f t="shared" si="80"/>
        <v>4.7393453638963469E-3</v>
      </c>
      <c r="K190" s="18">
        <f t="shared" si="81"/>
        <v>-4.1313559322033898E-4</v>
      </c>
      <c r="L190" s="18">
        <f t="shared" si="82"/>
        <v>-4.1313559322033898E-4</v>
      </c>
      <c r="M190" s="18">
        <f t="shared" si="83"/>
        <v>-2.2463166748814107E-3</v>
      </c>
      <c r="N190" s="18">
        <f t="shared" si="84"/>
        <v>8.6366999266975168E-3</v>
      </c>
      <c r="O190" s="18">
        <f t="shared" si="85"/>
        <v>4.3262097706760084E-3</v>
      </c>
      <c r="W190" s="18">
        <f t="shared" ca="1" si="86"/>
        <v>0.72</v>
      </c>
      <c r="X190" s="18">
        <f t="shared" ca="1" si="86"/>
        <v>0.47</v>
      </c>
      <c r="Y190" s="18">
        <f t="shared" ca="1" si="86"/>
        <v>0.26</v>
      </c>
      <c r="Z190" s="18">
        <f t="shared" ca="1" si="59"/>
        <v>0.8</v>
      </c>
      <c r="AA190" s="18">
        <f t="shared" ca="1" si="59"/>
        <v>0.36</v>
      </c>
      <c r="AB190" s="18">
        <f t="shared" ca="1" si="60"/>
        <v>2.61</v>
      </c>
      <c r="AC190" s="18">
        <f t="shared" ca="1" si="61"/>
        <v>0.27586206896551724</v>
      </c>
      <c r="AD190" s="18">
        <f t="shared" ca="1" si="62"/>
        <v>0.18007662835249041</v>
      </c>
      <c r="AE190" s="18">
        <f t="shared" ca="1" si="63"/>
        <v>9.9616858237547901E-2</v>
      </c>
      <c r="AF190" s="18">
        <f t="shared" ca="1" si="64"/>
        <v>0.30651340996168586</v>
      </c>
      <c r="AG190" s="18">
        <f t="shared" ca="1" si="65"/>
        <v>0.13793103448275862</v>
      </c>
      <c r="AH190" s="18">
        <f t="shared" ca="1" si="66"/>
        <v>1</v>
      </c>
      <c r="AI190" s="18" cm="1">
        <f t="array" aca="1" ref="AI190" ca="1">MMULT(MMULT(AC190:AG190,$Q$2:$U$6),TRANSPOSE(AC190:AG190))</f>
        <v>2.3251885833566272E-4</v>
      </c>
      <c r="AJ190" s="18">
        <f t="shared" ca="1" si="67"/>
        <v>8.8893374423878731E-4</v>
      </c>
      <c r="AK190" s="18">
        <f t="shared" ca="1" si="68"/>
        <v>3.1202806583960543E-2</v>
      </c>
      <c r="AL190" s="18">
        <f t="shared" ca="1" si="69"/>
        <v>8.8893374423878731E-4</v>
      </c>
      <c r="AM190" s="18">
        <f t="shared" ca="1" si="70"/>
        <v>2.3251885833566272E-4</v>
      </c>
      <c r="AN190" s="18">
        <f t="shared" ca="1" si="71"/>
        <v>0.27586206896551724</v>
      </c>
      <c r="AO190" s="18">
        <f t="shared" ca="1" si="72"/>
        <v>0.18007662835249041</v>
      </c>
      <c r="AP190" s="18">
        <f t="shared" ca="1" si="73"/>
        <v>9.9616858237547901E-2</v>
      </c>
      <c r="AQ190" s="18">
        <f t="shared" ca="1" si="74"/>
        <v>0.30651340996168586</v>
      </c>
      <c r="AR190" s="18">
        <f t="shared" ca="1" si="75"/>
        <v>0.13793103448275862</v>
      </c>
    </row>
    <row r="191" spans="1:44">
      <c r="A191" s="20">
        <v>28.7</v>
      </c>
      <c r="B191" s="20">
        <v>22.6</v>
      </c>
      <c r="C191" s="20">
        <v>330.7</v>
      </c>
      <c r="D191" s="21">
        <v>33.799999999999997</v>
      </c>
      <c r="E191" s="20">
        <v>85.3</v>
      </c>
      <c r="F191" s="18">
        <f t="shared" si="76"/>
        <v>0</v>
      </c>
      <c r="G191" s="18">
        <f t="shared" si="77"/>
        <v>-4.4150182091167202E-3</v>
      </c>
      <c r="H191" s="18">
        <f t="shared" si="78"/>
        <v>1.1251449090493588E-2</v>
      </c>
      <c r="I191" s="18">
        <f t="shared" si="79"/>
        <v>1.4903405502574948E-2</v>
      </c>
      <c r="J191" s="18">
        <f t="shared" si="80"/>
        <v>8.240187885455795E-3</v>
      </c>
      <c r="K191" s="18">
        <f t="shared" si="81"/>
        <v>-4.1313559322033898E-4</v>
      </c>
      <c r="L191" s="18">
        <f t="shared" si="82"/>
        <v>-4.8281538023370596E-3</v>
      </c>
      <c r="M191" s="18">
        <f t="shared" si="83"/>
        <v>1.0838313497273249E-2</v>
      </c>
      <c r="N191" s="18">
        <f t="shared" si="84"/>
        <v>1.4490269909354609E-2</v>
      </c>
      <c r="O191" s="18">
        <f t="shared" si="85"/>
        <v>7.8270522922354556E-3</v>
      </c>
      <c r="W191" s="18">
        <f t="shared" ca="1" si="86"/>
        <v>0.89</v>
      </c>
      <c r="X191" s="18">
        <f t="shared" ca="1" si="86"/>
        <v>0.26</v>
      </c>
      <c r="Y191" s="18">
        <f t="shared" ca="1" si="86"/>
        <v>0.41</v>
      </c>
      <c r="Z191" s="18">
        <f t="shared" ca="1" si="59"/>
        <v>0.46</v>
      </c>
      <c r="AA191" s="18">
        <f t="shared" ca="1" si="59"/>
        <v>0.56000000000000005</v>
      </c>
      <c r="AB191" s="18">
        <f t="shared" ca="1" si="60"/>
        <v>2.58</v>
      </c>
      <c r="AC191" s="18">
        <f t="shared" ca="1" si="61"/>
        <v>0.34496124031007752</v>
      </c>
      <c r="AD191" s="18">
        <f t="shared" ca="1" si="62"/>
        <v>0.10077519379844961</v>
      </c>
      <c r="AE191" s="18">
        <f t="shared" ca="1" si="63"/>
        <v>0.15891472868217052</v>
      </c>
      <c r="AF191" s="18">
        <f t="shared" ca="1" si="64"/>
        <v>0.17829457364341086</v>
      </c>
      <c r="AG191" s="18">
        <f t="shared" ca="1" si="65"/>
        <v>0.2170542635658915</v>
      </c>
      <c r="AH191" s="18">
        <f t="shared" ca="1" si="66"/>
        <v>1</v>
      </c>
      <c r="AI191" s="18" cm="1">
        <f t="array" aca="1" ref="AI191" ca="1">MMULT(MMULT(AC191:AG191,$Q$2:$U$6),TRANSPOSE(AC191:AG191))</f>
        <v>1.9850088864066745E-4</v>
      </c>
      <c r="AJ191" s="18">
        <f t="shared" ca="1" si="67"/>
        <v>4.5260557881741676E-4</v>
      </c>
      <c r="AK191" s="18">
        <f t="shared" ca="1" si="68"/>
        <v>2.8014684785263293E-3</v>
      </c>
      <c r="AL191" s="18">
        <f t="shared" ca="1" si="69"/>
        <v>4.5260557881741676E-4</v>
      </c>
      <c r="AM191" s="18">
        <f t="shared" ca="1" si="70"/>
        <v>1.9850088864066745E-4</v>
      </c>
      <c r="AN191" s="18">
        <f t="shared" ca="1" si="71"/>
        <v>0.34496124031007752</v>
      </c>
      <c r="AO191" s="18">
        <f t="shared" ca="1" si="72"/>
        <v>0.10077519379844961</v>
      </c>
      <c r="AP191" s="18">
        <f t="shared" ca="1" si="73"/>
        <v>0.15891472868217052</v>
      </c>
      <c r="AQ191" s="18">
        <f t="shared" ca="1" si="74"/>
        <v>0.17829457364341086</v>
      </c>
      <c r="AR191" s="18">
        <f t="shared" ca="1" si="75"/>
        <v>0.2170542635658915</v>
      </c>
    </row>
    <row r="192" spans="1:44">
      <c r="A192" s="20">
        <v>28.6</v>
      </c>
      <c r="B192" s="20">
        <v>22.7</v>
      </c>
      <c r="C192" s="20">
        <v>333.9</v>
      </c>
      <c r="D192" s="21">
        <v>34.200000000000003</v>
      </c>
      <c r="E192" s="20">
        <v>86</v>
      </c>
      <c r="F192" s="18">
        <f t="shared" si="76"/>
        <v>-3.4904049397684908E-3</v>
      </c>
      <c r="G192" s="18">
        <f t="shared" si="77"/>
        <v>4.4150182091166933E-3</v>
      </c>
      <c r="H192" s="18">
        <f t="shared" si="78"/>
        <v>9.6299269618616862E-3</v>
      </c>
      <c r="I192" s="18">
        <f t="shared" si="79"/>
        <v>1.1764841579586431E-2</v>
      </c>
      <c r="J192" s="18">
        <f t="shared" si="80"/>
        <v>8.1728417558743858E-3</v>
      </c>
      <c r="K192" s="18">
        <f t="shared" si="81"/>
        <v>-3.9035405329888298E-3</v>
      </c>
      <c r="L192" s="18">
        <f t="shared" si="82"/>
        <v>4.0018826158963548E-3</v>
      </c>
      <c r="M192" s="18">
        <f t="shared" si="83"/>
        <v>9.2167913686413468E-3</v>
      </c>
      <c r="N192" s="18">
        <f t="shared" si="84"/>
        <v>1.1351705986366091E-2</v>
      </c>
      <c r="O192" s="18">
        <f t="shared" si="85"/>
        <v>7.7597061626540464E-3</v>
      </c>
      <c r="W192" s="18">
        <f t="shared" ca="1" si="86"/>
        <v>0.21</v>
      </c>
      <c r="X192" s="18">
        <f t="shared" ca="1" si="86"/>
        <v>0.02</v>
      </c>
      <c r="Y192" s="18">
        <f t="shared" ca="1" si="86"/>
        <v>0.65</v>
      </c>
      <c r="Z192" s="18">
        <f t="shared" ca="1" si="59"/>
        <v>0.93</v>
      </c>
      <c r="AA192" s="18">
        <f t="shared" ca="1" si="59"/>
        <v>0.64</v>
      </c>
      <c r="AB192" s="18">
        <f t="shared" ca="1" si="60"/>
        <v>2.4500000000000002</v>
      </c>
      <c r="AC192" s="18">
        <f t="shared" ca="1" si="61"/>
        <v>8.5714285714285701E-2</v>
      </c>
      <c r="AD192" s="18">
        <f t="shared" ca="1" si="62"/>
        <v>8.163265306122448E-3</v>
      </c>
      <c r="AE192" s="18">
        <f t="shared" ca="1" si="63"/>
        <v>0.26530612244897961</v>
      </c>
      <c r="AF192" s="18">
        <f t="shared" ca="1" si="64"/>
        <v>0.37959183673469388</v>
      </c>
      <c r="AG192" s="18">
        <f t="shared" ca="1" si="65"/>
        <v>0.26122448979591834</v>
      </c>
      <c r="AH192" s="18">
        <f t="shared" ca="1" si="66"/>
        <v>1</v>
      </c>
      <c r="AI192" s="18" cm="1">
        <f t="array" aca="1" ref="AI192" ca="1">MMULT(MMULT(AC192:AG192,$Q$2:$U$6),TRANSPOSE(AC192:AG192))</f>
        <v>3.142258899787868E-4</v>
      </c>
      <c r="AJ192" s="18">
        <f t="shared" ca="1" si="67"/>
        <v>-4.1375258423448618E-5</v>
      </c>
      <c r="AK192" s="18">
        <f t="shared" ca="1" si="68"/>
        <v>-2.5640310149254247E-2</v>
      </c>
      <c r="AL192" s="18">
        <f t="shared" ca="1" si="69"/>
        <v>-4.1375258423448618E-5</v>
      </c>
      <c r="AM192" s="18">
        <f t="shared" ca="1" si="70"/>
        <v>3.142258899787868E-4</v>
      </c>
      <c r="AN192" s="18">
        <f t="shared" ca="1" si="71"/>
        <v>8.5714285714285701E-2</v>
      </c>
      <c r="AO192" s="18">
        <f t="shared" ca="1" si="72"/>
        <v>8.163265306122448E-3</v>
      </c>
      <c r="AP192" s="18">
        <f t="shared" ca="1" si="73"/>
        <v>0.26530612244897961</v>
      </c>
      <c r="AQ192" s="18">
        <f t="shared" ca="1" si="74"/>
        <v>0.37959183673469388</v>
      </c>
      <c r="AR192" s="18">
        <f t="shared" ca="1" si="75"/>
        <v>0.26122448979591834</v>
      </c>
    </row>
    <row r="193" spans="1:44">
      <c r="A193" s="20">
        <v>28.5</v>
      </c>
      <c r="B193" s="20">
        <v>22.9</v>
      </c>
      <c r="C193" s="20">
        <v>334</v>
      </c>
      <c r="D193" s="21">
        <v>34.5</v>
      </c>
      <c r="E193" s="20">
        <v>82.9</v>
      </c>
      <c r="F193" s="18">
        <f t="shared" si="76"/>
        <v>-3.5026305512021118E-3</v>
      </c>
      <c r="G193" s="18">
        <f t="shared" si="77"/>
        <v>8.7719860728370409E-3</v>
      </c>
      <c r="H193" s="18">
        <f t="shared" si="78"/>
        <v>2.9944602709169486E-4</v>
      </c>
      <c r="I193" s="18">
        <f t="shared" si="79"/>
        <v>8.7336799687544112E-3</v>
      </c>
      <c r="J193" s="18">
        <f t="shared" si="80"/>
        <v>-3.6712234112258414E-2</v>
      </c>
      <c r="K193" s="18">
        <f t="shared" si="81"/>
        <v>-3.9157661444224508E-3</v>
      </c>
      <c r="L193" s="18">
        <f t="shared" si="82"/>
        <v>8.3588504796167015E-3</v>
      </c>
      <c r="M193" s="18">
        <f t="shared" si="83"/>
        <v>-1.1368956612864412E-4</v>
      </c>
      <c r="N193" s="18">
        <f t="shared" si="84"/>
        <v>8.3205443755340718E-3</v>
      </c>
      <c r="O193" s="18">
        <f t="shared" si="85"/>
        <v>-3.712536970547875E-2</v>
      </c>
      <c r="W193" s="18">
        <f t="shared" ca="1" si="86"/>
        <v>0.01</v>
      </c>
      <c r="X193" s="18">
        <f t="shared" ca="1" si="86"/>
        <v>0.01</v>
      </c>
      <c r="Y193" s="18">
        <f t="shared" ca="1" si="86"/>
        <v>0.46</v>
      </c>
      <c r="Z193" s="18">
        <f t="shared" ca="1" si="59"/>
        <v>0.46</v>
      </c>
      <c r="AA193" s="18">
        <f t="shared" ca="1" si="59"/>
        <v>0.94</v>
      </c>
      <c r="AB193" s="18">
        <f t="shared" ca="1" si="60"/>
        <v>1.88</v>
      </c>
      <c r="AC193" s="18">
        <f t="shared" ca="1" si="61"/>
        <v>5.3191489361702135E-3</v>
      </c>
      <c r="AD193" s="18">
        <f t="shared" ca="1" si="62"/>
        <v>5.3191489361702135E-3</v>
      </c>
      <c r="AE193" s="18">
        <f t="shared" ca="1" si="63"/>
        <v>0.24468085106382981</v>
      </c>
      <c r="AF193" s="18">
        <f t="shared" ca="1" si="64"/>
        <v>0.24468085106382981</v>
      </c>
      <c r="AG193" s="18">
        <f t="shared" ca="1" si="65"/>
        <v>0.5</v>
      </c>
      <c r="AH193" s="18">
        <f t="shared" ca="1" si="66"/>
        <v>1</v>
      </c>
      <c r="AI193" s="18" cm="1">
        <f t="array" aca="1" ref="AI193" ca="1">MMULT(MMULT(AC193:AG193,$Q$2:$U$6),TRANSPOSE(AC193:AG193))</f>
        <v>4.3225417690648872E-4</v>
      </c>
      <c r="AJ193" s="18">
        <f t="shared" ca="1" si="67"/>
        <v>-8.5729517508762614E-4</v>
      </c>
      <c r="AK193" s="18">
        <f t="shared" ca="1" si="68"/>
        <v>-6.1105655039994496E-2</v>
      </c>
      <c r="AL193" s="18">
        <f t="shared" ca="1" si="69"/>
        <v>-8.5729517508762614E-4</v>
      </c>
      <c r="AM193" s="18">
        <f t="shared" ca="1" si="70"/>
        <v>4.3225417690648872E-4</v>
      </c>
      <c r="AN193" s="18">
        <f t="shared" ca="1" si="71"/>
        <v>5.3191489361702135E-3</v>
      </c>
      <c r="AO193" s="18">
        <f t="shared" ca="1" si="72"/>
        <v>5.3191489361702135E-3</v>
      </c>
      <c r="AP193" s="18">
        <f t="shared" ca="1" si="73"/>
        <v>0.24468085106382981</v>
      </c>
      <c r="AQ193" s="18">
        <f t="shared" ca="1" si="74"/>
        <v>0.24468085106382981</v>
      </c>
      <c r="AR193" s="18">
        <f t="shared" ca="1" si="75"/>
        <v>0.5</v>
      </c>
    </row>
    <row r="194" spans="1:44">
      <c r="A194" s="20">
        <v>28.8</v>
      </c>
      <c r="B194" s="20">
        <v>23.1</v>
      </c>
      <c r="C194" s="20">
        <v>346.7</v>
      </c>
      <c r="D194" s="21">
        <v>35.1</v>
      </c>
      <c r="E194" s="20">
        <v>82.3</v>
      </c>
      <c r="F194" s="18">
        <f t="shared" si="76"/>
        <v>1.0471299867295437E-2</v>
      </c>
      <c r="G194" s="18">
        <f t="shared" si="77"/>
        <v>8.695706967553913E-3</v>
      </c>
      <c r="H194" s="18">
        <f t="shared" si="78"/>
        <v>3.7318859714277286E-2</v>
      </c>
      <c r="I194" s="18">
        <f t="shared" si="79"/>
        <v>1.7241806434506173E-2</v>
      </c>
      <c r="J194" s="18">
        <f t="shared" si="80"/>
        <v>-7.2639544582252802E-3</v>
      </c>
      <c r="K194" s="18">
        <f t="shared" si="81"/>
        <v>1.0058164274075097E-2</v>
      </c>
      <c r="L194" s="18">
        <f t="shared" si="82"/>
        <v>8.2825713743335735E-3</v>
      </c>
      <c r="M194" s="18">
        <f t="shared" si="83"/>
        <v>3.690572412105695E-2</v>
      </c>
      <c r="N194" s="18">
        <f t="shared" si="84"/>
        <v>1.6828670841285833E-2</v>
      </c>
      <c r="O194" s="18">
        <f t="shared" si="85"/>
        <v>-7.6770900514456196E-3</v>
      </c>
      <c r="W194" s="18">
        <f t="shared" ca="1" si="86"/>
        <v>0.85</v>
      </c>
      <c r="X194" s="18">
        <f t="shared" ca="1" si="86"/>
        <v>0.34</v>
      </c>
      <c r="Y194" s="18">
        <f t="shared" ca="1" si="86"/>
        <v>7.0000000000000007E-2</v>
      </c>
      <c r="Z194" s="18">
        <f t="shared" ca="1" si="59"/>
        <v>0.74</v>
      </c>
      <c r="AA194" s="18">
        <f t="shared" ca="1" si="59"/>
        <v>0.39</v>
      </c>
      <c r="AB194" s="18">
        <f t="shared" ca="1" si="60"/>
        <v>2.39</v>
      </c>
      <c r="AC194" s="18">
        <f t="shared" ca="1" si="61"/>
        <v>0.35564853556485354</v>
      </c>
      <c r="AD194" s="18">
        <f t="shared" ca="1" si="62"/>
        <v>0.14225941422594143</v>
      </c>
      <c r="AE194" s="18">
        <f t="shared" ca="1" si="63"/>
        <v>2.9288702928870293E-2</v>
      </c>
      <c r="AF194" s="18">
        <f t="shared" ca="1" si="64"/>
        <v>0.30962343096234307</v>
      </c>
      <c r="AG194" s="18">
        <f t="shared" ca="1" si="65"/>
        <v>0.16317991631799164</v>
      </c>
      <c r="AH194" s="18">
        <f t="shared" ca="1" si="66"/>
        <v>1</v>
      </c>
      <c r="AI194" s="18" cm="1">
        <f t="array" aca="1" ref="AI194" ca="1">MMULT(MMULT(AC194:AG194,$Q$2:$U$6),TRANSPOSE(AC194:AG194))</f>
        <v>2.5121359090572232E-4</v>
      </c>
      <c r="AJ194" s="18">
        <f t="shared" ca="1" si="67"/>
        <v>3.2650701776002007E-3</v>
      </c>
      <c r="AK194" s="18">
        <f t="shared" ca="1" si="68"/>
        <v>0.17993597190855104</v>
      </c>
      <c r="AL194" s="18">
        <f t="shared" ca="1" si="69"/>
        <v>3.2650701776002007E-3</v>
      </c>
      <c r="AM194" s="18">
        <f t="shared" ca="1" si="70"/>
        <v>2.5121359090572232E-4</v>
      </c>
      <c r="AN194" s="18">
        <f t="shared" ca="1" si="71"/>
        <v>0.35564853556485354</v>
      </c>
      <c r="AO194" s="18">
        <f t="shared" ca="1" si="72"/>
        <v>0.14225941422594143</v>
      </c>
      <c r="AP194" s="18">
        <f t="shared" ca="1" si="73"/>
        <v>2.9288702928870293E-2</v>
      </c>
      <c r="AQ194" s="18">
        <f t="shared" ca="1" si="74"/>
        <v>0.30962343096234307</v>
      </c>
      <c r="AR194" s="18">
        <f t="shared" ca="1" si="75"/>
        <v>0.16317991631799164</v>
      </c>
    </row>
    <row r="195" spans="1:44">
      <c r="A195" s="20">
        <v>28.9</v>
      </c>
      <c r="B195" s="20">
        <v>23</v>
      </c>
      <c r="C195" s="20">
        <v>345.6</v>
      </c>
      <c r="D195" s="21">
        <v>34</v>
      </c>
      <c r="E195" s="20">
        <v>83.6</v>
      </c>
      <c r="F195" s="18">
        <f t="shared" si="76"/>
        <v>3.4662079764861075E-3</v>
      </c>
      <c r="G195" s="18">
        <f t="shared" si="77"/>
        <v>-4.3384015985982417E-3</v>
      </c>
      <c r="H195" s="18">
        <f t="shared" si="78"/>
        <v>-3.1778157610770617E-3</v>
      </c>
      <c r="I195" s="18">
        <f t="shared" si="79"/>
        <v>-3.1840605855658774E-2</v>
      </c>
      <c r="J195" s="18">
        <f t="shared" si="80"/>
        <v>1.5672412407631692E-2</v>
      </c>
      <c r="K195" s="18">
        <f t="shared" si="81"/>
        <v>3.0530723832657685E-3</v>
      </c>
      <c r="L195" s="18">
        <f t="shared" si="82"/>
        <v>-4.7515371918185802E-3</v>
      </c>
      <c r="M195" s="18">
        <f t="shared" si="83"/>
        <v>-3.5909513542974007E-3</v>
      </c>
      <c r="N195" s="18">
        <f t="shared" si="84"/>
        <v>-3.225374144887911E-2</v>
      </c>
      <c r="O195" s="18">
        <f t="shared" si="85"/>
        <v>1.5259276814411353E-2</v>
      </c>
      <c r="W195" s="18">
        <f t="shared" ca="1" si="86"/>
        <v>0.52</v>
      </c>
      <c r="X195" s="18">
        <f t="shared" ca="1" si="86"/>
        <v>0.38</v>
      </c>
      <c r="Y195" s="18">
        <f t="shared" ca="1" si="86"/>
        <v>0.55000000000000004</v>
      </c>
      <c r="Z195" s="18">
        <f t="shared" ca="1" si="86"/>
        <v>0.16</v>
      </c>
      <c r="AA195" s="18">
        <f t="shared" ca="1" si="86"/>
        <v>0.7</v>
      </c>
      <c r="AB195" s="18">
        <f t="shared" ref="AB195:AB235" ca="1" si="87">SUM(W195:AA195)</f>
        <v>2.31</v>
      </c>
      <c r="AC195" s="18">
        <f t="shared" ref="AC195:AC235" ca="1" si="88">W195/$AB195</f>
        <v>0.22510822510822512</v>
      </c>
      <c r="AD195" s="18">
        <f t="shared" ref="AD195:AD235" ca="1" si="89">X195/$AB195</f>
        <v>0.16450216450216451</v>
      </c>
      <c r="AE195" s="18">
        <f t="shared" ref="AE195:AE235" ca="1" si="90">Y195/$AB195</f>
        <v>0.23809523809523811</v>
      </c>
      <c r="AF195" s="18">
        <f t="shared" ref="AF195:AF235" ca="1" si="91">Z195/$AB195</f>
        <v>6.9264069264069264E-2</v>
      </c>
      <c r="AG195" s="18">
        <f t="shared" ref="AG195:AG235" ca="1" si="92">AA195/$AB195</f>
        <v>0.30303030303030298</v>
      </c>
      <c r="AH195" s="18">
        <f t="shared" ref="AH195:AH235" ca="1" si="93">SUM(AC195:AG195)</f>
        <v>1</v>
      </c>
      <c r="AI195" s="18" cm="1">
        <f t="array" aca="1" ref="AI195" ca="1">MMULT(MMULT(AC195:AG195,$Q$2:$U$6),TRANSPOSE(AC195:AG195))</f>
        <v>2.0757185085812439E-4</v>
      </c>
      <c r="AJ195" s="18">
        <f t="shared" ref="AJ195:AJ235" ca="1" si="94">SUMPRODUCT(AC195:AG195,$F$235:$J$235)</f>
        <v>-3.397023051328542E-3</v>
      </c>
      <c r="AK195" s="18">
        <f t="shared" ref="AK195:AK235" ca="1" si="95">(AJ195-$K$2)/SQRT(AI195)</f>
        <v>-0.26445929141999625</v>
      </c>
      <c r="AL195" s="18">
        <f t="shared" ref="AL195:AL235" ca="1" si="96">AJ195</f>
        <v>-3.397023051328542E-3</v>
      </c>
      <c r="AM195" s="18">
        <f t="shared" ref="AM195:AM235" ca="1" si="97">AI195</f>
        <v>2.0757185085812439E-4</v>
      </c>
      <c r="AN195" s="18">
        <f t="shared" ref="AN195:AN235" ca="1" si="98">AC195</f>
        <v>0.22510822510822512</v>
      </c>
      <c r="AO195" s="18">
        <f t="shared" ref="AO195:AO235" ca="1" si="99">AD195</f>
        <v>0.16450216450216451</v>
      </c>
      <c r="AP195" s="18">
        <f t="shared" ref="AP195:AP235" ca="1" si="100">AE195</f>
        <v>0.23809523809523811</v>
      </c>
      <c r="AQ195" s="18">
        <f t="shared" ref="AQ195:AQ235" ca="1" si="101">AF195</f>
        <v>6.9264069264069264E-2</v>
      </c>
      <c r="AR195" s="18">
        <f t="shared" ref="AR195:AR235" ca="1" si="102">AG195</f>
        <v>0.30303030303030298</v>
      </c>
    </row>
    <row r="196" spans="1:44">
      <c r="A196" s="20">
        <v>28.9</v>
      </c>
      <c r="B196" s="20">
        <v>23</v>
      </c>
      <c r="C196" s="20">
        <v>345.8</v>
      </c>
      <c r="D196" s="21">
        <v>34.299999999999997</v>
      </c>
      <c r="E196" s="20">
        <v>83.7</v>
      </c>
      <c r="F196" s="18">
        <f t="shared" ref="F196:F235" si="103">LN(A196/A195)</f>
        <v>0</v>
      </c>
      <c r="G196" s="18">
        <f t="shared" ref="G196:G235" si="104">LN(B196/B195)</f>
        <v>0</v>
      </c>
      <c r="H196" s="18">
        <f t="shared" ref="H196:H235" si="105">LN(C196/C195)</f>
        <v>5.7853631928958689E-4</v>
      </c>
      <c r="I196" s="18">
        <f t="shared" ref="I196:I235" si="106">LN(D196/D195)</f>
        <v>8.7848295557328114E-3</v>
      </c>
      <c r="J196" s="18">
        <f t="shared" ref="J196:J235" si="107">LN(E196/E195)</f>
        <v>1.1954574047737313E-3</v>
      </c>
      <c r="K196" s="18">
        <f t="shared" ref="K196:K236" si="108">F196-$K$2</f>
        <v>-4.1313559322033898E-4</v>
      </c>
      <c r="L196" s="18">
        <f t="shared" ref="L196:L235" si="109">G196-$L$2</f>
        <v>-4.1313559322033898E-4</v>
      </c>
      <c r="M196" s="18">
        <f t="shared" ref="M196:M235" si="110">H196-$M$2</f>
        <v>1.6540072606924792E-4</v>
      </c>
      <c r="N196" s="18">
        <f t="shared" ref="N196:N235" si="111">I196-$N$2</f>
        <v>8.371693962512472E-3</v>
      </c>
      <c r="O196" s="18">
        <f t="shared" ref="O196:O235" si="112">J196-$O$2</f>
        <v>7.823218115533923E-4</v>
      </c>
      <c r="W196" s="18">
        <f t="shared" ref="W196:AA235" ca="1" si="113">RANDBETWEEN(1,100)/100</f>
        <v>0.54</v>
      </c>
      <c r="X196" s="18">
        <f t="shared" ca="1" si="113"/>
        <v>0.42</v>
      </c>
      <c r="Y196" s="18">
        <f t="shared" ca="1" si="113"/>
        <v>0.88</v>
      </c>
      <c r="Z196" s="18">
        <f t="shared" ca="1" si="113"/>
        <v>0.91</v>
      </c>
      <c r="AA196" s="18">
        <f t="shared" ca="1" si="113"/>
        <v>0.09</v>
      </c>
      <c r="AB196" s="18">
        <f t="shared" ca="1" si="87"/>
        <v>2.84</v>
      </c>
      <c r="AC196" s="18">
        <f t="shared" ca="1" si="88"/>
        <v>0.19014084507042256</v>
      </c>
      <c r="AD196" s="18">
        <f t="shared" ca="1" si="89"/>
        <v>0.14788732394366197</v>
      </c>
      <c r="AE196" s="18">
        <f t="shared" ca="1" si="90"/>
        <v>0.3098591549295775</v>
      </c>
      <c r="AF196" s="18">
        <f t="shared" ca="1" si="91"/>
        <v>0.32042253521126762</v>
      </c>
      <c r="AG196" s="18">
        <f t="shared" ca="1" si="92"/>
        <v>3.1690140845070422E-2</v>
      </c>
      <c r="AH196" s="18">
        <f t="shared" ca="1" si="93"/>
        <v>1</v>
      </c>
      <c r="AI196" s="18" cm="1">
        <f t="array" aca="1" ref="AI196" ca="1">MMULT(MMULT(AC196:AG196,$Q$2:$U$6),TRANSPOSE(AC196:AG196))</f>
        <v>2.2168090841474022E-4</v>
      </c>
      <c r="AJ196" s="18">
        <f t="shared" ca="1" si="94"/>
        <v>-3.0444039138349862E-3</v>
      </c>
      <c r="AK196" s="18">
        <f t="shared" ca="1" si="95"/>
        <v>-0.23222180959283908</v>
      </c>
      <c r="AL196" s="18">
        <f t="shared" ca="1" si="96"/>
        <v>-3.0444039138349862E-3</v>
      </c>
      <c r="AM196" s="18">
        <f t="shared" ca="1" si="97"/>
        <v>2.2168090841474022E-4</v>
      </c>
      <c r="AN196" s="18">
        <f t="shared" ca="1" si="98"/>
        <v>0.19014084507042256</v>
      </c>
      <c r="AO196" s="18">
        <f t="shared" ca="1" si="99"/>
        <v>0.14788732394366197</v>
      </c>
      <c r="AP196" s="18">
        <f t="shared" ca="1" si="100"/>
        <v>0.3098591549295775</v>
      </c>
      <c r="AQ196" s="18">
        <f t="shared" ca="1" si="101"/>
        <v>0.32042253521126762</v>
      </c>
      <c r="AR196" s="18">
        <f t="shared" ca="1" si="102"/>
        <v>3.1690140845070422E-2</v>
      </c>
    </row>
    <row r="197" spans="1:44">
      <c r="A197" s="20">
        <v>28.9</v>
      </c>
      <c r="B197" s="20">
        <v>23.2</v>
      </c>
      <c r="C197" s="20">
        <v>339</v>
      </c>
      <c r="D197" s="21">
        <v>33.4</v>
      </c>
      <c r="E197" s="20">
        <v>82.2</v>
      </c>
      <c r="F197" s="18">
        <f t="shared" si="103"/>
        <v>0</v>
      </c>
      <c r="G197" s="18">
        <f t="shared" si="104"/>
        <v>8.6580627431145311E-3</v>
      </c>
      <c r="H197" s="18">
        <f t="shared" si="105"/>
        <v>-1.9860465868739928E-2</v>
      </c>
      <c r="I197" s="18">
        <f t="shared" si="106"/>
        <v>-2.6589454189239498E-2</v>
      </c>
      <c r="J197" s="18">
        <f t="shared" si="107"/>
        <v>-1.8083675433295351E-2</v>
      </c>
      <c r="K197" s="18">
        <f t="shared" si="108"/>
        <v>-4.1313559322033898E-4</v>
      </c>
      <c r="L197" s="18">
        <f t="shared" si="109"/>
        <v>8.2449271498941917E-3</v>
      </c>
      <c r="M197" s="18">
        <f t="shared" si="110"/>
        <v>-2.0273601461960267E-2</v>
      </c>
      <c r="N197" s="18">
        <f t="shared" si="111"/>
        <v>-2.7002589782459837E-2</v>
      </c>
      <c r="O197" s="18">
        <f t="shared" si="112"/>
        <v>-1.8496811026515691E-2</v>
      </c>
      <c r="W197" s="18">
        <f t="shared" ca="1" si="113"/>
        <v>0.28999999999999998</v>
      </c>
      <c r="X197" s="18">
        <f t="shared" ca="1" si="113"/>
        <v>0.65</v>
      </c>
      <c r="Y197" s="18">
        <f t="shared" ca="1" si="113"/>
        <v>0.21</v>
      </c>
      <c r="Z197" s="18">
        <f t="shared" ca="1" si="113"/>
        <v>0.76</v>
      </c>
      <c r="AA197" s="18">
        <f t="shared" ca="1" si="113"/>
        <v>0.62</v>
      </c>
      <c r="AB197" s="18">
        <f t="shared" ca="1" si="87"/>
        <v>2.5299999999999998</v>
      </c>
      <c r="AC197" s="18">
        <f t="shared" ca="1" si="88"/>
        <v>0.11462450592885376</v>
      </c>
      <c r="AD197" s="18">
        <f t="shared" ca="1" si="89"/>
        <v>0.25691699604743085</v>
      </c>
      <c r="AE197" s="18">
        <f t="shared" ca="1" si="90"/>
        <v>8.3003952569169967E-2</v>
      </c>
      <c r="AF197" s="18">
        <f t="shared" ca="1" si="91"/>
        <v>0.30039525691699609</v>
      </c>
      <c r="AG197" s="18">
        <f t="shared" ca="1" si="92"/>
        <v>0.24505928853754944</v>
      </c>
      <c r="AH197" s="18">
        <f t="shared" ca="1" si="93"/>
        <v>1</v>
      </c>
      <c r="AI197" s="18" cm="1">
        <f t="array" aca="1" ref="AI197" ca="1">MMULT(MMULT(AC197:AG197,$Q$2:$U$6),TRANSPOSE(AC197:AG197))</f>
        <v>2.6453653190542151E-4</v>
      </c>
      <c r="AJ197" s="18">
        <f t="shared" ca="1" si="94"/>
        <v>-7.9372850075938735E-4</v>
      </c>
      <c r="AK197" s="18">
        <f t="shared" ca="1" si="95"/>
        <v>-7.4201987628517554E-2</v>
      </c>
      <c r="AL197" s="18">
        <f t="shared" ca="1" si="96"/>
        <v>-7.9372850075938735E-4</v>
      </c>
      <c r="AM197" s="18">
        <f t="shared" ca="1" si="97"/>
        <v>2.6453653190542151E-4</v>
      </c>
      <c r="AN197" s="18">
        <f t="shared" ca="1" si="98"/>
        <v>0.11462450592885376</v>
      </c>
      <c r="AO197" s="18">
        <f t="shared" ca="1" si="99"/>
        <v>0.25691699604743085</v>
      </c>
      <c r="AP197" s="18">
        <f t="shared" ca="1" si="100"/>
        <v>8.3003952569169967E-2</v>
      </c>
      <c r="AQ197" s="18">
        <f t="shared" ca="1" si="101"/>
        <v>0.30039525691699609</v>
      </c>
      <c r="AR197" s="18">
        <f t="shared" ca="1" si="102"/>
        <v>0.24505928853754944</v>
      </c>
    </row>
    <row r="198" spans="1:44">
      <c r="A198" s="20">
        <v>29</v>
      </c>
      <c r="B198" s="20">
        <v>23.1</v>
      </c>
      <c r="C198" s="20">
        <v>341.3</v>
      </c>
      <c r="D198" s="21">
        <v>33.700000000000003</v>
      </c>
      <c r="E198" s="20">
        <v>82.9</v>
      </c>
      <c r="F198" s="18">
        <f t="shared" si="103"/>
        <v>3.4542348680876036E-3</v>
      </c>
      <c r="G198" s="18">
        <f t="shared" si="104"/>
        <v>-4.3196611445162842E-3</v>
      </c>
      <c r="H198" s="18">
        <f t="shared" si="105"/>
        <v>6.7617485322111594E-3</v>
      </c>
      <c r="I198" s="18">
        <f t="shared" si="106"/>
        <v>8.941937375661433E-3</v>
      </c>
      <c r="J198" s="18">
        <f t="shared" si="107"/>
        <v>8.4797600791149935E-3</v>
      </c>
      <c r="K198" s="18">
        <f t="shared" si="108"/>
        <v>3.0410992748672646E-3</v>
      </c>
      <c r="L198" s="18">
        <f t="shared" si="109"/>
        <v>-4.7327967377366227E-3</v>
      </c>
      <c r="M198" s="18">
        <f t="shared" si="110"/>
        <v>6.3486129389908209E-3</v>
      </c>
      <c r="N198" s="18">
        <f t="shared" si="111"/>
        <v>8.5288017824410936E-3</v>
      </c>
      <c r="O198" s="18">
        <f t="shared" si="112"/>
        <v>8.066624485894654E-3</v>
      </c>
      <c r="W198" s="18">
        <f t="shared" ca="1" si="113"/>
        <v>0.54</v>
      </c>
      <c r="X198" s="18">
        <f t="shared" ca="1" si="113"/>
        <v>0.62</v>
      </c>
      <c r="Y198" s="18">
        <f t="shared" ca="1" si="113"/>
        <v>0.46</v>
      </c>
      <c r="Z198" s="18">
        <f t="shared" ca="1" si="113"/>
        <v>0.17</v>
      </c>
      <c r="AA198" s="18">
        <f t="shared" ca="1" si="113"/>
        <v>0.52</v>
      </c>
      <c r="AB198" s="18">
        <f t="shared" ca="1" si="87"/>
        <v>2.31</v>
      </c>
      <c r="AC198" s="18">
        <f t="shared" ca="1" si="88"/>
        <v>0.23376623376623379</v>
      </c>
      <c r="AD198" s="18">
        <f t="shared" ca="1" si="89"/>
        <v>0.26839826839826841</v>
      </c>
      <c r="AE198" s="18">
        <f t="shared" ca="1" si="90"/>
        <v>0.19913419913419914</v>
      </c>
      <c r="AF198" s="18">
        <f t="shared" ca="1" si="91"/>
        <v>7.3593073593073599E-2</v>
      </c>
      <c r="AG198" s="18">
        <f t="shared" ca="1" si="92"/>
        <v>0.22510822510822512</v>
      </c>
      <c r="AH198" s="18">
        <f t="shared" ca="1" si="93"/>
        <v>1</v>
      </c>
      <c r="AI198" s="18" cm="1">
        <f t="array" aca="1" ref="AI198" ca="1">MMULT(MMULT(AC198:AG198,$Q$2:$U$6),TRANSPOSE(AC198:AG198))</f>
        <v>1.7102918074525712E-4</v>
      </c>
      <c r="AJ198" s="18">
        <f t="shared" ca="1" si="94"/>
        <v>-4.2112132790567483E-3</v>
      </c>
      <c r="AK198" s="18">
        <f t="shared" ca="1" si="95"/>
        <v>-0.35360262729698183</v>
      </c>
      <c r="AL198" s="18">
        <f t="shared" ca="1" si="96"/>
        <v>-4.2112132790567483E-3</v>
      </c>
      <c r="AM198" s="18">
        <f t="shared" ca="1" si="97"/>
        <v>1.7102918074525712E-4</v>
      </c>
      <c r="AN198" s="18">
        <f t="shared" ca="1" si="98"/>
        <v>0.23376623376623379</v>
      </c>
      <c r="AO198" s="18">
        <f t="shared" ca="1" si="99"/>
        <v>0.26839826839826841</v>
      </c>
      <c r="AP198" s="18">
        <f t="shared" ca="1" si="100"/>
        <v>0.19913419913419914</v>
      </c>
      <c r="AQ198" s="18">
        <f t="shared" ca="1" si="101"/>
        <v>7.3593073593073599E-2</v>
      </c>
      <c r="AR198" s="18">
        <f t="shared" ca="1" si="102"/>
        <v>0.22510822510822512</v>
      </c>
    </row>
    <row r="199" spans="1:44">
      <c r="A199" s="20">
        <v>29.3</v>
      </c>
      <c r="B199" s="20">
        <v>23.1</v>
      </c>
      <c r="C199" s="20">
        <v>344.7</v>
      </c>
      <c r="D199" s="21">
        <v>33.799999999999997</v>
      </c>
      <c r="E199" s="20">
        <v>83.8</v>
      </c>
      <c r="F199" s="18">
        <f t="shared" si="103"/>
        <v>1.0291686036547724E-2</v>
      </c>
      <c r="G199" s="18">
        <f t="shared" si="104"/>
        <v>0</v>
      </c>
      <c r="H199" s="18">
        <f t="shared" si="105"/>
        <v>9.9126176101582194E-3</v>
      </c>
      <c r="I199" s="18">
        <f t="shared" si="106"/>
        <v>2.9629651306568271E-3</v>
      </c>
      <c r="J199" s="18">
        <f t="shared" si="107"/>
        <v>1.0797945346787911E-2</v>
      </c>
      <c r="K199" s="18">
        <f t="shared" si="108"/>
        <v>9.878550443327385E-3</v>
      </c>
      <c r="L199" s="18">
        <f t="shared" si="109"/>
        <v>-4.1313559322033898E-4</v>
      </c>
      <c r="M199" s="18">
        <f t="shared" si="110"/>
        <v>9.49948201693788E-3</v>
      </c>
      <c r="N199" s="18">
        <f t="shared" si="111"/>
        <v>2.5498295374364881E-3</v>
      </c>
      <c r="O199" s="18">
        <f t="shared" si="112"/>
        <v>1.0384809753567571E-2</v>
      </c>
      <c r="W199" s="18">
        <f t="shared" ca="1" si="113"/>
        <v>0.06</v>
      </c>
      <c r="X199" s="18">
        <f t="shared" ca="1" si="113"/>
        <v>0.15</v>
      </c>
      <c r="Y199" s="18">
        <f t="shared" ca="1" si="113"/>
        <v>0.04</v>
      </c>
      <c r="Z199" s="18">
        <f t="shared" ca="1" si="113"/>
        <v>0.28999999999999998</v>
      </c>
      <c r="AA199" s="18">
        <f t="shared" ca="1" si="113"/>
        <v>0.63</v>
      </c>
      <c r="AB199" s="18">
        <f t="shared" ca="1" si="87"/>
        <v>1.17</v>
      </c>
      <c r="AC199" s="18">
        <f t="shared" ca="1" si="88"/>
        <v>5.128205128205128E-2</v>
      </c>
      <c r="AD199" s="18">
        <f t="shared" ca="1" si="89"/>
        <v>0.12820512820512822</v>
      </c>
      <c r="AE199" s="18">
        <f t="shared" ca="1" si="90"/>
        <v>3.4188034188034191E-2</v>
      </c>
      <c r="AF199" s="18">
        <f t="shared" ca="1" si="91"/>
        <v>0.24786324786324787</v>
      </c>
      <c r="AG199" s="18">
        <f t="shared" ca="1" si="92"/>
        <v>0.53846153846153855</v>
      </c>
      <c r="AH199" s="18">
        <f t="shared" ca="1" si="93"/>
        <v>1</v>
      </c>
      <c r="AI199" s="18" cm="1">
        <f t="array" aca="1" ref="AI199" ca="1">MMULT(MMULT(AC199:AG199,$Q$2:$U$6),TRANSPOSE(AC199:AG199))</f>
        <v>4.8915355531870507E-4</v>
      </c>
      <c r="AJ199" s="18">
        <f t="shared" ca="1" si="94"/>
        <v>1.5691585543907394E-3</v>
      </c>
      <c r="AK199" s="18">
        <f t="shared" ca="1" si="95"/>
        <v>5.2268959277834176E-2</v>
      </c>
      <c r="AL199" s="18">
        <f t="shared" ca="1" si="96"/>
        <v>1.5691585543907394E-3</v>
      </c>
      <c r="AM199" s="18">
        <f t="shared" ca="1" si="97"/>
        <v>4.8915355531870507E-4</v>
      </c>
      <c r="AN199" s="18">
        <f t="shared" ca="1" si="98"/>
        <v>5.128205128205128E-2</v>
      </c>
      <c r="AO199" s="18">
        <f t="shared" ca="1" si="99"/>
        <v>0.12820512820512822</v>
      </c>
      <c r="AP199" s="18">
        <f t="shared" ca="1" si="100"/>
        <v>3.4188034188034191E-2</v>
      </c>
      <c r="AQ199" s="18">
        <f t="shared" ca="1" si="101"/>
        <v>0.24786324786324787</v>
      </c>
      <c r="AR199" s="18">
        <f t="shared" ca="1" si="102"/>
        <v>0.53846153846153855</v>
      </c>
    </row>
    <row r="200" spans="1:44">
      <c r="A200" s="20">
        <v>29.4</v>
      </c>
      <c r="B200" s="20">
        <v>22.9</v>
      </c>
      <c r="C200" s="20">
        <v>346.7</v>
      </c>
      <c r="D200" s="21">
        <v>34.200000000000003</v>
      </c>
      <c r="E200" s="20">
        <v>82.5</v>
      </c>
      <c r="F200" s="18">
        <f t="shared" si="103"/>
        <v>3.4071583216141346E-3</v>
      </c>
      <c r="G200" s="18">
        <f t="shared" si="104"/>
        <v>-8.6957069675540448E-3</v>
      </c>
      <c r="H200" s="18">
        <f t="shared" si="105"/>
        <v>5.7853791681580641E-3</v>
      </c>
      <c r="I200" s="18">
        <f t="shared" si="106"/>
        <v>1.1764841579586431E-2</v>
      </c>
      <c r="J200" s="18">
        <f t="shared" si="107"/>
        <v>-1.5634714147401987E-2</v>
      </c>
      <c r="K200" s="18">
        <f t="shared" si="108"/>
        <v>2.9940227283937956E-3</v>
      </c>
      <c r="L200" s="18">
        <f t="shared" si="109"/>
        <v>-9.1088425607743842E-3</v>
      </c>
      <c r="M200" s="18">
        <f t="shared" si="110"/>
        <v>5.3722435749377247E-3</v>
      </c>
      <c r="N200" s="18">
        <f t="shared" si="111"/>
        <v>1.1351705986366091E-2</v>
      </c>
      <c r="O200" s="18">
        <f t="shared" si="112"/>
        <v>-1.6047849740622327E-2</v>
      </c>
      <c r="W200" s="18">
        <f t="shared" ca="1" si="113"/>
        <v>0.23</v>
      </c>
      <c r="X200" s="18">
        <f t="shared" ca="1" si="113"/>
        <v>0.06</v>
      </c>
      <c r="Y200" s="18">
        <f t="shared" ca="1" si="113"/>
        <v>0.25</v>
      </c>
      <c r="Z200" s="18">
        <f t="shared" ca="1" si="113"/>
        <v>0.02</v>
      </c>
      <c r="AA200" s="18">
        <f t="shared" ca="1" si="113"/>
        <v>0.42</v>
      </c>
      <c r="AB200" s="18">
        <f t="shared" ca="1" si="87"/>
        <v>0.98</v>
      </c>
      <c r="AC200" s="18">
        <f t="shared" ca="1" si="88"/>
        <v>0.23469387755102042</v>
      </c>
      <c r="AD200" s="18">
        <f t="shared" ca="1" si="89"/>
        <v>6.1224489795918366E-2</v>
      </c>
      <c r="AE200" s="18">
        <f t="shared" ca="1" si="90"/>
        <v>0.25510204081632654</v>
      </c>
      <c r="AF200" s="18">
        <f t="shared" ca="1" si="91"/>
        <v>2.0408163265306124E-2</v>
      </c>
      <c r="AG200" s="18">
        <f t="shared" ca="1" si="92"/>
        <v>0.42857142857142855</v>
      </c>
      <c r="AH200" s="18">
        <f t="shared" ca="1" si="93"/>
        <v>1</v>
      </c>
      <c r="AI200" s="18" cm="1">
        <f t="array" aca="1" ref="AI200" ca="1">MMULT(MMULT(AC200:AG200,$Q$2:$U$6),TRANSPOSE(AC200:AG200))</f>
        <v>3.0477012229629819E-4</v>
      </c>
      <c r="AJ200" s="18">
        <f t="shared" ca="1" si="94"/>
        <v>-2.3707316521412907E-3</v>
      </c>
      <c r="AK200" s="18">
        <f t="shared" ca="1" si="95"/>
        <v>-0.15946387984685129</v>
      </c>
      <c r="AL200" s="18">
        <f t="shared" ca="1" si="96"/>
        <v>-2.3707316521412907E-3</v>
      </c>
      <c r="AM200" s="18">
        <f t="shared" ca="1" si="97"/>
        <v>3.0477012229629819E-4</v>
      </c>
      <c r="AN200" s="18">
        <f t="shared" ca="1" si="98"/>
        <v>0.23469387755102042</v>
      </c>
      <c r="AO200" s="18">
        <f t="shared" ca="1" si="99"/>
        <v>6.1224489795918366E-2</v>
      </c>
      <c r="AP200" s="18">
        <f t="shared" ca="1" si="100"/>
        <v>0.25510204081632654</v>
      </c>
      <c r="AQ200" s="18">
        <f t="shared" ca="1" si="101"/>
        <v>2.0408163265306124E-2</v>
      </c>
      <c r="AR200" s="18">
        <f t="shared" ca="1" si="102"/>
        <v>0.42857142857142855</v>
      </c>
    </row>
    <row r="201" spans="1:44">
      <c r="A201" s="20">
        <v>29.7</v>
      </c>
      <c r="B201" s="20">
        <v>22.8</v>
      </c>
      <c r="C201" s="20">
        <v>346.7</v>
      </c>
      <c r="D201" s="21">
        <v>34.1</v>
      </c>
      <c r="E201" s="20">
        <v>82.4</v>
      </c>
      <c r="F201" s="18">
        <f t="shared" si="103"/>
        <v>1.0152371464018128E-2</v>
      </c>
      <c r="G201" s="18">
        <f t="shared" si="104"/>
        <v>-4.3763745997987772E-3</v>
      </c>
      <c r="H201" s="18">
        <f t="shared" si="105"/>
        <v>0</v>
      </c>
      <c r="I201" s="18">
        <f t="shared" si="106"/>
        <v>-2.9282597790884456E-3</v>
      </c>
      <c r="J201" s="18">
        <f t="shared" si="107"/>
        <v>-1.2128564252091823E-3</v>
      </c>
      <c r="K201" s="18">
        <f t="shared" si="108"/>
        <v>9.7392358707977886E-3</v>
      </c>
      <c r="L201" s="18">
        <f t="shared" si="109"/>
        <v>-4.7895101930191166E-3</v>
      </c>
      <c r="M201" s="18">
        <f t="shared" si="110"/>
        <v>-4.1313559322033898E-4</v>
      </c>
      <c r="N201" s="18">
        <f t="shared" si="111"/>
        <v>-3.3413953723087845E-3</v>
      </c>
      <c r="O201" s="18">
        <f t="shared" si="112"/>
        <v>-1.6259920184295213E-3</v>
      </c>
      <c r="W201" s="18">
        <f t="shared" ca="1" si="113"/>
        <v>0.55000000000000004</v>
      </c>
      <c r="X201" s="18">
        <f t="shared" ca="1" si="113"/>
        <v>0.28999999999999998</v>
      </c>
      <c r="Y201" s="18">
        <f t="shared" ca="1" si="113"/>
        <v>0.97</v>
      </c>
      <c r="Z201" s="18">
        <f t="shared" ca="1" si="113"/>
        <v>0.14000000000000001</v>
      </c>
      <c r="AA201" s="18">
        <f t="shared" ca="1" si="113"/>
        <v>1</v>
      </c>
      <c r="AB201" s="18">
        <f t="shared" ca="1" si="87"/>
        <v>2.95</v>
      </c>
      <c r="AC201" s="18">
        <f t="shared" ca="1" si="88"/>
        <v>0.1864406779661017</v>
      </c>
      <c r="AD201" s="18">
        <f t="shared" ca="1" si="89"/>
        <v>9.8305084745762703E-2</v>
      </c>
      <c r="AE201" s="18">
        <f t="shared" ca="1" si="90"/>
        <v>0.32881355932203388</v>
      </c>
      <c r="AF201" s="18">
        <f t="shared" ca="1" si="91"/>
        <v>4.7457627118644069E-2</v>
      </c>
      <c r="AG201" s="18">
        <f t="shared" ca="1" si="92"/>
        <v>0.33898305084745761</v>
      </c>
      <c r="AH201" s="18">
        <f t="shared" ca="1" si="93"/>
        <v>1</v>
      </c>
      <c r="AI201" s="18" cm="1">
        <f t="array" aca="1" ref="AI201" ca="1">MMULT(MMULT(AC201:AG201,$Q$2:$U$6),TRANSPOSE(AC201:AG201))</f>
        <v>2.2685749378927505E-4</v>
      </c>
      <c r="AJ201" s="18">
        <f t="shared" ca="1" si="94"/>
        <v>-4.4555311064316486E-3</v>
      </c>
      <c r="AK201" s="18">
        <f t="shared" ca="1" si="95"/>
        <v>-0.3232462382952706</v>
      </c>
      <c r="AL201" s="18">
        <f t="shared" ca="1" si="96"/>
        <v>-4.4555311064316486E-3</v>
      </c>
      <c r="AM201" s="18">
        <f t="shared" ca="1" si="97"/>
        <v>2.2685749378927505E-4</v>
      </c>
      <c r="AN201" s="18">
        <f t="shared" ca="1" si="98"/>
        <v>0.1864406779661017</v>
      </c>
      <c r="AO201" s="18">
        <f t="shared" ca="1" si="99"/>
        <v>9.8305084745762703E-2</v>
      </c>
      <c r="AP201" s="18">
        <f t="shared" ca="1" si="100"/>
        <v>0.32881355932203388</v>
      </c>
      <c r="AQ201" s="18">
        <f t="shared" ca="1" si="101"/>
        <v>4.7457627118644069E-2</v>
      </c>
      <c r="AR201" s="18">
        <f t="shared" ca="1" si="102"/>
        <v>0.33898305084745761</v>
      </c>
    </row>
    <row r="202" spans="1:44">
      <c r="A202" s="20">
        <v>29.6</v>
      </c>
      <c r="B202" s="20">
        <v>22.8</v>
      </c>
      <c r="C202" s="20">
        <v>348.7</v>
      </c>
      <c r="D202" s="21">
        <v>33.799999999999997</v>
      </c>
      <c r="E202" s="20">
        <v>80.099999999999994</v>
      </c>
      <c r="F202" s="18">
        <f t="shared" si="103"/>
        <v>-3.3726844786391187E-3</v>
      </c>
      <c r="G202" s="18">
        <f t="shared" si="104"/>
        <v>0</v>
      </c>
      <c r="H202" s="18">
        <f t="shared" si="105"/>
        <v>5.7521009906276906E-3</v>
      </c>
      <c r="I202" s="18">
        <f t="shared" si="106"/>
        <v>-8.8365818004981118E-3</v>
      </c>
      <c r="J202" s="18">
        <f t="shared" si="107"/>
        <v>-2.8309582841112638E-2</v>
      </c>
      <c r="K202" s="18">
        <f t="shared" si="108"/>
        <v>-3.7858200718594577E-3</v>
      </c>
      <c r="L202" s="18">
        <f t="shared" si="109"/>
        <v>-4.1313559322033898E-4</v>
      </c>
      <c r="M202" s="18">
        <f t="shared" si="110"/>
        <v>5.3389653974073512E-3</v>
      </c>
      <c r="N202" s="18">
        <f t="shared" si="111"/>
        <v>-9.2497173937184513E-3</v>
      </c>
      <c r="O202" s="18">
        <f t="shared" si="112"/>
        <v>-2.8722718434332977E-2</v>
      </c>
      <c r="W202" s="18">
        <f t="shared" ca="1" si="113"/>
        <v>0.6</v>
      </c>
      <c r="X202" s="18">
        <f t="shared" ca="1" si="113"/>
        <v>0.5</v>
      </c>
      <c r="Y202" s="18">
        <f t="shared" ca="1" si="113"/>
        <v>0.34</v>
      </c>
      <c r="Z202" s="18">
        <f t="shared" ca="1" si="113"/>
        <v>0.69</v>
      </c>
      <c r="AA202" s="18">
        <f t="shared" ca="1" si="113"/>
        <v>0.78</v>
      </c>
      <c r="AB202" s="18">
        <f t="shared" ca="1" si="87"/>
        <v>2.91</v>
      </c>
      <c r="AC202" s="18">
        <f t="shared" ca="1" si="88"/>
        <v>0.20618556701030927</v>
      </c>
      <c r="AD202" s="18">
        <f t="shared" ca="1" si="89"/>
        <v>0.1718213058419244</v>
      </c>
      <c r="AE202" s="18">
        <f t="shared" ca="1" si="90"/>
        <v>0.11683848797250859</v>
      </c>
      <c r="AF202" s="18">
        <f t="shared" ca="1" si="91"/>
        <v>0.23711340206185563</v>
      </c>
      <c r="AG202" s="18">
        <f t="shared" ca="1" si="92"/>
        <v>0.26804123711340205</v>
      </c>
      <c r="AH202" s="18">
        <f t="shared" ca="1" si="93"/>
        <v>1</v>
      </c>
      <c r="AI202" s="18" cm="1">
        <f t="array" aca="1" ref="AI202" ca="1">MMULT(MMULT(AC202:AG202,$Q$2:$U$6),TRANSPOSE(AC202:AG202))</f>
        <v>2.4223654658154115E-4</v>
      </c>
      <c r="AJ202" s="18">
        <f t="shared" ca="1" si="94"/>
        <v>-1.0229922598441134E-4</v>
      </c>
      <c r="AK202" s="18">
        <f t="shared" ca="1" si="95"/>
        <v>-3.3117223569832356E-2</v>
      </c>
      <c r="AL202" s="18">
        <f t="shared" ca="1" si="96"/>
        <v>-1.0229922598441134E-4</v>
      </c>
      <c r="AM202" s="18">
        <f t="shared" ca="1" si="97"/>
        <v>2.4223654658154115E-4</v>
      </c>
      <c r="AN202" s="18">
        <f t="shared" ca="1" si="98"/>
        <v>0.20618556701030927</v>
      </c>
      <c r="AO202" s="18">
        <f t="shared" ca="1" si="99"/>
        <v>0.1718213058419244</v>
      </c>
      <c r="AP202" s="18">
        <f t="shared" ca="1" si="100"/>
        <v>0.11683848797250859</v>
      </c>
      <c r="AQ202" s="18">
        <f t="shared" ca="1" si="101"/>
        <v>0.23711340206185563</v>
      </c>
      <c r="AR202" s="18">
        <f t="shared" ca="1" si="102"/>
        <v>0.26804123711340205</v>
      </c>
    </row>
    <row r="203" spans="1:44">
      <c r="A203" s="20">
        <v>29</v>
      </c>
      <c r="B203" s="20">
        <v>22.8</v>
      </c>
      <c r="C203" s="20">
        <v>346.8</v>
      </c>
      <c r="D203" s="21">
        <v>34.4</v>
      </c>
      <c r="E203" s="20">
        <v>81.2</v>
      </c>
      <c r="F203" s="18">
        <f t="shared" si="103"/>
        <v>-2.0478531343540676E-2</v>
      </c>
      <c r="G203" s="18">
        <f t="shared" si="104"/>
        <v>0</v>
      </c>
      <c r="H203" s="18">
        <f t="shared" si="105"/>
        <v>-5.4637087752186031E-3</v>
      </c>
      <c r="I203" s="18">
        <f t="shared" si="106"/>
        <v>1.759576189037966E-2</v>
      </c>
      <c r="J203" s="18">
        <f t="shared" si="107"/>
        <v>1.3639393093318764E-2</v>
      </c>
      <c r="K203" s="18">
        <f t="shared" si="108"/>
        <v>-2.0891666936761016E-2</v>
      </c>
      <c r="L203" s="18">
        <f t="shared" si="109"/>
        <v>-4.1313559322033898E-4</v>
      </c>
      <c r="M203" s="18">
        <f t="shared" si="110"/>
        <v>-5.8768443684389417E-3</v>
      </c>
      <c r="N203" s="18">
        <f t="shared" si="111"/>
        <v>1.7182626297159321E-2</v>
      </c>
      <c r="O203" s="18">
        <f t="shared" si="112"/>
        <v>1.3226257500098424E-2</v>
      </c>
      <c r="W203" s="18">
        <f t="shared" ca="1" si="113"/>
        <v>0.64</v>
      </c>
      <c r="X203" s="18">
        <f t="shared" ca="1" si="113"/>
        <v>0.52</v>
      </c>
      <c r="Y203" s="18">
        <f t="shared" ca="1" si="113"/>
        <v>0.11</v>
      </c>
      <c r="Z203" s="18">
        <f t="shared" ca="1" si="113"/>
        <v>0.82</v>
      </c>
      <c r="AA203" s="18">
        <f t="shared" ca="1" si="113"/>
        <v>0.83</v>
      </c>
      <c r="AB203" s="18">
        <f t="shared" ca="1" si="87"/>
        <v>2.9200000000000004</v>
      </c>
      <c r="AC203" s="18">
        <f t="shared" ca="1" si="88"/>
        <v>0.21917808219178081</v>
      </c>
      <c r="AD203" s="18">
        <f t="shared" ca="1" si="89"/>
        <v>0.17808219178082191</v>
      </c>
      <c r="AE203" s="18">
        <f t="shared" ca="1" si="90"/>
        <v>3.7671232876712327E-2</v>
      </c>
      <c r="AF203" s="18">
        <f t="shared" ca="1" si="91"/>
        <v>0.28082191780821913</v>
      </c>
      <c r="AG203" s="18">
        <f t="shared" ca="1" si="92"/>
        <v>0.28424657534246572</v>
      </c>
      <c r="AH203" s="18">
        <f t="shared" ca="1" si="93"/>
        <v>0.99999999999999978</v>
      </c>
      <c r="AI203" s="18" cm="1">
        <f t="array" aca="1" ref="AI203" ca="1">MMULT(MMULT(AC203:AG203,$Q$2:$U$6),TRANSPOSE(AC203:AG203))</f>
        <v>2.7953589984832793E-4</v>
      </c>
      <c r="AJ203" s="18">
        <f t="shared" ca="1" si="94"/>
        <v>1.7065517151490625E-3</v>
      </c>
      <c r="AK203" s="18">
        <f t="shared" ca="1" si="95"/>
        <v>7.7360536789687739E-2</v>
      </c>
      <c r="AL203" s="18">
        <f t="shared" ca="1" si="96"/>
        <v>1.7065517151490625E-3</v>
      </c>
      <c r="AM203" s="18">
        <f t="shared" ca="1" si="97"/>
        <v>2.7953589984832793E-4</v>
      </c>
      <c r="AN203" s="18">
        <f t="shared" ca="1" si="98"/>
        <v>0.21917808219178081</v>
      </c>
      <c r="AO203" s="18">
        <f t="shared" ca="1" si="99"/>
        <v>0.17808219178082191</v>
      </c>
      <c r="AP203" s="18">
        <f t="shared" ca="1" si="100"/>
        <v>3.7671232876712327E-2</v>
      </c>
      <c r="AQ203" s="18">
        <f t="shared" ca="1" si="101"/>
        <v>0.28082191780821913</v>
      </c>
      <c r="AR203" s="18">
        <f t="shared" ca="1" si="102"/>
        <v>0.28424657534246572</v>
      </c>
    </row>
    <row r="204" spans="1:44">
      <c r="A204" s="20">
        <v>28.7</v>
      </c>
      <c r="B204" s="20">
        <v>22.7</v>
      </c>
      <c r="C204" s="20">
        <v>346.9</v>
      </c>
      <c r="D204" s="21">
        <v>34.5</v>
      </c>
      <c r="E204" s="20">
        <v>80</v>
      </c>
      <c r="F204" s="18">
        <f t="shared" si="103"/>
        <v>-1.0398707220898622E-2</v>
      </c>
      <c r="G204" s="18">
        <f t="shared" si="104"/>
        <v>-4.3956114730381093E-3</v>
      </c>
      <c r="H204" s="18">
        <f t="shared" si="105"/>
        <v>2.8830906931722486E-4</v>
      </c>
      <c r="I204" s="18">
        <f t="shared" si="106"/>
        <v>2.9027596579614102E-3</v>
      </c>
      <c r="J204" s="18">
        <f t="shared" si="107"/>
        <v>-1.4888612493750637E-2</v>
      </c>
      <c r="K204" s="18">
        <f t="shared" si="108"/>
        <v>-1.0811842814118962E-2</v>
      </c>
      <c r="L204" s="18">
        <f t="shared" si="109"/>
        <v>-4.8087470662584487E-3</v>
      </c>
      <c r="M204" s="18">
        <f t="shared" si="110"/>
        <v>-1.2482652390311412E-4</v>
      </c>
      <c r="N204" s="18">
        <f t="shared" si="111"/>
        <v>2.4896240647410712E-3</v>
      </c>
      <c r="O204" s="18">
        <f t="shared" si="112"/>
        <v>-1.5301748086970976E-2</v>
      </c>
      <c r="W204" s="18">
        <f t="shared" ca="1" si="113"/>
        <v>0.28999999999999998</v>
      </c>
      <c r="X204" s="18">
        <f t="shared" ca="1" si="113"/>
        <v>0.42</v>
      </c>
      <c r="Y204" s="18">
        <f t="shared" ca="1" si="113"/>
        <v>0.08</v>
      </c>
      <c r="Z204" s="18">
        <f t="shared" ca="1" si="113"/>
        <v>0.44</v>
      </c>
      <c r="AA204" s="18">
        <f t="shared" ca="1" si="113"/>
        <v>0.61</v>
      </c>
      <c r="AB204" s="18">
        <f t="shared" ca="1" si="87"/>
        <v>1.8399999999999999</v>
      </c>
      <c r="AC204" s="18">
        <f t="shared" ca="1" si="88"/>
        <v>0.15760869565217392</v>
      </c>
      <c r="AD204" s="18">
        <f t="shared" ca="1" si="89"/>
        <v>0.22826086956521741</v>
      </c>
      <c r="AE204" s="18">
        <f t="shared" ca="1" si="90"/>
        <v>4.3478260869565223E-2</v>
      </c>
      <c r="AF204" s="18">
        <f t="shared" ca="1" si="91"/>
        <v>0.2391304347826087</v>
      </c>
      <c r="AG204" s="18">
        <f t="shared" ca="1" si="92"/>
        <v>0.33152173913043481</v>
      </c>
      <c r="AH204" s="18">
        <f t="shared" ca="1" si="93"/>
        <v>1</v>
      </c>
      <c r="AI204" s="18" cm="1">
        <f t="array" aca="1" ref="AI204" ca="1">MMULT(MMULT(AC204:AG204,$Q$2:$U$6),TRANSPOSE(AC204:AG204))</f>
        <v>2.8858137839904321E-4</v>
      </c>
      <c r="AJ204" s="18">
        <f t="shared" ca="1" si="94"/>
        <v>2.332047905231144E-4</v>
      </c>
      <c r="AK204" s="18">
        <f t="shared" ca="1" si="95"/>
        <v>-1.0591838877317274E-2</v>
      </c>
      <c r="AL204" s="18">
        <f t="shared" ca="1" si="96"/>
        <v>2.332047905231144E-4</v>
      </c>
      <c r="AM204" s="18">
        <f t="shared" ca="1" si="97"/>
        <v>2.8858137839904321E-4</v>
      </c>
      <c r="AN204" s="18">
        <f t="shared" ca="1" si="98"/>
        <v>0.15760869565217392</v>
      </c>
      <c r="AO204" s="18">
        <f t="shared" ca="1" si="99"/>
        <v>0.22826086956521741</v>
      </c>
      <c r="AP204" s="18">
        <f t="shared" ca="1" si="100"/>
        <v>4.3478260869565223E-2</v>
      </c>
      <c r="AQ204" s="18">
        <f t="shared" ca="1" si="101"/>
        <v>0.2391304347826087</v>
      </c>
      <c r="AR204" s="18">
        <f t="shared" ca="1" si="102"/>
        <v>0.33152173913043481</v>
      </c>
    </row>
    <row r="205" spans="1:44">
      <c r="A205" s="20">
        <v>28.6</v>
      </c>
      <c r="B205" s="20">
        <v>22.7</v>
      </c>
      <c r="C205" s="20">
        <v>349.3</v>
      </c>
      <c r="D205" s="21">
        <v>33.299999999999997</v>
      </c>
      <c r="E205" s="20">
        <v>81</v>
      </c>
      <c r="F205" s="18">
        <f t="shared" si="103"/>
        <v>-3.4904049397684908E-3</v>
      </c>
      <c r="G205" s="18">
        <f t="shared" si="104"/>
        <v>0</v>
      </c>
      <c r="H205" s="18">
        <f t="shared" si="105"/>
        <v>6.8945978370822877E-3</v>
      </c>
      <c r="I205" s="18">
        <f t="shared" si="106"/>
        <v>-3.540192705091607E-2</v>
      </c>
      <c r="J205" s="18">
        <f t="shared" si="107"/>
        <v>1.242251999855711E-2</v>
      </c>
      <c r="K205" s="18">
        <f t="shared" si="108"/>
        <v>-3.9035405329888298E-3</v>
      </c>
      <c r="L205" s="18">
        <f t="shared" si="109"/>
        <v>-4.1313559322033898E-4</v>
      </c>
      <c r="M205" s="18">
        <f t="shared" si="110"/>
        <v>6.4814622438619483E-3</v>
      </c>
      <c r="N205" s="18">
        <f t="shared" si="111"/>
        <v>-3.5815062644136406E-2</v>
      </c>
      <c r="O205" s="18">
        <f t="shared" si="112"/>
        <v>1.2009384405336771E-2</v>
      </c>
      <c r="W205" s="18">
        <f t="shared" ca="1" si="113"/>
        <v>0.81</v>
      </c>
      <c r="X205" s="18">
        <f t="shared" ca="1" si="113"/>
        <v>0.85</v>
      </c>
      <c r="Y205" s="18">
        <f t="shared" ca="1" si="113"/>
        <v>0.11</v>
      </c>
      <c r="Z205" s="18">
        <f t="shared" ca="1" si="113"/>
        <v>0.74</v>
      </c>
      <c r="AA205" s="18">
        <f t="shared" ca="1" si="113"/>
        <v>1</v>
      </c>
      <c r="AB205" s="18">
        <f t="shared" ca="1" si="87"/>
        <v>3.5100000000000002</v>
      </c>
      <c r="AC205" s="18">
        <f t="shared" ca="1" si="88"/>
        <v>0.23076923076923078</v>
      </c>
      <c r="AD205" s="18">
        <f t="shared" ca="1" si="89"/>
        <v>0.24216524216524216</v>
      </c>
      <c r="AE205" s="18">
        <f t="shared" ca="1" si="90"/>
        <v>3.1339031339031334E-2</v>
      </c>
      <c r="AF205" s="18">
        <f t="shared" ca="1" si="91"/>
        <v>0.21082621082621081</v>
      </c>
      <c r="AG205" s="18">
        <f t="shared" ca="1" si="92"/>
        <v>0.28490028490028491</v>
      </c>
      <c r="AH205" s="18">
        <f t="shared" ca="1" si="93"/>
        <v>1</v>
      </c>
      <c r="AI205" s="18" cm="1">
        <f t="array" aca="1" ref="AI205" ca="1">MMULT(MMULT(AC205:AG205,$Q$2:$U$6),TRANSPOSE(AC205:AG205))</f>
        <v>2.50627493767457E-4</v>
      </c>
      <c r="AJ205" s="18">
        <f t="shared" ca="1" si="94"/>
        <v>4.0361199189800406E-4</v>
      </c>
      <c r="AK205" s="18">
        <f t="shared" ca="1" si="95"/>
        <v>-6.0157094322590553E-4</v>
      </c>
      <c r="AL205" s="18">
        <f t="shared" ca="1" si="96"/>
        <v>4.0361199189800406E-4</v>
      </c>
      <c r="AM205" s="18">
        <f t="shared" ca="1" si="97"/>
        <v>2.50627493767457E-4</v>
      </c>
      <c r="AN205" s="18">
        <f t="shared" ca="1" si="98"/>
        <v>0.23076923076923078</v>
      </c>
      <c r="AO205" s="18">
        <f t="shared" ca="1" si="99"/>
        <v>0.24216524216524216</v>
      </c>
      <c r="AP205" s="18">
        <f t="shared" ca="1" si="100"/>
        <v>3.1339031339031334E-2</v>
      </c>
      <c r="AQ205" s="18">
        <f t="shared" ca="1" si="101"/>
        <v>0.21082621082621081</v>
      </c>
      <c r="AR205" s="18">
        <f t="shared" ca="1" si="102"/>
        <v>0.28490028490028491</v>
      </c>
    </row>
    <row r="206" spans="1:44">
      <c r="A206" s="20">
        <v>28.9</v>
      </c>
      <c r="B206" s="20">
        <v>22.8</v>
      </c>
      <c r="C206" s="20">
        <v>350.9</v>
      </c>
      <c r="D206" s="21">
        <v>32.700000000000003</v>
      </c>
      <c r="E206" s="20">
        <v>79.3</v>
      </c>
      <c r="F206" s="18">
        <f t="shared" si="103"/>
        <v>1.0434877292579494E-2</v>
      </c>
      <c r="G206" s="18">
        <f t="shared" si="104"/>
        <v>4.3956114730381293E-3</v>
      </c>
      <c r="H206" s="18">
        <f t="shared" si="105"/>
        <v>4.5701307763830546E-3</v>
      </c>
      <c r="I206" s="18">
        <f t="shared" si="106"/>
        <v>-1.8182319083190249E-2</v>
      </c>
      <c r="J206" s="18">
        <f t="shared" si="107"/>
        <v>-2.1211026031636514E-2</v>
      </c>
      <c r="K206" s="18">
        <f t="shared" si="108"/>
        <v>1.0021741699359155E-2</v>
      </c>
      <c r="L206" s="18">
        <f t="shared" si="109"/>
        <v>3.9824758798177907E-3</v>
      </c>
      <c r="M206" s="18">
        <f t="shared" si="110"/>
        <v>4.156995183162716E-3</v>
      </c>
      <c r="N206" s="18">
        <f t="shared" si="111"/>
        <v>-1.8595454676410588E-2</v>
      </c>
      <c r="O206" s="18">
        <f t="shared" si="112"/>
        <v>-2.1624161624856853E-2</v>
      </c>
      <c r="W206" s="18">
        <f t="shared" ca="1" si="113"/>
        <v>0.2</v>
      </c>
      <c r="X206" s="18">
        <f t="shared" ca="1" si="113"/>
        <v>0.49</v>
      </c>
      <c r="Y206" s="18">
        <f t="shared" ca="1" si="113"/>
        <v>0.6</v>
      </c>
      <c r="Z206" s="18">
        <f t="shared" ca="1" si="113"/>
        <v>0.66</v>
      </c>
      <c r="AA206" s="18">
        <f t="shared" ca="1" si="113"/>
        <v>0.03</v>
      </c>
      <c r="AB206" s="18">
        <f t="shared" ca="1" si="87"/>
        <v>1.9800000000000002</v>
      </c>
      <c r="AC206" s="18">
        <f t="shared" ca="1" si="88"/>
        <v>0.10101010101010101</v>
      </c>
      <c r="AD206" s="18">
        <f t="shared" ca="1" si="89"/>
        <v>0.24747474747474746</v>
      </c>
      <c r="AE206" s="18">
        <f t="shared" ca="1" si="90"/>
        <v>0.30303030303030298</v>
      </c>
      <c r="AF206" s="18">
        <f t="shared" ca="1" si="91"/>
        <v>0.33333333333333331</v>
      </c>
      <c r="AG206" s="18">
        <f t="shared" ca="1" si="92"/>
        <v>1.515151515151515E-2</v>
      </c>
      <c r="AH206" s="18">
        <f t="shared" ca="1" si="93"/>
        <v>0.99999999999999978</v>
      </c>
      <c r="AI206" s="18" cm="1">
        <f t="array" aca="1" ref="AI206" ca="1">MMULT(MMULT(AC206:AG206,$Q$2:$U$6),TRANSPOSE(AC206:AG206))</f>
        <v>2.3221593530587642E-4</v>
      </c>
      <c r="AJ206" s="18">
        <f t="shared" ca="1" si="94"/>
        <v>-4.8199830508431568E-3</v>
      </c>
      <c r="AK206" s="18">
        <f t="shared" ca="1" si="95"/>
        <v>-0.34341129211539523</v>
      </c>
      <c r="AL206" s="18">
        <f t="shared" ca="1" si="96"/>
        <v>-4.8199830508431568E-3</v>
      </c>
      <c r="AM206" s="18">
        <f t="shared" ca="1" si="97"/>
        <v>2.3221593530587642E-4</v>
      </c>
      <c r="AN206" s="18">
        <f t="shared" ca="1" si="98"/>
        <v>0.10101010101010101</v>
      </c>
      <c r="AO206" s="18">
        <f t="shared" ca="1" si="99"/>
        <v>0.24747474747474746</v>
      </c>
      <c r="AP206" s="18">
        <f t="shared" ca="1" si="100"/>
        <v>0.30303030303030298</v>
      </c>
      <c r="AQ206" s="18">
        <f t="shared" ca="1" si="101"/>
        <v>0.33333333333333331</v>
      </c>
      <c r="AR206" s="18">
        <f t="shared" ca="1" si="102"/>
        <v>1.515151515151515E-2</v>
      </c>
    </row>
    <row r="207" spans="1:44">
      <c r="A207" s="20">
        <v>28.7</v>
      </c>
      <c r="B207" s="20">
        <v>22.9</v>
      </c>
      <c r="C207" s="20">
        <v>350.1</v>
      </c>
      <c r="D207" s="21">
        <v>33.700000000000003</v>
      </c>
      <c r="E207" s="20">
        <v>80.5</v>
      </c>
      <c r="F207" s="18">
        <f t="shared" si="103"/>
        <v>-6.9444723528110461E-3</v>
      </c>
      <c r="G207" s="18">
        <f t="shared" si="104"/>
        <v>4.3763745997987815E-3</v>
      </c>
      <c r="H207" s="18">
        <f t="shared" si="105"/>
        <v>-2.2824546285492592E-3</v>
      </c>
      <c r="I207" s="18">
        <f t="shared" si="106"/>
        <v>3.0122759455108297E-2</v>
      </c>
      <c r="J207" s="18">
        <f t="shared" si="107"/>
        <v>1.5019055783715369E-2</v>
      </c>
      <c r="K207" s="18">
        <f t="shared" si="108"/>
        <v>-7.3576079460313856E-3</v>
      </c>
      <c r="L207" s="18">
        <f t="shared" si="109"/>
        <v>3.963239006578443E-3</v>
      </c>
      <c r="M207" s="18">
        <f t="shared" si="110"/>
        <v>-2.6955902217695982E-3</v>
      </c>
      <c r="N207" s="18">
        <f t="shared" si="111"/>
        <v>2.9709623861887958E-2</v>
      </c>
      <c r="O207" s="18">
        <f t="shared" si="112"/>
        <v>1.4605920190495029E-2</v>
      </c>
      <c r="W207" s="18">
        <f t="shared" ca="1" si="113"/>
        <v>0.11</v>
      </c>
      <c r="X207" s="18">
        <f t="shared" ca="1" si="113"/>
        <v>0.11</v>
      </c>
      <c r="Y207" s="18">
        <f t="shared" ca="1" si="113"/>
        <v>0.21</v>
      </c>
      <c r="Z207" s="18">
        <f t="shared" ca="1" si="113"/>
        <v>0.68</v>
      </c>
      <c r="AA207" s="18">
        <f t="shared" ca="1" si="113"/>
        <v>0.53</v>
      </c>
      <c r="AB207" s="18">
        <f t="shared" ca="1" si="87"/>
        <v>1.6400000000000001</v>
      </c>
      <c r="AC207" s="18">
        <f t="shared" ca="1" si="88"/>
        <v>6.7073170731707307E-2</v>
      </c>
      <c r="AD207" s="18">
        <f t="shared" ca="1" si="89"/>
        <v>6.7073170731707307E-2</v>
      </c>
      <c r="AE207" s="18">
        <f t="shared" ca="1" si="90"/>
        <v>0.12804878048780485</v>
      </c>
      <c r="AF207" s="18">
        <f t="shared" ca="1" si="91"/>
        <v>0.41463414634146339</v>
      </c>
      <c r="AG207" s="18">
        <f t="shared" ca="1" si="92"/>
        <v>0.32317073170731708</v>
      </c>
      <c r="AH207" s="18">
        <f t="shared" ca="1" si="93"/>
        <v>1</v>
      </c>
      <c r="AI207" s="18" cm="1">
        <f t="array" aca="1" ref="AI207" ca="1">MMULT(MMULT(AC207:AG207,$Q$2:$U$6),TRANSPOSE(AC207:AG207))</f>
        <v>3.7830562988501058E-4</v>
      </c>
      <c r="AJ207" s="18">
        <f t="shared" ca="1" si="94"/>
        <v>1.8705050933580424E-3</v>
      </c>
      <c r="AK207" s="18">
        <f t="shared" ca="1" si="95"/>
        <v>7.4928713182685125E-2</v>
      </c>
      <c r="AL207" s="18">
        <f t="shared" ca="1" si="96"/>
        <v>1.8705050933580424E-3</v>
      </c>
      <c r="AM207" s="18">
        <f t="shared" ca="1" si="97"/>
        <v>3.7830562988501058E-4</v>
      </c>
      <c r="AN207" s="18">
        <f t="shared" ca="1" si="98"/>
        <v>6.7073170731707307E-2</v>
      </c>
      <c r="AO207" s="18">
        <f t="shared" ca="1" si="99"/>
        <v>6.7073170731707307E-2</v>
      </c>
      <c r="AP207" s="18">
        <f t="shared" ca="1" si="100"/>
        <v>0.12804878048780485</v>
      </c>
      <c r="AQ207" s="18">
        <f t="shared" ca="1" si="101"/>
        <v>0.41463414634146339</v>
      </c>
      <c r="AR207" s="18">
        <f t="shared" ca="1" si="102"/>
        <v>0.32317073170731708</v>
      </c>
    </row>
    <row r="208" spans="1:44">
      <c r="A208" s="20">
        <v>28.2</v>
      </c>
      <c r="B208" s="20">
        <v>22.9</v>
      </c>
      <c r="C208" s="20">
        <v>353.3</v>
      </c>
      <c r="D208" s="21">
        <v>31.9</v>
      </c>
      <c r="E208" s="20">
        <v>80.400000000000006</v>
      </c>
      <c r="F208" s="18">
        <f t="shared" si="103"/>
        <v>-1.7575144821507488E-2</v>
      </c>
      <c r="G208" s="18">
        <f t="shared" si="104"/>
        <v>0</v>
      </c>
      <c r="H208" s="18">
        <f t="shared" si="105"/>
        <v>9.0987264044795086E-3</v>
      </c>
      <c r="I208" s="18">
        <f t="shared" si="106"/>
        <v>-5.4891827567517225E-2</v>
      </c>
      <c r="J208" s="18">
        <f t="shared" si="107"/>
        <v>-1.243008239596914E-3</v>
      </c>
      <c r="K208" s="18">
        <f t="shared" si="108"/>
        <v>-1.7988280414727827E-2</v>
      </c>
      <c r="L208" s="18">
        <f t="shared" si="109"/>
        <v>-4.1313559322033898E-4</v>
      </c>
      <c r="M208" s="18">
        <f t="shared" si="110"/>
        <v>8.6855908112591692E-3</v>
      </c>
      <c r="N208" s="18">
        <f t="shared" si="111"/>
        <v>-5.5304963160737561E-2</v>
      </c>
      <c r="O208" s="18">
        <f t="shared" si="112"/>
        <v>-1.656143832817253E-3</v>
      </c>
      <c r="W208" s="18">
        <f t="shared" ca="1" si="113"/>
        <v>0.46</v>
      </c>
      <c r="X208" s="18">
        <f t="shared" ca="1" si="113"/>
        <v>0.45</v>
      </c>
      <c r="Y208" s="18">
        <f t="shared" ca="1" si="113"/>
        <v>0.45</v>
      </c>
      <c r="Z208" s="18">
        <f t="shared" ca="1" si="113"/>
        <v>0.86</v>
      </c>
      <c r="AA208" s="18">
        <f t="shared" ca="1" si="113"/>
        <v>0.7</v>
      </c>
      <c r="AB208" s="18">
        <f t="shared" ca="1" si="87"/>
        <v>2.92</v>
      </c>
      <c r="AC208" s="18">
        <f t="shared" ca="1" si="88"/>
        <v>0.15753424657534248</v>
      </c>
      <c r="AD208" s="18">
        <f t="shared" ca="1" si="89"/>
        <v>0.1541095890410959</v>
      </c>
      <c r="AE208" s="18">
        <f t="shared" ca="1" si="90"/>
        <v>0.1541095890410959</v>
      </c>
      <c r="AF208" s="18">
        <f t="shared" ca="1" si="91"/>
        <v>0.29452054794520549</v>
      </c>
      <c r="AG208" s="18">
        <f t="shared" ca="1" si="92"/>
        <v>0.23972602739726026</v>
      </c>
      <c r="AH208" s="18">
        <f t="shared" ca="1" si="93"/>
        <v>1</v>
      </c>
      <c r="AI208" s="18" cm="1">
        <f t="array" aca="1" ref="AI208" ca="1">MMULT(MMULT(AC208:AG208,$Q$2:$U$6),TRANSPOSE(AC208:AG208))</f>
        <v>2.5234843855069077E-4</v>
      </c>
      <c r="AJ208" s="18">
        <f t="shared" ca="1" si="94"/>
        <v>-4.0033807437120253E-4</v>
      </c>
      <c r="AK208" s="18">
        <f t="shared" ca="1" si="95"/>
        <v>-5.1208633674739934E-2</v>
      </c>
      <c r="AL208" s="18">
        <f t="shared" ca="1" si="96"/>
        <v>-4.0033807437120253E-4</v>
      </c>
      <c r="AM208" s="18">
        <f t="shared" ca="1" si="97"/>
        <v>2.5234843855069077E-4</v>
      </c>
      <c r="AN208" s="18">
        <f t="shared" ca="1" si="98"/>
        <v>0.15753424657534248</v>
      </c>
      <c r="AO208" s="18">
        <f t="shared" ca="1" si="99"/>
        <v>0.1541095890410959</v>
      </c>
      <c r="AP208" s="18">
        <f t="shared" ca="1" si="100"/>
        <v>0.1541095890410959</v>
      </c>
      <c r="AQ208" s="18">
        <f t="shared" ca="1" si="101"/>
        <v>0.29452054794520549</v>
      </c>
      <c r="AR208" s="18">
        <f t="shared" ca="1" si="102"/>
        <v>0.23972602739726026</v>
      </c>
    </row>
    <row r="209" spans="1:44">
      <c r="A209" s="20">
        <v>28.2</v>
      </c>
      <c r="B209" s="20">
        <v>22.9</v>
      </c>
      <c r="C209" s="20">
        <v>349.6</v>
      </c>
      <c r="D209" s="21">
        <v>31.3</v>
      </c>
      <c r="E209" s="20">
        <v>77.099999999999994</v>
      </c>
      <c r="F209" s="18">
        <f t="shared" si="103"/>
        <v>0</v>
      </c>
      <c r="G209" s="18">
        <f t="shared" si="104"/>
        <v>0</v>
      </c>
      <c r="H209" s="18">
        <f t="shared" si="105"/>
        <v>-1.0527910583719078E-2</v>
      </c>
      <c r="I209" s="18">
        <f t="shared" si="106"/>
        <v>-1.8987912244691343E-2</v>
      </c>
      <c r="J209" s="18">
        <f t="shared" si="107"/>
        <v>-4.1910895615637059E-2</v>
      </c>
      <c r="K209" s="18">
        <f t="shared" si="108"/>
        <v>-4.1313559322033898E-4</v>
      </c>
      <c r="L209" s="18">
        <f t="shared" si="109"/>
        <v>-4.1313559322033898E-4</v>
      </c>
      <c r="M209" s="18">
        <f t="shared" si="110"/>
        <v>-1.0941046176939417E-2</v>
      </c>
      <c r="N209" s="18">
        <f t="shared" si="111"/>
        <v>-1.9401047837911682E-2</v>
      </c>
      <c r="O209" s="18">
        <f t="shared" si="112"/>
        <v>-4.2324031208857395E-2</v>
      </c>
      <c r="W209" s="18">
        <f t="shared" ca="1" si="113"/>
        <v>0.65</v>
      </c>
      <c r="X209" s="18">
        <f t="shared" ca="1" si="113"/>
        <v>0.49</v>
      </c>
      <c r="Y209" s="18">
        <f t="shared" ca="1" si="113"/>
        <v>0.94</v>
      </c>
      <c r="Z209" s="18">
        <f t="shared" ca="1" si="113"/>
        <v>0.21</v>
      </c>
      <c r="AA209" s="18">
        <f t="shared" ca="1" si="113"/>
        <v>0.63</v>
      </c>
      <c r="AB209" s="18">
        <f t="shared" ca="1" si="87"/>
        <v>2.92</v>
      </c>
      <c r="AC209" s="18">
        <f t="shared" ca="1" si="88"/>
        <v>0.2226027397260274</v>
      </c>
      <c r="AD209" s="18">
        <f t="shared" ca="1" si="89"/>
        <v>0.1678082191780822</v>
      </c>
      <c r="AE209" s="18">
        <f t="shared" ca="1" si="90"/>
        <v>0.32191780821917809</v>
      </c>
      <c r="AF209" s="18">
        <f t="shared" ca="1" si="91"/>
        <v>7.1917808219178078E-2</v>
      </c>
      <c r="AG209" s="18">
        <f t="shared" ca="1" si="92"/>
        <v>0.21575342465753425</v>
      </c>
      <c r="AH209" s="18">
        <f t="shared" ca="1" si="93"/>
        <v>0.99999999999999989</v>
      </c>
      <c r="AI209" s="18" cm="1">
        <f t="array" aca="1" ref="AI209" ca="1">MMULT(MMULT(AC209:AG209,$Q$2:$U$6),TRANSPOSE(AC209:AG209))</f>
        <v>1.5970727631349209E-4</v>
      </c>
      <c r="AJ209" s="18">
        <f t="shared" ca="1" si="94"/>
        <v>-5.0936175890963905E-3</v>
      </c>
      <c r="AK209" s="18">
        <f t="shared" ca="1" si="95"/>
        <v>-0.43574585022952256</v>
      </c>
      <c r="AL209" s="18">
        <f t="shared" ca="1" si="96"/>
        <v>-5.0936175890963905E-3</v>
      </c>
      <c r="AM209" s="18">
        <f t="shared" ca="1" si="97"/>
        <v>1.5970727631349209E-4</v>
      </c>
      <c r="AN209" s="18">
        <f t="shared" ca="1" si="98"/>
        <v>0.2226027397260274</v>
      </c>
      <c r="AO209" s="18">
        <f t="shared" ca="1" si="99"/>
        <v>0.1678082191780822</v>
      </c>
      <c r="AP209" s="18">
        <f t="shared" ca="1" si="100"/>
        <v>0.32191780821917809</v>
      </c>
      <c r="AQ209" s="18">
        <f t="shared" ca="1" si="101"/>
        <v>7.1917808219178078E-2</v>
      </c>
      <c r="AR209" s="18">
        <f t="shared" ca="1" si="102"/>
        <v>0.21575342465753425</v>
      </c>
    </row>
    <row r="210" spans="1:44">
      <c r="A210" s="20">
        <v>28.4</v>
      </c>
      <c r="B210" s="20">
        <v>23</v>
      </c>
      <c r="C210" s="20">
        <v>352.9</v>
      </c>
      <c r="D210" s="21">
        <v>31.7</v>
      </c>
      <c r="E210" s="20">
        <v>78.7</v>
      </c>
      <c r="F210" s="18">
        <f t="shared" si="103"/>
        <v>7.0671672230923528E-3</v>
      </c>
      <c r="G210" s="18">
        <f t="shared" si="104"/>
        <v>4.3573053689558473E-3</v>
      </c>
      <c r="H210" s="18">
        <f t="shared" si="105"/>
        <v>9.3950868998438613E-3</v>
      </c>
      <c r="I210" s="18">
        <f t="shared" si="106"/>
        <v>1.2698583337127343E-2</v>
      </c>
      <c r="J210" s="18">
        <f t="shared" si="107"/>
        <v>2.0539874854073884E-2</v>
      </c>
      <c r="K210" s="18">
        <f t="shared" si="108"/>
        <v>6.6540316298720134E-3</v>
      </c>
      <c r="L210" s="18">
        <f t="shared" si="109"/>
        <v>3.9441697757355079E-3</v>
      </c>
      <c r="M210" s="18">
        <f t="shared" si="110"/>
        <v>8.9819513066235219E-3</v>
      </c>
      <c r="N210" s="18">
        <f t="shared" si="111"/>
        <v>1.2285447743907003E-2</v>
      </c>
      <c r="O210" s="18">
        <f t="shared" si="112"/>
        <v>2.0126739260853545E-2</v>
      </c>
      <c r="W210" s="18">
        <f t="shared" ca="1" si="113"/>
        <v>0.5</v>
      </c>
      <c r="X210" s="18">
        <f t="shared" ca="1" si="113"/>
        <v>0.05</v>
      </c>
      <c r="Y210" s="18">
        <f t="shared" ca="1" si="113"/>
        <v>0.61</v>
      </c>
      <c r="Z210" s="18">
        <f t="shared" ca="1" si="113"/>
        <v>7.0000000000000007E-2</v>
      </c>
      <c r="AA210" s="18">
        <f t="shared" ca="1" si="113"/>
        <v>0.74</v>
      </c>
      <c r="AB210" s="18">
        <f t="shared" ca="1" si="87"/>
        <v>1.9700000000000002</v>
      </c>
      <c r="AC210" s="18">
        <f t="shared" ca="1" si="88"/>
        <v>0.25380710659898476</v>
      </c>
      <c r="AD210" s="18">
        <f t="shared" ca="1" si="89"/>
        <v>2.5380710659898477E-2</v>
      </c>
      <c r="AE210" s="18">
        <f t="shared" ca="1" si="90"/>
        <v>0.30964467005076141</v>
      </c>
      <c r="AF210" s="18">
        <f t="shared" ca="1" si="91"/>
        <v>3.553299492385787E-2</v>
      </c>
      <c r="AG210" s="18">
        <f t="shared" ca="1" si="92"/>
        <v>0.37563451776649742</v>
      </c>
      <c r="AH210" s="18">
        <f t="shared" ca="1" si="93"/>
        <v>1</v>
      </c>
      <c r="AI210" s="18" cm="1">
        <f t="array" aca="1" ref="AI210" ca="1">MMULT(MMULT(AC210:AG210,$Q$2:$U$6),TRANSPOSE(AC210:AG210))</f>
        <v>2.5929491954188125E-4</v>
      </c>
      <c r="AJ210" s="18">
        <f t="shared" ca="1" si="94"/>
        <v>-2.6861830995206187E-3</v>
      </c>
      <c r="AK210" s="18">
        <f t="shared" ca="1" si="95"/>
        <v>-0.19247274130568065</v>
      </c>
      <c r="AL210" s="18">
        <f t="shared" ca="1" si="96"/>
        <v>-2.6861830995206187E-3</v>
      </c>
      <c r="AM210" s="18">
        <f t="shared" ca="1" si="97"/>
        <v>2.5929491954188125E-4</v>
      </c>
      <c r="AN210" s="18">
        <f t="shared" ca="1" si="98"/>
        <v>0.25380710659898476</v>
      </c>
      <c r="AO210" s="18">
        <f t="shared" ca="1" si="99"/>
        <v>2.5380710659898477E-2</v>
      </c>
      <c r="AP210" s="18">
        <f t="shared" ca="1" si="100"/>
        <v>0.30964467005076141</v>
      </c>
      <c r="AQ210" s="18">
        <f t="shared" ca="1" si="101"/>
        <v>3.553299492385787E-2</v>
      </c>
      <c r="AR210" s="18">
        <f t="shared" ca="1" si="102"/>
        <v>0.37563451776649742</v>
      </c>
    </row>
    <row r="211" spans="1:44">
      <c r="A211" s="20">
        <v>28.4</v>
      </c>
      <c r="B211" s="20">
        <v>23.1</v>
      </c>
      <c r="C211" s="20">
        <v>352.9</v>
      </c>
      <c r="D211" s="21">
        <v>31.5</v>
      </c>
      <c r="E211" s="20">
        <v>78.2</v>
      </c>
      <c r="F211" s="18">
        <f t="shared" si="103"/>
        <v>0</v>
      </c>
      <c r="G211" s="18">
        <f t="shared" si="104"/>
        <v>4.3384015985981411E-3</v>
      </c>
      <c r="H211" s="18">
        <f t="shared" si="105"/>
        <v>0</v>
      </c>
      <c r="I211" s="18">
        <f t="shared" si="106"/>
        <v>-6.3291350516475123E-3</v>
      </c>
      <c r="J211" s="18">
        <f t="shared" si="107"/>
        <v>-6.3735078720921177E-3</v>
      </c>
      <c r="K211" s="18">
        <f t="shared" si="108"/>
        <v>-4.1313559322033898E-4</v>
      </c>
      <c r="L211" s="18">
        <f t="shared" si="109"/>
        <v>3.9252660053778025E-3</v>
      </c>
      <c r="M211" s="18">
        <f t="shared" si="110"/>
        <v>-4.1313559322033898E-4</v>
      </c>
      <c r="N211" s="18">
        <f t="shared" si="111"/>
        <v>-6.7422706448678517E-3</v>
      </c>
      <c r="O211" s="18">
        <f t="shared" si="112"/>
        <v>-6.7866434653124572E-3</v>
      </c>
      <c r="W211" s="18">
        <f t="shared" ca="1" si="113"/>
        <v>0.35</v>
      </c>
      <c r="X211" s="18">
        <f t="shared" ca="1" si="113"/>
        <v>0.57999999999999996</v>
      </c>
      <c r="Y211" s="18">
        <f t="shared" ca="1" si="113"/>
        <v>0.77</v>
      </c>
      <c r="Z211" s="18">
        <f t="shared" ca="1" si="113"/>
        <v>0.7</v>
      </c>
      <c r="AA211" s="18">
        <f t="shared" ca="1" si="113"/>
        <v>0.32</v>
      </c>
      <c r="AB211" s="18">
        <f t="shared" ca="1" si="87"/>
        <v>2.7199999999999998</v>
      </c>
      <c r="AC211" s="18">
        <f t="shared" ca="1" si="88"/>
        <v>0.12867647058823531</v>
      </c>
      <c r="AD211" s="18">
        <f t="shared" ca="1" si="89"/>
        <v>0.21323529411764705</v>
      </c>
      <c r="AE211" s="18">
        <f t="shared" ca="1" si="90"/>
        <v>0.2830882352941177</v>
      </c>
      <c r="AF211" s="18">
        <f t="shared" ca="1" si="91"/>
        <v>0.25735294117647062</v>
      </c>
      <c r="AG211" s="18">
        <f t="shared" ca="1" si="92"/>
        <v>0.11764705882352942</v>
      </c>
      <c r="AH211" s="18">
        <f t="shared" ca="1" si="93"/>
        <v>1</v>
      </c>
      <c r="AI211" s="18" cm="1">
        <f t="array" aca="1" ref="AI211" ca="1">MMULT(MMULT(AC211:AG211,$Q$2:$U$6),TRANSPOSE(AC211:AG211))</f>
        <v>1.9117003868560729E-4</v>
      </c>
      <c r="AJ211" s="18">
        <f t="shared" ca="1" si="94"/>
        <v>-4.258501761254958E-3</v>
      </c>
      <c r="AK211" s="18">
        <f t="shared" ca="1" si="95"/>
        <v>-0.33787745041408812</v>
      </c>
      <c r="AL211" s="18">
        <f t="shared" ca="1" si="96"/>
        <v>-4.258501761254958E-3</v>
      </c>
      <c r="AM211" s="18">
        <f t="shared" ca="1" si="97"/>
        <v>1.9117003868560729E-4</v>
      </c>
      <c r="AN211" s="18">
        <f t="shared" ca="1" si="98"/>
        <v>0.12867647058823531</v>
      </c>
      <c r="AO211" s="18">
        <f t="shared" ca="1" si="99"/>
        <v>0.21323529411764705</v>
      </c>
      <c r="AP211" s="18">
        <f t="shared" ca="1" si="100"/>
        <v>0.2830882352941177</v>
      </c>
      <c r="AQ211" s="18">
        <f t="shared" ca="1" si="101"/>
        <v>0.25735294117647062</v>
      </c>
      <c r="AR211" s="18">
        <f t="shared" ca="1" si="102"/>
        <v>0.11764705882352942</v>
      </c>
    </row>
    <row r="212" spans="1:44">
      <c r="A212" s="20">
        <v>28.4</v>
      </c>
      <c r="B212" s="20">
        <v>22.9</v>
      </c>
      <c r="C212" s="20">
        <v>353.6</v>
      </c>
      <c r="D212" s="21">
        <v>31.7</v>
      </c>
      <c r="E212" s="20">
        <v>80.599999999999994</v>
      </c>
      <c r="F212" s="18">
        <f t="shared" si="103"/>
        <v>0</v>
      </c>
      <c r="G212" s="18">
        <f t="shared" si="104"/>
        <v>-8.6957069675540448E-3</v>
      </c>
      <c r="H212" s="18">
        <f t="shared" si="105"/>
        <v>1.9816000822640342E-3</v>
      </c>
      <c r="I212" s="18">
        <f t="shared" si="106"/>
        <v>6.3291350516475296E-3</v>
      </c>
      <c r="J212" s="18">
        <f t="shared" si="107"/>
        <v>3.0229001961317076E-2</v>
      </c>
      <c r="K212" s="18">
        <f t="shared" si="108"/>
        <v>-4.1313559322033898E-4</v>
      </c>
      <c r="L212" s="18">
        <f t="shared" si="109"/>
        <v>-9.1088425607743842E-3</v>
      </c>
      <c r="M212" s="18">
        <f t="shared" si="110"/>
        <v>1.5684644890436952E-3</v>
      </c>
      <c r="N212" s="18">
        <f t="shared" si="111"/>
        <v>5.9159994584271902E-3</v>
      </c>
      <c r="O212" s="18">
        <f t="shared" si="112"/>
        <v>2.9815866368096737E-2</v>
      </c>
      <c r="W212" s="18">
        <f t="shared" ca="1" si="113"/>
        <v>0.43</v>
      </c>
      <c r="X212" s="18">
        <f t="shared" ca="1" si="113"/>
        <v>0.03</v>
      </c>
      <c r="Y212" s="18">
        <f t="shared" ca="1" si="113"/>
        <v>0.39</v>
      </c>
      <c r="Z212" s="18">
        <f t="shared" ca="1" si="113"/>
        <v>0.72</v>
      </c>
      <c r="AA212" s="18">
        <f t="shared" ca="1" si="113"/>
        <v>7.0000000000000007E-2</v>
      </c>
      <c r="AB212" s="18">
        <f t="shared" ca="1" si="87"/>
        <v>1.64</v>
      </c>
      <c r="AC212" s="18">
        <f t="shared" ca="1" si="88"/>
        <v>0.26219512195121952</v>
      </c>
      <c r="AD212" s="18">
        <f t="shared" ca="1" si="89"/>
        <v>1.8292682926829267E-2</v>
      </c>
      <c r="AE212" s="18">
        <f t="shared" ca="1" si="90"/>
        <v>0.2378048780487805</v>
      </c>
      <c r="AF212" s="18">
        <f t="shared" ca="1" si="91"/>
        <v>0.43902439024390244</v>
      </c>
      <c r="AG212" s="18">
        <f t="shared" ca="1" si="92"/>
        <v>4.2682926829268296E-2</v>
      </c>
      <c r="AH212" s="18">
        <f t="shared" ca="1" si="93"/>
        <v>1</v>
      </c>
      <c r="AI212" s="18" cm="1">
        <f t="array" aca="1" ref="AI212" ca="1">MMULT(MMULT(AC212:AG212,$Q$2:$U$6),TRANSPOSE(AC212:AG212))</f>
        <v>3.1447807585923001E-4</v>
      </c>
      <c r="AJ212" s="18">
        <f t="shared" ca="1" si="94"/>
        <v>1.5524378478860479E-3</v>
      </c>
      <c r="AK212" s="18">
        <f t="shared" ca="1" si="95"/>
        <v>6.4245656307992657E-2</v>
      </c>
      <c r="AL212" s="18">
        <f t="shared" ca="1" si="96"/>
        <v>1.5524378478860479E-3</v>
      </c>
      <c r="AM212" s="18">
        <f t="shared" ca="1" si="97"/>
        <v>3.1447807585923001E-4</v>
      </c>
      <c r="AN212" s="18">
        <f t="shared" ca="1" si="98"/>
        <v>0.26219512195121952</v>
      </c>
      <c r="AO212" s="18">
        <f t="shared" ca="1" si="99"/>
        <v>1.8292682926829267E-2</v>
      </c>
      <c r="AP212" s="18">
        <f t="shared" ca="1" si="100"/>
        <v>0.2378048780487805</v>
      </c>
      <c r="AQ212" s="18">
        <f t="shared" ca="1" si="101"/>
        <v>0.43902439024390244</v>
      </c>
      <c r="AR212" s="18">
        <f t="shared" ca="1" si="102"/>
        <v>4.2682926829268296E-2</v>
      </c>
    </row>
    <row r="213" spans="1:44">
      <c r="A213" s="20">
        <v>27.9</v>
      </c>
      <c r="B213" s="20">
        <v>22.9</v>
      </c>
      <c r="C213" s="20">
        <v>350.7</v>
      </c>
      <c r="D213" s="21">
        <v>32.700000000000003</v>
      </c>
      <c r="E213" s="20">
        <v>82.2</v>
      </c>
      <c r="F213" s="18">
        <f t="shared" si="103"/>
        <v>-1.7762456339840388E-2</v>
      </c>
      <c r="G213" s="18">
        <f t="shared" si="104"/>
        <v>0</v>
      </c>
      <c r="H213" s="18">
        <f t="shared" si="105"/>
        <v>-8.2351736173560328E-3</v>
      </c>
      <c r="I213" s="18">
        <f t="shared" si="106"/>
        <v>3.1058397019972803E-2</v>
      </c>
      <c r="J213" s="18">
        <f t="shared" si="107"/>
        <v>1.9656652549551807E-2</v>
      </c>
      <c r="K213" s="18">
        <f t="shared" si="108"/>
        <v>-1.8175591933060727E-2</v>
      </c>
      <c r="L213" s="18">
        <f t="shared" si="109"/>
        <v>-4.1313559322033898E-4</v>
      </c>
      <c r="M213" s="18">
        <f t="shared" si="110"/>
        <v>-8.6483092105763722E-3</v>
      </c>
      <c r="N213" s="18">
        <f t="shared" si="111"/>
        <v>3.0645261426752463E-2</v>
      </c>
      <c r="O213" s="18">
        <f t="shared" si="112"/>
        <v>1.9243516956331468E-2</v>
      </c>
      <c r="W213" s="18">
        <f t="shared" ca="1" si="113"/>
        <v>0.75</v>
      </c>
      <c r="X213" s="18">
        <f t="shared" ca="1" si="113"/>
        <v>0.78</v>
      </c>
      <c r="Y213" s="18">
        <f t="shared" ca="1" si="113"/>
        <v>0.31</v>
      </c>
      <c r="Z213" s="18">
        <f t="shared" ca="1" si="113"/>
        <v>0.15</v>
      </c>
      <c r="AA213" s="18">
        <f t="shared" ca="1" si="113"/>
        <v>0.5</v>
      </c>
      <c r="AB213" s="18">
        <f t="shared" ca="1" si="87"/>
        <v>2.4900000000000002</v>
      </c>
      <c r="AC213" s="18">
        <f t="shared" ca="1" si="88"/>
        <v>0.3012048192771084</v>
      </c>
      <c r="AD213" s="18">
        <f t="shared" ca="1" si="89"/>
        <v>0.31325301204819278</v>
      </c>
      <c r="AE213" s="18">
        <f t="shared" ca="1" si="90"/>
        <v>0.12449799196787148</v>
      </c>
      <c r="AF213" s="18">
        <f t="shared" ca="1" si="91"/>
        <v>6.0240963855421679E-2</v>
      </c>
      <c r="AG213" s="18">
        <f t="shared" ca="1" si="92"/>
        <v>0.20080321285140559</v>
      </c>
      <c r="AH213" s="18">
        <f t="shared" ca="1" si="93"/>
        <v>0.99999999999999989</v>
      </c>
      <c r="AI213" s="18" cm="1">
        <f t="array" aca="1" ref="AI213" ca="1">MMULT(MMULT(AC213:AG213,$Q$2:$U$6),TRANSPOSE(AC213:AG213))</f>
        <v>1.6819862686898889E-4</v>
      </c>
      <c r="AJ213" s="18">
        <f t="shared" ca="1" si="94"/>
        <v>-3.2296227043103016E-3</v>
      </c>
      <c r="AK213" s="18">
        <f t="shared" ca="1" si="95"/>
        <v>-0.28087891129410714</v>
      </c>
      <c r="AL213" s="18">
        <f t="shared" ca="1" si="96"/>
        <v>-3.2296227043103016E-3</v>
      </c>
      <c r="AM213" s="18">
        <f t="shared" ca="1" si="97"/>
        <v>1.6819862686898889E-4</v>
      </c>
      <c r="AN213" s="18">
        <f t="shared" ca="1" si="98"/>
        <v>0.3012048192771084</v>
      </c>
      <c r="AO213" s="18">
        <f t="shared" ca="1" si="99"/>
        <v>0.31325301204819278</v>
      </c>
      <c r="AP213" s="18">
        <f t="shared" ca="1" si="100"/>
        <v>0.12449799196787148</v>
      </c>
      <c r="AQ213" s="18">
        <f t="shared" ca="1" si="101"/>
        <v>6.0240963855421679E-2</v>
      </c>
      <c r="AR213" s="18">
        <f t="shared" ca="1" si="102"/>
        <v>0.20080321285140559</v>
      </c>
    </row>
    <row r="214" spans="1:44">
      <c r="A214" s="20">
        <v>28</v>
      </c>
      <c r="B214" s="20">
        <v>22.9</v>
      </c>
      <c r="C214" s="20">
        <v>344.9</v>
      </c>
      <c r="D214" s="21">
        <v>33.4</v>
      </c>
      <c r="E214" s="20">
        <v>82.4</v>
      </c>
      <c r="F214" s="18">
        <f t="shared" si="103"/>
        <v>3.5778213478841235E-3</v>
      </c>
      <c r="G214" s="18">
        <f t="shared" si="104"/>
        <v>0</v>
      </c>
      <c r="H214" s="18">
        <f t="shared" si="105"/>
        <v>-1.6676637203337272E-2</v>
      </c>
      <c r="I214" s="18">
        <f t="shared" si="106"/>
        <v>2.1180822079446826E-2</v>
      </c>
      <c r="J214" s="18">
        <f t="shared" si="107"/>
        <v>2.4301348532918907E-3</v>
      </c>
      <c r="K214" s="18">
        <f t="shared" si="108"/>
        <v>3.1646857546637846E-3</v>
      </c>
      <c r="L214" s="18">
        <f t="shared" si="109"/>
        <v>-4.1313559322033898E-4</v>
      </c>
      <c r="M214" s="18">
        <f t="shared" si="110"/>
        <v>-1.7089772796557611E-2</v>
      </c>
      <c r="N214" s="18">
        <f t="shared" si="111"/>
        <v>2.0767686486226487E-2</v>
      </c>
      <c r="O214" s="18">
        <f t="shared" si="112"/>
        <v>2.0169992600715518E-3</v>
      </c>
      <c r="W214" s="18">
        <f t="shared" ca="1" si="113"/>
        <v>0.77</v>
      </c>
      <c r="X214" s="18">
        <f t="shared" ca="1" si="113"/>
        <v>0.65</v>
      </c>
      <c r="Y214" s="18">
        <f t="shared" ca="1" si="113"/>
        <v>0.4</v>
      </c>
      <c r="Z214" s="18">
        <f t="shared" ca="1" si="113"/>
        <v>0.05</v>
      </c>
      <c r="AA214" s="18">
        <f t="shared" ca="1" si="113"/>
        <v>0.57999999999999996</v>
      </c>
      <c r="AB214" s="18">
        <f t="shared" ca="1" si="87"/>
        <v>2.4499999999999997</v>
      </c>
      <c r="AC214" s="18">
        <f t="shared" ca="1" si="88"/>
        <v>0.31428571428571433</v>
      </c>
      <c r="AD214" s="18">
        <f t="shared" ca="1" si="89"/>
        <v>0.26530612244897961</v>
      </c>
      <c r="AE214" s="18">
        <f t="shared" ca="1" si="90"/>
        <v>0.16326530612244899</v>
      </c>
      <c r="AF214" s="18">
        <f t="shared" ca="1" si="91"/>
        <v>2.0408163265306124E-2</v>
      </c>
      <c r="AG214" s="18">
        <f t="shared" ca="1" si="92"/>
        <v>0.23673469387755103</v>
      </c>
      <c r="AH214" s="18">
        <f t="shared" ca="1" si="93"/>
        <v>1</v>
      </c>
      <c r="AI214" s="18" cm="1">
        <f t="array" aca="1" ref="AI214" ca="1">MMULT(MMULT(AC214:AG214,$Q$2:$U$6),TRANSPOSE(AC214:AG214))</f>
        <v>1.7475475046089346E-4</v>
      </c>
      <c r="AJ214" s="18">
        <f t="shared" ca="1" si="94"/>
        <v>-3.4344090580139498E-3</v>
      </c>
      <c r="AK214" s="18">
        <f t="shared" ca="1" si="95"/>
        <v>-0.29105105204637238</v>
      </c>
      <c r="AL214" s="18">
        <f t="shared" ca="1" si="96"/>
        <v>-3.4344090580139498E-3</v>
      </c>
      <c r="AM214" s="18">
        <f t="shared" ca="1" si="97"/>
        <v>1.7475475046089346E-4</v>
      </c>
      <c r="AN214" s="18">
        <f t="shared" ca="1" si="98"/>
        <v>0.31428571428571433</v>
      </c>
      <c r="AO214" s="18">
        <f t="shared" ca="1" si="99"/>
        <v>0.26530612244897961</v>
      </c>
      <c r="AP214" s="18">
        <f t="shared" ca="1" si="100"/>
        <v>0.16326530612244899</v>
      </c>
      <c r="AQ214" s="18">
        <f t="shared" ca="1" si="101"/>
        <v>2.0408163265306124E-2</v>
      </c>
      <c r="AR214" s="18">
        <f t="shared" ca="1" si="102"/>
        <v>0.23673469387755103</v>
      </c>
    </row>
    <row r="215" spans="1:44">
      <c r="A215" s="20">
        <v>27.9</v>
      </c>
      <c r="B215" s="20">
        <v>22.7</v>
      </c>
      <c r="C215" s="20">
        <v>345.1</v>
      </c>
      <c r="D215" s="21">
        <v>32.799999999999997</v>
      </c>
      <c r="E215" s="20">
        <v>83.8</v>
      </c>
      <c r="F215" s="18">
        <f t="shared" si="103"/>
        <v>-3.577821347884078E-3</v>
      </c>
      <c r="G215" s="18">
        <f t="shared" si="104"/>
        <v>-8.7719860728369941E-3</v>
      </c>
      <c r="H215" s="18">
        <f t="shared" si="105"/>
        <v>5.7971016116269223E-4</v>
      </c>
      <c r="I215" s="18">
        <f t="shared" si="106"/>
        <v>-1.8127384592556715E-2</v>
      </c>
      <c r="J215" s="18">
        <f t="shared" si="107"/>
        <v>1.6847570572611225E-2</v>
      </c>
      <c r="K215" s="18">
        <f t="shared" si="108"/>
        <v>-3.990956941104417E-3</v>
      </c>
      <c r="L215" s="18">
        <f t="shared" si="109"/>
        <v>-9.1851216660573335E-3</v>
      </c>
      <c r="M215" s="18">
        <f t="shared" si="110"/>
        <v>1.6657456794235326E-4</v>
      </c>
      <c r="N215" s="18">
        <f t="shared" si="111"/>
        <v>-1.8540520185777055E-2</v>
      </c>
      <c r="O215" s="18">
        <f t="shared" si="112"/>
        <v>1.6434434979390886E-2</v>
      </c>
      <c r="W215" s="18">
        <f t="shared" ca="1" si="113"/>
        <v>0.62</v>
      </c>
      <c r="X215" s="18">
        <f t="shared" ca="1" si="113"/>
        <v>7.0000000000000007E-2</v>
      </c>
      <c r="Y215" s="18">
        <f t="shared" ca="1" si="113"/>
        <v>0.94</v>
      </c>
      <c r="Z215" s="18">
        <f t="shared" ca="1" si="113"/>
        <v>0.68</v>
      </c>
      <c r="AA215" s="18">
        <f t="shared" ca="1" si="113"/>
        <v>0.36</v>
      </c>
      <c r="AB215" s="18">
        <f t="shared" ca="1" si="87"/>
        <v>2.67</v>
      </c>
      <c r="AC215" s="18">
        <f t="shared" ca="1" si="88"/>
        <v>0.23220973782771537</v>
      </c>
      <c r="AD215" s="18">
        <f t="shared" ca="1" si="89"/>
        <v>2.6217228464419477E-2</v>
      </c>
      <c r="AE215" s="18">
        <f t="shared" ca="1" si="90"/>
        <v>0.35205992509363293</v>
      </c>
      <c r="AF215" s="18">
        <f t="shared" ca="1" si="91"/>
        <v>0.25468164794007492</v>
      </c>
      <c r="AG215" s="18">
        <f t="shared" ca="1" si="92"/>
        <v>0.1348314606741573</v>
      </c>
      <c r="AH215" s="18">
        <f t="shared" ca="1" si="93"/>
        <v>0.99999999999999989</v>
      </c>
      <c r="AI215" s="18" cm="1">
        <f t="array" aca="1" ref="AI215" ca="1">MMULT(MMULT(AC215:AG215,$Q$2:$U$6),TRANSPOSE(AC215:AG215))</f>
        <v>1.9748725092226502E-4</v>
      </c>
      <c r="AJ215" s="18">
        <f t="shared" ca="1" si="94"/>
        <v>-2.1829500936768847E-3</v>
      </c>
      <c r="AK215" s="18">
        <f t="shared" ca="1" si="95"/>
        <v>-0.18473513002433481</v>
      </c>
      <c r="AL215" s="18">
        <f t="shared" ca="1" si="96"/>
        <v>-2.1829500936768847E-3</v>
      </c>
      <c r="AM215" s="18">
        <f t="shared" ca="1" si="97"/>
        <v>1.9748725092226502E-4</v>
      </c>
      <c r="AN215" s="18">
        <f t="shared" ca="1" si="98"/>
        <v>0.23220973782771537</v>
      </c>
      <c r="AO215" s="18">
        <f t="shared" ca="1" si="99"/>
        <v>2.6217228464419477E-2</v>
      </c>
      <c r="AP215" s="18">
        <f t="shared" ca="1" si="100"/>
        <v>0.35205992509363293</v>
      </c>
      <c r="AQ215" s="18">
        <f t="shared" ca="1" si="101"/>
        <v>0.25468164794007492</v>
      </c>
      <c r="AR215" s="18">
        <f t="shared" ca="1" si="102"/>
        <v>0.1348314606741573</v>
      </c>
    </row>
    <row r="216" spans="1:44">
      <c r="A216" s="20">
        <v>27.6</v>
      </c>
      <c r="B216" s="20">
        <v>22.7</v>
      </c>
      <c r="C216" s="20">
        <v>345.2</v>
      </c>
      <c r="D216" s="21">
        <v>33.799999999999997</v>
      </c>
      <c r="E216" s="20">
        <v>84.1</v>
      </c>
      <c r="F216" s="18">
        <f t="shared" si="103"/>
        <v>-1.0810916104215506E-2</v>
      </c>
      <c r="G216" s="18">
        <f t="shared" si="104"/>
        <v>0</v>
      </c>
      <c r="H216" s="18">
        <f t="shared" si="105"/>
        <v>2.8972910531506653E-4</v>
      </c>
      <c r="I216" s="18">
        <f t="shared" si="106"/>
        <v>3.0032287098875076E-2</v>
      </c>
      <c r="J216" s="18">
        <f t="shared" si="107"/>
        <v>3.5735594908649221E-3</v>
      </c>
      <c r="K216" s="18">
        <f t="shared" si="108"/>
        <v>-1.1224051697435846E-2</v>
      </c>
      <c r="L216" s="18">
        <f t="shared" si="109"/>
        <v>-4.1313559322033898E-4</v>
      </c>
      <c r="M216" s="18">
        <f t="shared" si="110"/>
        <v>-1.2340648790527245E-4</v>
      </c>
      <c r="N216" s="18">
        <f t="shared" si="111"/>
        <v>2.9619151505654737E-2</v>
      </c>
      <c r="O216" s="18">
        <f t="shared" si="112"/>
        <v>3.1604238976445831E-3</v>
      </c>
      <c r="W216" s="18">
        <f t="shared" ca="1" si="113"/>
        <v>0.73</v>
      </c>
      <c r="X216" s="18">
        <f t="shared" ca="1" si="113"/>
        <v>0.12</v>
      </c>
      <c r="Y216" s="18">
        <f t="shared" ca="1" si="113"/>
        <v>0.24</v>
      </c>
      <c r="Z216" s="18">
        <f t="shared" ca="1" si="113"/>
        <v>0.21</v>
      </c>
      <c r="AA216" s="18">
        <f t="shared" ca="1" si="113"/>
        <v>0.7</v>
      </c>
      <c r="AB216" s="18">
        <f t="shared" ca="1" si="87"/>
        <v>1.9999999999999998</v>
      </c>
      <c r="AC216" s="18">
        <f t="shared" ca="1" si="88"/>
        <v>0.36500000000000005</v>
      </c>
      <c r="AD216" s="18">
        <f t="shared" ca="1" si="89"/>
        <v>6.0000000000000005E-2</v>
      </c>
      <c r="AE216" s="18">
        <f t="shared" ca="1" si="90"/>
        <v>0.12000000000000001</v>
      </c>
      <c r="AF216" s="18">
        <f t="shared" ca="1" si="91"/>
        <v>0.10500000000000001</v>
      </c>
      <c r="AG216" s="18">
        <f t="shared" ca="1" si="92"/>
        <v>0.35000000000000003</v>
      </c>
      <c r="AH216" s="18">
        <f t="shared" ca="1" si="93"/>
        <v>1</v>
      </c>
      <c r="AI216" s="18" cm="1">
        <f t="array" aca="1" ref="AI216" ca="1">MMULT(MMULT(AC216:AG216,$Q$2:$U$6),TRANSPOSE(AC216:AG216))</f>
        <v>2.6239195850038426E-4</v>
      </c>
      <c r="AJ216" s="18">
        <f t="shared" ca="1" si="94"/>
        <v>1.473725646052432E-3</v>
      </c>
      <c r="AK216" s="18">
        <f t="shared" ca="1" si="95"/>
        <v>6.5474514840732703E-2</v>
      </c>
      <c r="AL216" s="18">
        <f t="shared" ca="1" si="96"/>
        <v>1.473725646052432E-3</v>
      </c>
      <c r="AM216" s="18">
        <f t="shared" ca="1" si="97"/>
        <v>2.6239195850038426E-4</v>
      </c>
      <c r="AN216" s="18">
        <f t="shared" ca="1" si="98"/>
        <v>0.36500000000000005</v>
      </c>
      <c r="AO216" s="18">
        <f t="shared" ca="1" si="99"/>
        <v>6.0000000000000005E-2</v>
      </c>
      <c r="AP216" s="18">
        <f t="shared" ca="1" si="100"/>
        <v>0.12000000000000001</v>
      </c>
      <c r="AQ216" s="18">
        <f t="shared" ca="1" si="101"/>
        <v>0.10500000000000001</v>
      </c>
      <c r="AR216" s="18">
        <f t="shared" ca="1" si="102"/>
        <v>0.35000000000000003</v>
      </c>
    </row>
    <row r="217" spans="1:44">
      <c r="A217" s="20">
        <v>27.8</v>
      </c>
      <c r="B217" s="20">
        <v>22.7</v>
      </c>
      <c r="C217" s="20">
        <v>349</v>
      </c>
      <c r="D217" s="21">
        <v>31.8</v>
      </c>
      <c r="E217" s="20">
        <v>86.1</v>
      </c>
      <c r="F217" s="18">
        <f t="shared" si="103"/>
        <v>7.2202479734870973E-3</v>
      </c>
      <c r="G217" s="18">
        <f t="shared" si="104"/>
        <v>0</v>
      </c>
      <c r="H217" s="18">
        <f t="shared" si="105"/>
        <v>1.0947962993154339E-2</v>
      </c>
      <c r="I217" s="18">
        <f t="shared" si="106"/>
        <v>-6.0994512702841792E-2</v>
      </c>
      <c r="J217" s="18">
        <f t="shared" si="107"/>
        <v>2.3502844454782672E-2</v>
      </c>
      <c r="K217" s="18">
        <f t="shared" si="108"/>
        <v>6.8071123802667579E-3</v>
      </c>
      <c r="L217" s="18">
        <f t="shared" si="109"/>
        <v>-4.1313559322033898E-4</v>
      </c>
      <c r="M217" s="18">
        <f t="shared" si="110"/>
        <v>1.0534827399933999E-2</v>
      </c>
      <c r="N217" s="18">
        <f t="shared" si="111"/>
        <v>-6.1407648296062128E-2</v>
      </c>
      <c r="O217" s="18">
        <f t="shared" si="112"/>
        <v>2.3089708861562332E-2</v>
      </c>
      <c r="W217" s="18">
        <f t="shared" ca="1" si="113"/>
        <v>0.79</v>
      </c>
      <c r="X217" s="18">
        <f t="shared" ca="1" si="113"/>
        <v>0.24</v>
      </c>
      <c r="Y217" s="18">
        <f t="shared" ca="1" si="113"/>
        <v>0.12</v>
      </c>
      <c r="Z217" s="18">
        <f t="shared" ca="1" si="113"/>
        <v>0.21</v>
      </c>
      <c r="AA217" s="18">
        <f t="shared" ca="1" si="113"/>
        <v>0.64</v>
      </c>
      <c r="AB217" s="18">
        <f t="shared" ca="1" si="87"/>
        <v>2</v>
      </c>
      <c r="AC217" s="18">
        <f t="shared" ca="1" si="88"/>
        <v>0.39500000000000002</v>
      </c>
      <c r="AD217" s="18">
        <f t="shared" ca="1" si="89"/>
        <v>0.12</v>
      </c>
      <c r="AE217" s="18">
        <f t="shared" ca="1" si="90"/>
        <v>0.06</v>
      </c>
      <c r="AF217" s="18">
        <f t="shared" ca="1" si="91"/>
        <v>0.105</v>
      </c>
      <c r="AG217" s="18">
        <f t="shared" ca="1" si="92"/>
        <v>0.32</v>
      </c>
      <c r="AH217" s="18">
        <f t="shared" ca="1" si="93"/>
        <v>1</v>
      </c>
      <c r="AI217" s="18" cm="1">
        <f t="array" aca="1" ref="AI217" ca="1">MMULT(MMULT(AC217:AG217,$Q$2:$U$6),TRANSPOSE(AC217:AG217))</f>
        <v>2.4570467722757579E-4</v>
      </c>
      <c r="AJ217" s="18">
        <f t="shared" ca="1" si="94"/>
        <v>1.8412557637334721E-3</v>
      </c>
      <c r="AK217" s="18">
        <f t="shared" ca="1" si="95"/>
        <v>9.110832056780109E-2</v>
      </c>
      <c r="AL217" s="18">
        <f t="shared" ca="1" si="96"/>
        <v>1.8412557637334721E-3</v>
      </c>
      <c r="AM217" s="18">
        <f t="shared" ca="1" si="97"/>
        <v>2.4570467722757579E-4</v>
      </c>
      <c r="AN217" s="18">
        <f t="shared" ca="1" si="98"/>
        <v>0.39500000000000002</v>
      </c>
      <c r="AO217" s="18">
        <f t="shared" ca="1" si="99"/>
        <v>0.12</v>
      </c>
      <c r="AP217" s="18">
        <f t="shared" ca="1" si="100"/>
        <v>0.06</v>
      </c>
      <c r="AQ217" s="18">
        <f t="shared" ca="1" si="101"/>
        <v>0.105</v>
      </c>
      <c r="AR217" s="18">
        <f t="shared" ca="1" si="102"/>
        <v>0.32</v>
      </c>
    </row>
    <row r="218" spans="1:44">
      <c r="A218" s="20">
        <v>28.1</v>
      </c>
      <c r="B218" s="20">
        <v>22.6</v>
      </c>
      <c r="C218" s="20">
        <v>349.7</v>
      </c>
      <c r="D218" s="21">
        <v>30.4</v>
      </c>
      <c r="E218" s="20">
        <v>88.8</v>
      </c>
      <c r="F218" s="18">
        <f t="shared" si="103"/>
        <v>1.0733555643108633E-2</v>
      </c>
      <c r="G218" s="18">
        <f t="shared" si="104"/>
        <v>-4.4150182091167202E-3</v>
      </c>
      <c r="H218" s="18">
        <f t="shared" si="105"/>
        <v>2.0037218669029691E-3</v>
      </c>
      <c r="I218" s="18">
        <f t="shared" si="106"/>
        <v>-4.5023681373955245E-2</v>
      </c>
      <c r="J218" s="18">
        <f t="shared" si="107"/>
        <v>3.0877238564439229E-2</v>
      </c>
      <c r="K218" s="18">
        <f t="shared" si="108"/>
        <v>1.0320420049888293E-2</v>
      </c>
      <c r="L218" s="18">
        <f t="shared" si="109"/>
        <v>-4.8281538023370596E-3</v>
      </c>
      <c r="M218" s="18">
        <f t="shared" si="110"/>
        <v>1.5905862736826301E-3</v>
      </c>
      <c r="N218" s="18">
        <f t="shared" si="111"/>
        <v>-4.5436816967175581E-2</v>
      </c>
      <c r="O218" s="18">
        <f t="shared" si="112"/>
        <v>3.046410297121889E-2</v>
      </c>
      <c r="W218" s="18">
        <f t="shared" ca="1" si="113"/>
        <v>0.94</v>
      </c>
      <c r="X218" s="18">
        <f t="shared" ca="1" si="113"/>
        <v>0.99</v>
      </c>
      <c r="Y218" s="18">
        <f t="shared" ca="1" si="113"/>
        <v>0.49</v>
      </c>
      <c r="Z218" s="18">
        <f t="shared" ca="1" si="113"/>
        <v>0.81</v>
      </c>
      <c r="AA218" s="18">
        <f t="shared" ca="1" si="113"/>
        <v>0.88</v>
      </c>
      <c r="AB218" s="18">
        <f t="shared" ca="1" si="87"/>
        <v>4.1100000000000003</v>
      </c>
      <c r="AC218" s="18">
        <f t="shared" ca="1" si="88"/>
        <v>0.22871046228710459</v>
      </c>
      <c r="AD218" s="18">
        <f t="shared" ca="1" si="89"/>
        <v>0.24087591240875911</v>
      </c>
      <c r="AE218" s="18">
        <f t="shared" ca="1" si="90"/>
        <v>0.11922141119221411</v>
      </c>
      <c r="AF218" s="18">
        <f t="shared" ca="1" si="91"/>
        <v>0.19708029197080293</v>
      </c>
      <c r="AG218" s="18">
        <f t="shared" ca="1" si="92"/>
        <v>0.21411192214111921</v>
      </c>
      <c r="AH218" s="18">
        <f t="shared" ca="1" si="93"/>
        <v>0.99999999999999989</v>
      </c>
      <c r="AI218" s="18" cm="1">
        <f t="array" aca="1" ref="AI218" ca="1">MMULT(MMULT(AC218:AG218,$Q$2:$U$6),TRANSPOSE(AC218:AG218))</f>
        <v>2.0233880875569031E-4</v>
      </c>
      <c r="AJ218" s="18">
        <f t="shared" ca="1" si="94"/>
        <v>-1.4064834036685305E-3</v>
      </c>
      <c r="AK218" s="18">
        <f t="shared" ca="1" si="95"/>
        <v>-0.12792071194724555</v>
      </c>
      <c r="AL218" s="18">
        <f t="shared" ca="1" si="96"/>
        <v>-1.4064834036685305E-3</v>
      </c>
      <c r="AM218" s="18">
        <f t="shared" ca="1" si="97"/>
        <v>2.0233880875569031E-4</v>
      </c>
      <c r="AN218" s="18">
        <f t="shared" ca="1" si="98"/>
        <v>0.22871046228710459</v>
      </c>
      <c r="AO218" s="18">
        <f t="shared" ca="1" si="99"/>
        <v>0.24087591240875911</v>
      </c>
      <c r="AP218" s="18">
        <f t="shared" ca="1" si="100"/>
        <v>0.11922141119221411</v>
      </c>
      <c r="AQ218" s="18">
        <f t="shared" ca="1" si="101"/>
        <v>0.19708029197080293</v>
      </c>
      <c r="AR218" s="18">
        <f t="shared" ca="1" si="102"/>
        <v>0.21411192214111921</v>
      </c>
    </row>
    <row r="219" spans="1:44">
      <c r="A219" s="20">
        <v>28.4</v>
      </c>
      <c r="B219" s="20">
        <v>22.6</v>
      </c>
      <c r="C219" s="20">
        <v>350.1</v>
      </c>
      <c r="D219" s="21">
        <v>30.9</v>
      </c>
      <c r="E219" s="20">
        <v>85</v>
      </c>
      <c r="F219" s="18">
        <f t="shared" si="103"/>
        <v>1.0619568827460131E-2</v>
      </c>
      <c r="G219" s="18">
        <f t="shared" si="104"/>
        <v>0</v>
      </c>
      <c r="H219" s="18">
        <f t="shared" si="105"/>
        <v>1.1431838912900247E-3</v>
      </c>
      <c r="I219" s="18">
        <f t="shared" si="106"/>
        <v>1.6313575491523787E-2</v>
      </c>
      <c r="J219" s="18">
        <f t="shared" si="107"/>
        <v>-4.3735393507807932E-2</v>
      </c>
      <c r="K219" s="18">
        <f t="shared" si="108"/>
        <v>1.0206433234239792E-2</v>
      </c>
      <c r="L219" s="18">
        <f t="shared" si="109"/>
        <v>-4.1313559322033898E-4</v>
      </c>
      <c r="M219" s="18">
        <f t="shared" si="110"/>
        <v>7.3004829806968576E-4</v>
      </c>
      <c r="N219" s="18">
        <f t="shared" si="111"/>
        <v>1.5900439898303448E-2</v>
      </c>
      <c r="O219" s="18">
        <f t="shared" si="112"/>
        <v>-4.4148529101028268E-2</v>
      </c>
      <c r="W219" s="18">
        <f t="shared" ca="1" si="113"/>
        <v>0.19</v>
      </c>
      <c r="X219" s="18">
        <f t="shared" ca="1" si="113"/>
        <v>0.15</v>
      </c>
      <c r="Y219" s="18">
        <f t="shared" ca="1" si="113"/>
        <v>0.51</v>
      </c>
      <c r="Z219" s="18">
        <f t="shared" ca="1" si="113"/>
        <v>0.06</v>
      </c>
      <c r="AA219" s="18">
        <f t="shared" ca="1" si="113"/>
        <v>0.95</v>
      </c>
      <c r="AB219" s="18">
        <f t="shared" ca="1" si="87"/>
        <v>1.8599999999999999</v>
      </c>
      <c r="AC219" s="18">
        <f t="shared" ca="1" si="88"/>
        <v>0.10215053763440861</v>
      </c>
      <c r="AD219" s="18">
        <f t="shared" ca="1" si="89"/>
        <v>8.0645161290322578E-2</v>
      </c>
      <c r="AE219" s="18">
        <f t="shared" ca="1" si="90"/>
        <v>0.27419354838709681</v>
      </c>
      <c r="AF219" s="18">
        <f t="shared" ca="1" si="91"/>
        <v>3.2258064516129031E-2</v>
      </c>
      <c r="AG219" s="18">
        <f t="shared" ca="1" si="92"/>
        <v>0.510752688172043</v>
      </c>
      <c r="AH219" s="18">
        <f t="shared" ca="1" si="93"/>
        <v>1</v>
      </c>
      <c r="AI219" s="18" cm="1">
        <f t="array" aca="1" ref="AI219" ca="1">MMULT(MMULT(AC219:AG219,$Q$2:$U$6),TRANSPOSE(AC219:AG219))</f>
        <v>3.8860331709658565E-4</v>
      </c>
      <c r="AJ219" s="18">
        <f t="shared" ca="1" si="94"/>
        <v>-3.5920306092592732E-3</v>
      </c>
      <c r="AK219" s="18">
        <f t="shared" ca="1" si="95"/>
        <v>-0.20317360709511717</v>
      </c>
      <c r="AL219" s="18">
        <f t="shared" ca="1" si="96"/>
        <v>-3.5920306092592732E-3</v>
      </c>
      <c r="AM219" s="18">
        <f t="shared" ca="1" si="97"/>
        <v>3.8860331709658565E-4</v>
      </c>
      <c r="AN219" s="18">
        <f t="shared" ca="1" si="98"/>
        <v>0.10215053763440861</v>
      </c>
      <c r="AO219" s="18">
        <f t="shared" ca="1" si="99"/>
        <v>8.0645161290322578E-2</v>
      </c>
      <c r="AP219" s="18">
        <f t="shared" ca="1" si="100"/>
        <v>0.27419354838709681</v>
      </c>
      <c r="AQ219" s="18">
        <f t="shared" ca="1" si="101"/>
        <v>3.2258064516129031E-2</v>
      </c>
      <c r="AR219" s="18">
        <f t="shared" ca="1" si="102"/>
        <v>0.510752688172043</v>
      </c>
    </row>
    <row r="220" spans="1:44">
      <c r="A220" s="20">
        <v>28.6</v>
      </c>
      <c r="B220" s="20">
        <v>22.6</v>
      </c>
      <c r="C220" s="20">
        <v>350.2</v>
      </c>
      <c r="D220" s="21">
        <v>31.4</v>
      </c>
      <c r="E220" s="20">
        <v>86.2</v>
      </c>
      <c r="F220" s="18">
        <f t="shared" si="103"/>
        <v>7.0175726586465398E-3</v>
      </c>
      <c r="G220" s="18">
        <f t="shared" si="104"/>
        <v>0</v>
      </c>
      <c r="H220" s="18">
        <f t="shared" si="105"/>
        <v>2.8559189113135195E-4</v>
      </c>
      <c r="I220" s="18">
        <f t="shared" si="106"/>
        <v>1.6051709010507825E-2</v>
      </c>
      <c r="J220" s="18">
        <f t="shared" si="107"/>
        <v>1.4018921179330996E-2</v>
      </c>
      <c r="K220" s="18">
        <f t="shared" si="108"/>
        <v>6.6044370654262004E-3</v>
      </c>
      <c r="L220" s="18">
        <f t="shared" si="109"/>
        <v>-4.1313559322033898E-4</v>
      </c>
      <c r="M220" s="18">
        <f t="shared" si="110"/>
        <v>-1.2754370208898703E-4</v>
      </c>
      <c r="N220" s="18">
        <f t="shared" si="111"/>
        <v>1.5638573417287485E-2</v>
      </c>
      <c r="O220" s="18">
        <f t="shared" si="112"/>
        <v>1.3605785586110657E-2</v>
      </c>
      <c r="W220" s="18">
        <f t="shared" ca="1" si="113"/>
        <v>0.88</v>
      </c>
      <c r="X220" s="18">
        <f t="shared" ca="1" si="113"/>
        <v>0.27</v>
      </c>
      <c r="Y220" s="18">
        <f t="shared" ca="1" si="113"/>
        <v>0.69</v>
      </c>
      <c r="Z220" s="18">
        <f t="shared" ca="1" si="113"/>
        <v>0.18</v>
      </c>
      <c r="AA220" s="18">
        <f t="shared" ca="1" si="113"/>
        <v>0.77</v>
      </c>
      <c r="AB220" s="18">
        <f t="shared" ca="1" si="87"/>
        <v>2.79</v>
      </c>
      <c r="AC220" s="18">
        <f t="shared" ca="1" si="88"/>
        <v>0.31541218637992829</v>
      </c>
      <c r="AD220" s="18">
        <f t="shared" ca="1" si="89"/>
        <v>9.6774193548387108E-2</v>
      </c>
      <c r="AE220" s="18">
        <f t="shared" ca="1" si="90"/>
        <v>0.24731182795698922</v>
      </c>
      <c r="AF220" s="18">
        <f t="shared" ca="1" si="91"/>
        <v>6.4516129032258063E-2</v>
      </c>
      <c r="AG220" s="18">
        <f t="shared" ca="1" si="92"/>
        <v>0.27598566308243727</v>
      </c>
      <c r="AH220" s="18">
        <f t="shared" ca="1" si="93"/>
        <v>1</v>
      </c>
      <c r="AI220" s="18" cm="1">
        <f t="array" aca="1" ref="AI220" ca="1">MMULT(MMULT(AC220:AG220,$Q$2:$U$6),TRANSPOSE(AC220:AG220))</f>
        <v>1.9398292935472928E-4</v>
      </c>
      <c r="AJ220" s="18">
        <f t="shared" ca="1" si="94"/>
        <v>-2.1148961119556694E-3</v>
      </c>
      <c r="AK220" s="18">
        <f t="shared" ca="1" si="95"/>
        <v>-0.1815100847831996</v>
      </c>
      <c r="AL220" s="18">
        <f t="shared" ca="1" si="96"/>
        <v>-2.1148961119556694E-3</v>
      </c>
      <c r="AM220" s="18">
        <f t="shared" ca="1" si="97"/>
        <v>1.9398292935472928E-4</v>
      </c>
      <c r="AN220" s="18">
        <f t="shared" ca="1" si="98"/>
        <v>0.31541218637992829</v>
      </c>
      <c r="AO220" s="18">
        <f t="shared" ca="1" si="99"/>
        <v>9.6774193548387108E-2</v>
      </c>
      <c r="AP220" s="18">
        <f t="shared" ca="1" si="100"/>
        <v>0.24731182795698922</v>
      </c>
      <c r="AQ220" s="18">
        <f t="shared" ca="1" si="101"/>
        <v>6.4516129032258063E-2</v>
      </c>
      <c r="AR220" s="18">
        <f t="shared" ca="1" si="102"/>
        <v>0.27598566308243727</v>
      </c>
    </row>
    <row r="221" spans="1:44">
      <c r="A221" s="20">
        <v>28.5</v>
      </c>
      <c r="B221" s="20">
        <v>22.6</v>
      </c>
      <c r="C221" s="20">
        <v>350.5</v>
      </c>
      <c r="D221" s="21">
        <v>29.4</v>
      </c>
      <c r="E221" s="20">
        <v>87.3</v>
      </c>
      <c r="F221" s="18">
        <f t="shared" si="103"/>
        <v>-3.5026305512021118E-3</v>
      </c>
      <c r="G221" s="18">
        <f t="shared" si="104"/>
        <v>0</v>
      </c>
      <c r="H221" s="18">
        <f t="shared" si="105"/>
        <v>8.5628662289325211E-4</v>
      </c>
      <c r="I221" s="18">
        <f t="shared" si="106"/>
        <v>-6.5813218569571744E-2</v>
      </c>
      <c r="J221" s="18">
        <f t="shared" si="107"/>
        <v>1.268028517590899E-2</v>
      </c>
      <c r="K221" s="18">
        <f t="shared" si="108"/>
        <v>-3.9157661444224508E-3</v>
      </c>
      <c r="L221" s="18">
        <f t="shared" si="109"/>
        <v>-4.1313559322033898E-4</v>
      </c>
      <c r="M221" s="18">
        <f t="shared" si="110"/>
        <v>4.4315102967291313E-4</v>
      </c>
      <c r="N221" s="18">
        <f t="shared" si="111"/>
        <v>-6.6226354162792087E-2</v>
      </c>
      <c r="O221" s="18">
        <f t="shared" si="112"/>
        <v>1.2267149582688651E-2</v>
      </c>
      <c r="W221" s="18">
        <f t="shared" ca="1" si="113"/>
        <v>0.26</v>
      </c>
      <c r="X221" s="18">
        <f t="shared" ca="1" si="113"/>
        <v>0.48</v>
      </c>
      <c r="Y221" s="18">
        <f t="shared" ca="1" si="113"/>
        <v>0.14000000000000001</v>
      </c>
      <c r="Z221" s="18">
        <f t="shared" ca="1" si="113"/>
        <v>0.37</v>
      </c>
      <c r="AA221" s="18">
        <f t="shared" ca="1" si="113"/>
        <v>0.85</v>
      </c>
      <c r="AB221" s="18">
        <f t="shared" ca="1" si="87"/>
        <v>2.1</v>
      </c>
      <c r="AC221" s="18">
        <f t="shared" ca="1" si="88"/>
        <v>0.12380952380952381</v>
      </c>
      <c r="AD221" s="18">
        <f t="shared" ca="1" si="89"/>
        <v>0.22857142857142856</v>
      </c>
      <c r="AE221" s="18">
        <f t="shared" ca="1" si="90"/>
        <v>6.6666666666666666E-2</v>
      </c>
      <c r="AF221" s="18">
        <f t="shared" ca="1" si="91"/>
        <v>0.17619047619047618</v>
      </c>
      <c r="AG221" s="18">
        <f t="shared" ca="1" si="92"/>
        <v>0.40476190476190471</v>
      </c>
      <c r="AH221" s="18">
        <f t="shared" ca="1" si="93"/>
        <v>0.99999999999999978</v>
      </c>
      <c r="AI221" s="18" cm="1">
        <f t="array" aca="1" ref="AI221" ca="1">MMULT(MMULT(AC221:AG221,$Q$2:$U$6),TRANSPOSE(AC221:AG221))</f>
        <v>3.2042057169323352E-4</v>
      </c>
      <c r="AJ221" s="18">
        <f t="shared" ca="1" si="94"/>
        <v>-8.0210533901183304E-4</v>
      </c>
      <c r="AK221" s="18">
        <f t="shared" ca="1" si="95"/>
        <v>-6.7889434901457699E-2</v>
      </c>
      <c r="AL221" s="18">
        <f t="shared" ca="1" si="96"/>
        <v>-8.0210533901183304E-4</v>
      </c>
      <c r="AM221" s="18">
        <f t="shared" ca="1" si="97"/>
        <v>3.2042057169323352E-4</v>
      </c>
      <c r="AN221" s="18">
        <f t="shared" ca="1" si="98"/>
        <v>0.12380952380952381</v>
      </c>
      <c r="AO221" s="18">
        <f t="shared" ca="1" si="99"/>
        <v>0.22857142857142856</v>
      </c>
      <c r="AP221" s="18">
        <f t="shared" ca="1" si="100"/>
        <v>6.6666666666666666E-2</v>
      </c>
      <c r="AQ221" s="18">
        <f t="shared" ca="1" si="101"/>
        <v>0.17619047619047618</v>
      </c>
      <c r="AR221" s="18">
        <f t="shared" ca="1" si="102"/>
        <v>0.40476190476190471</v>
      </c>
    </row>
    <row r="222" spans="1:44">
      <c r="A222" s="20">
        <v>28.4</v>
      </c>
      <c r="B222" s="20">
        <v>22.4</v>
      </c>
      <c r="C222" s="20">
        <v>351.7</v>
      </c>
      <c r="D222" s="21">
        <v>30.2</v>
      </c>
      <c r="E222" s="20">
        <v>86.9</v>
      </c>
      <c r="F222" s="18">
        <f t="shared" si="103"/>
        <v>-3.5149421074444969E-3</v>
      </c>
      <c r="G222" s="18">
        <f t="shared" si="104"/>
        <v>-8.888947417246152E-3</v>
      </c>
      <c r="H222" s="18">
        <f t="shared" si="105"/>
        <v>3.4178330052919261E-3</v>
      </c>
      <c r="I222" s="18">
        <f t="shared" si="106"/>
        <v>2.6847250036188056E-2</v>
      </c>
      <c r="J222" s="18">
        <f t="shared" si="107"/>
        <v>-4.5924305742100387E-3</v>
      </c>
      <c r="K222" s="18">
        <f t="shared" si="108"/>
        <v>-3.9280777006648355E-3</v>
      </c>
      <c r="L222" s="18">
        <f t="shared" si="109"/>
        <v>-9.3020830104664914E-3</v>
      </c>
      <c r="M222" s="18">
        <f t="shared" si="110"/>
        <v>3.0046974120715871E-3</v>
      </c>
      <c r="N222" s="18">
        <f t="shared" si="111"/>
        <v>2.6434114442967716E-2</v>
      </c>
      <c r="O222" s="18">
        <f t="shared" si="112"/>
        <v>-5.0055661674303781E-3</v>
      </c>
      <c r="W222" s="18">
        <f t="shared" ca="1" si="113"/>
        <v>0.9</v>
      </c>
      <c r="X222" s="18">
        <f t="shared" ca="1" si="113"/>
        <v>0.98</v>
      </c>
      <c r="Y222" s="18">
        <f t="shared" ca="1" si="113"/>
        <v>0.94</v>
      </c>
      <c r="Z222" s="18">
        <f t="shared" ca="1" si="113"/>
        <v>0.23</v>
      </c>
      <c r="AA222" s="18">
        <f t="shared" ca="1" si="113"/>
        <v>0.76</v>
      </c>
      <c r="AB222" s="18">
        <f t="shared" ca="1" si="87"/>
        <v>3.8099999999999996</v>
      </c>
      <c r="AC222" s="18">
        <f t="shared" ca="1" si="88"/>
        <v>0.23622047244094491</v>
      </c>
      <c r="AD222" s="18">
        <f t="shared" ca="1" si="89"/>
        <v>0.2572178477690289</v>
      </c>
      <c r="AE222" s="18">
        <f t="shared" ca="1" si="90"/>
        <v>0.2467191601049869</v>
      </c>
      <c r="AF222" s="18">
        <f t="shared" ca="1" si="91"/>
        <v>6.0367454068241476E-2</v>
      </c>
      <c r="AG222" s="18">
        <f t="shared" ca="1" si="92"/>
        <v>0.19947506561679793</v>
      </c>
      <c r="AH222" s="18">
        <f t="shared" ca="1" si="93"/>
        <v>1</v>
      </c>
      <c r="AI222" s="18" cm="1">
        <f t="array" aca="1" ref="AI222" ca="1">MMULT(MMULT(AC222:AG222,$Q$2:$U$6),TRANSPOSE(AC222:AG222))</f>
        <v>1.5609345961688692E-4</v>
      </c>
      <c r="AJ222" s="18">
        <f t="shared" ca="1" si="94"/>
        <v>-5.0465698866573178E-3</v>
      </c>
      <c r="AK222" s="18">
        <f t="shared" ca="1" si="95"/>
        <v>-0.43699539701131535</v>
      </c>
      <c r="AL222" s="18">
        <f t="shared" ca="1" si="96"/>
        <v>-5.0465698866573178E-3</v>
      </c>
      <c r="AM222" s="18">
        <f t="shared" ca="1" si="97"/>
        <v>1.5609345961688692E-4</v>
      </c>
      <c r="AN222" s="18">
        <f t="shared" ca="1" si="98"/>
        <v>0.23622047244094491</v>
      </c>
      <c r="AO222" s="18">
        <f t="shared" ca="1" si="99"/>
        <v>0.2572178477690289</v>
      </c>
      <c r="AP222" s="18">
        <f t="shared" ca="1" si="100"/>
        <v>0.2467191601049869</v>
      </c>
      <c r="AQ222" s="18">
        <f t="shared" ca="1" si="101"/>
        <v>6.0367454068241476E-2</v>
      </c>
      <c r="AR222" s="18">
        <f t="shared" ca="1" si="102"/>
        <v>0.19947506561679793</v>
      </c>
    </row>
    <row r="223" spans="1:44">
      <c r="A223" s="20">
        <v>28.5</v>
      </c>
      <c r="B223" s="20">
        <v>22.4</v>
      </c>
      <c r="C223" s="20">
        <v>353.3</v>
      </c>
      <c r="D223" s="21">
        <v>30.8</v>
      </c>
      <c r="E223" s="20">
        <v>79.5</v>
      </c>
      <c r="F223" s="18">
        <f t="shared" si="103"/>
        <v>3.5149421074445919E-3</v>
      </c>
      <c r="G223" s="18">
        <f t="shared" si="104"/>
        <v>0</v>
      </c>
      <c r="H223" s="18">
        <f t="shared" si="105"/>
        <v>4.5390148851628025E-3</v>
      </c>
      <c r="I223" s="18">
        <f t="shared" si="106"/>
        <v>1.9672765598704928E-2</v>
      </c>
      <c r="J223" s="18">
        <f t="shared" si="107"/>
        <v>-8.9001010611060222E-2</v>
      </c>
      <c r="K223" s="18">
        <f t="shared" si="108"/>
        <v>3.1018065142242529E-3</v>
      </c>
      <c r="L223" s="18">
        <f t="shared" si="109"/>
        <v>-4.1313559322033898E-4</v>
      </c>
      <c r="M223" s="18">
        <f t="shared" si="110"/>
        <v>4.125879291942464E-3</v>
      </c>
      <c r="N223" s="18">
        <f t="shared" si="111"/>
        <v>1.9259630005484588E-2</v>
      </c>
      <c r="O223" s="18">
        <f t="shared" si="112"/>
        <v>-8.9414146204280565E-2</v>
      </c>
      <c r="W223" s="18">
        <f t="shared" ca="1" si="113"/>
        <v>0.16</v>
      </c>
      <c r="X223" s="18">
        <f t="shared" ca="1" si="113"/>
        <v>0.04</v>
      </c>
      <c r="Y223" s="18">
        <f t="shared" ca="1" si="113"/>
        <v>0.64</v>
      </c>
      <c r="Z223" s="18">
        <f t="shared" ca="1" si="113"/>
        <v>0.48</v>
      </c>
      <c r="AA223" s="18">
        <f t="shared" ca="1" si="113"/>
        <v>0.45</v>
      </c>
      <c r="AB223" s="18">
        <f t="shared" ca="1" si="87"/>
        <v>1.77</v>
      </c>
      <c r="AC223" s="18">
        <f t="shared" ca="1" si="88"/>
        <v>9.03954802259887E-2</v>
      </c>
      <c r="AD223" s="18">
        <f t="shared" ca="1" si="89"/>
        <v>2.2598870056497175E-2</v>
      </c>
      <c r="AE223" s="18">
        <f t="shared" ca="1" si="90"/>
        <v>0.3615819209039548</v>
      </c>
      <c r="AF223" s="18">
        <f t="shared" ca="1" si="91"/>
        <v>0.2711864406779661</v>
      </c>
      <c r="AG223" s="18">
        <f t="shared" ca="1" si="92"/>
        <v>0.25423728813559321</v>
      </c>
      <c r="AH223" s="18">
        <f t="shared" ca="1" si="93"/>
        <v>1</v>
      </c>
      <c r="AI223" s="18" cm="1">
        <f t="array" aca="1" ref="AI223" ca="1">MMULT(MMULT(AC223:AG223,$Q$2:$U$6),TRANSPOSE(AC223:AG223))</f>
        <v>2.4423354855913356E-4</v>
      </c>
      <c r="AJ223" s="18">
        <f t="shared" ca="1" si="94"/>
        <v>-2.8622014845614118E-3</v>
      </c>
      <c r="AK223" s="18">
        <f t="shared" ca="1" si="95"/>
        <v>-0.20958169181536357</v>
      </c>
      <c r="AL223" s="18">
        <f t="shared" ca="1" si="96"/>
        <v>-2.8622014845614118E-3</v>
      </c>
      <c r="AM223" s="18">
        <f t="shared" ca="1" si="97"/>
        <v>2.4423354855913356E-4</v>
      </c>
      <c r="AN223" s="18">
        <f t="shared" ca="1" si="98"/>
        <v>9.03954802259887E-2</v>
      </c>
      <c r="AO223" s="18">
        <f t="shared" ca="1" si="99"/>
        <v>2.2598870056497175E-2</v>
      </c>
      <c r="AP223" s="18">
        <f t="shared" ca="1" si="100"/>
        <v>0.3615819209039548</v>
      </c>
      <c r="AQ223" s="18">
        <f t="shared" ca="1" si="101"/>
        <v>0.2711864406779661</v>
      </c>
      <c r="AR223" s="18">
        <f t="shared" ca="1" si="102"/>
        <v>0.25423728813559321</v>
      </c>
    </row>
    <row r="224" spans="1:44">
      <c r="A224" s="20">
        <v>28.8</v>
      </c>
      <c r="B224" s="20">
        <v>22.5</v>
      </c>
      <c r="C224" s="20">
        <v>357.5</v>
      </c>
      <c r="D224" s="21">
        <v>30.5</v>
      </c>
      <c r="E224" s="20">
        <v>80.599999999999994</v>
      </c>
      <c r="F224" s="18">
        <f t="shared" si="103"/>
        <v>1.0471299867295437E-2</v>
      </c>
      <c r="G224" s="18">
        <f t="shared" si="104"/>
        <v>4.4543503493803746E-3</v>
      </c>
      <c r="H224" s="18">
        <f t="shared" si="105"/>
        <v>1.1817807768962761E-2</v>
      </c>
      <c r="I224" s="18">
        <f t="shared" si="106"/>
        <v>-9.7880063661628207E-3</v>
      </c>
      <c r="J224" s="18">
        <f t="shared" si="107"/>
        <v>1.3741627852296389E-2</v>
      </c>
      <c r="K224" s="18">
        <f t="shared" si="108"/>
        <v>1.0058164274075097E-2</v>
      </c>
      <c r="L224" s="18">
        <f t="shared" si="109"/>
        <v>4.0412147561600352E-3</v>
      </c>
      <c r="M224" s="18">
        <f t="shared" si="110"/>
        <v>1.1404672175742422E-2</v>
      </c>
      <c r="N224" s="18">
        <f t="shared" si="111"/>
        <v>-1.020114195938316E-2</v>
      </c>
      <c r="O224" s="18">
        <f t="shared" si="112"/>
        <v>1.332849225907605E-2</v>
      </c>
      <c r="W224" s="18">
        <f t="shared" ca="1" si="113"/>
        <v>0.63</v>
      </c>
      <c r="X224" s="18">
        <f t="shared" ca="1" si="113"/>
        <v>0.52</v>
      </c>
      <c r="Y224" s="18">
        <f t="shared" ca="1" si="113"/>
        <v>0.56000000000000005</v>
      </c>
      <c r="Z224" s="18">
        <f t="shared" ca="1" si="113"/>
        <v>0.31</v>
      </c>
      <c r="AA224" s="18">
        <f t="shared" ca="1" si="113"/>
        <v>0.37</v>
      </c>
      <c r="AB224" s="18">
        <f t="shared" ca="1" si="87"/>
        <v>2.39</v>
      </c>
      <c r="AC224" s="18">
        <f t="shared" ca="1" si="88"/>
        <v>0.2635983263598326</v>
      </c>
      <c r="AD224" s="18">
        <f t="shared" ca="1" si="89"/>
        <v>0.21757322175732216</v>
      </c>
      <c r="AE224" s="18">
        <f t="shared" ca="1" si="90"/>
        <v>0.23430962343096234</v>
      </c>
      <c r="AF224" s="18">
        <f t="shared" ca="1" si="91"/>
        <v>0.1297071129707113</v>
      </c>
      <c r="AG224" s="18">
        <f t="shared" ca="1" si="92"/>
        <v>0.15481171548117154</v>
      </c>
      <c r="AH224" s="18">
        <f t="shared" ca="1" si="93"/>
        <v>0.99999999999999989</v>
      </c>
      <c r="AI224" s="18" cm="1">
        <f t="array" aca="1" ref="AI224" ca="1">MMULT(MMULT(AC224:AG224,$Q$2:$U$6),TRANSPOSE(AC224:AG224))</f>
        <v>1.5506016945931425E-4</v>
      </c>
      <c r="AJ224" s="18">
        <f t="shared" ca="1" si="94"/>
        <v>-3.5861855129923374E-3</v>
      </c>
      <c r="AK224" s="18">
        <f t="shared" ca="1" si="95"/>
        <v>-0.32117086987867749</v>
      </c>
      <c r="AL224" s="18">
        <f t="shared" ca="1" si="96"/>
        <v>-3.5861855129923374E-3</v>
      </c>
      <c r="AM224" s="18">
        <f t="shared" ca="1" si="97"/>
        <v>1.5506016945931425E-4</v>
      </c>
      <c r="AN224" s="18">
        <f t="shared" ca="1" si="98"/>
        <v>0.2635983263598326</v>
      </c>
      <c r="AO224" s="18">
        <f t="shared" ca="1" si="99"/>
        <v>0.21757322175732216</v>
      </c>
      <c r="AP224" s="18">
        <f t="shared" ca="1" si="100"/>
        <v>0.23430962343096234</v>
      </c>
      <c r="AQ224" s="18">
        <f t="shared" ca="1" si="101"/>
        <v>0.1297071129707113</v>
      </c>
      <c r="AR224" s="18">
        <f t="shared" ca="1" si="102"/>
        <v>0.15481171548117154</v>
      </c>
    </row>
    <row r="225" spans="1:44">
      <c r="A225" s="20">
        <v>29</v>
      </c>
      <c r="B225" s="20">
        <v>22.6</v>
      </c>
      <c r="C225" s="20">
        <v>355</v>
      </c>
      <c r="D225" s="21">
        <v>30.2</v>
      </c>
      <c r="E225" s="20">
        <v>79.599999999999994</v>
      </c>
      <c r="F225" s="18">
        <f t="shared" si="103"/>
        <v>6.920442844573757E-3</v>
      </c>
      <c r="G225" s="18">
        <f t="shared" si="104"/>
        <v>4.4345970678657748E-3</v>
      </c>
      <c r="H225" s="18">
        <f t="shared" si="105"/>
        <v>-7.0175726586465346E-3</v>
      </c>
      <c r="I225" s="18">
        <f t="shared" si="106"/>
        <v>-9.8847592325419734E-3</v>
      </c>
      <c r="J225" s="18">
        <f t="shared" si="107"/>
        <v>-1.2484556662245284E-2</v>
      </c>
      <c r="K225" s="18">
        <f t="shared" si="108"/>
        <v>6.5073072513534176E-3</v>
      </c>
      <c r="L225" s="18">
        <f t="shared" si="109"/>
        <v>4.0214614746454363E-3</v>
      </c>
      <c r="M225" s="18">
        <f t="shared" si="110"/>
        <v>-7.430708251866874E-3</v>
      </c>
      <c r="N225" s="18">
        <f t="shared" si="111"/>
        <v>-1.0297894825762313E-2</v>
      </c>
      <c r="O225" s="18">
        <f t="shared" si="112"/>
        <v>-1.2897692255465623E-2</v>
      </c>
      <c r="W225" s="18">
        <f t="shared" ca="1" si="113"/>
        <v>0.94</v>
      </c>
      <c r="X225" s="18">
        <f t="shared" ca="1" si="113"/>
        <v>0.86</v>
      </c>
      <c r="Y225" s="18">
        <f t="shared" ca="1" si="113"/>
        <v>0.22</v>
      </c>
      <c r="Z225" s="18">
        <f t="shared" ca="1" si="113"/>
        <v>0.11</v>
      </c>
      <c r="AA225" s="18">
        <f t="shared" ca="1" si="113"/>
        <v>0.02</v>
      </c>
      <c r="AB225" s="18">
        <f t="shared" ca="1" si="87"/>
        <v>2.15</v>
      </c>
      <c r="AC225" s="18">
        <f t="shared" ca="1" si="88"/>
        <v>0.43720930232558136</v>
      </c>
      <c r="AD225" s="18">
        <f t="shared" ca="1" si="89"/>
        <v>0.4</v>
      </c>
      <c r="AE225" s="18">
        <f t="shared" ca="1" si="90"/>
        <v>0.10232558139534884</v>
      </c>
      <c r="AF225" s="18">
        <f t="shared" ca="1" si="91"/>
        <v>5.1162790697674418E-2</v>
      </c>
      <c r="AG225" s="18">
        <f t="shared" ca="1" si="92"/>
        <v>9.3023255813953487E-3</v>
      </c>
      <c r="AH225" s="18">
        <f t="shared" ca="1" si="93"/>
        <v>0.99999999999999989</v>
      </c>
      <c r="AI225" s="18" cm="1">
        <f t="array" aca="1" ref="AI225" ca="1">MMULT(MMULT(AC225:AG225,$Q$2:$U$6),TRANSPOSE(AC225:AG225))</f>
        <v>1.5366507087947337E-4</v>
      </c>
      <c r="AJ225" s="18">
        <f t="shared" ca="1" si="94"/>
        <v>-3.5993356021788024E-3</v>
      </c>
      <c r="AK225" s="18">
        <f t="shared" ca="1" si="95"/>
        <v>-0.32368632169564754</v>
      </c>
      <c r="AL225" s="18">
        <f t="shared" ca="1" si="96"/>
        <v>-3.5993356021788024E-3</v>
      </c>
      <c r="AM225" s="18">
        <f t="shared" ca="1" si="97"/>
        <v>1.5366507087947337E-4</v>
      </c>
      <c r="AN225" s="18">
        <f t="shared" ca="1" si="98"/>
        <v>0.43720930232558136</v>
      </c>
      <c r="AO225" s="18">
        <f t="shared" ca="1" si="99"/>
        <v>0.4</v>
      </c>
      <c r="AP225" s="18">
        <f t="shared" ca="1" si="100"/>
        <v>0.10232558139534884</v>
      </c>
      <c r="AQ225" s="18">
        <f t="shared" ca="1" si="101"/>
        <v>5.1162790697674418E-2</v>
      </c>
      <c r="AR225" s="18">
        <f t="shared" ca="1" si="102"/>
        <v>9.3023255813953487E-3</v>
      </c>
    </row>
    <row r="226" spans="1:44">
      <c r="A226" s="20">
        <v>29.3</v>
      </c>
      <c r="B226" s="20">
        <v>22.4</v>
      </c>
      <c r="C226" s="20">
        <v>354.4</v>
      </c>
      <c r="D226" s="21">
        <v>30.2</v>
      </c>
      <c r="E226" s="20">
        <v>78.7</v>
      </c>
      <c r="F226" s="18">
        <f t="shared" si="103"/>
        <v>1.0291686036547724E-2</v>
      </c>
      <c r="G226" s="18">
        <f t="shared" si="104"/>
        <v>-8.888947417246152E-3</v>
      </c>
      <c r="H226" s="18">
        <f t="shared" si="105"/>
        <v>-1.6915707444899559E-3</v>
      </c>
      <c r="I226" s="18">
        <f t="shared" si="106"/>
        <v>0</v>
      </c>
      <c r="J226" s="18">
        <f t="shared" si="107"/>
        <v>-1.1370937426979696E-2</v>
      </c>
      <c r="K226" s="18">
        <f t="shared" si="108"/>
        <v>9.878550443327385E-3</v>
      </c>
      <c r="L226" s="18">
        <f t="shared" si="109"/>
        <v>-9.3020830104664914E-3</v>
      </c>
      <c r="M226" s="18">
        <f t="shared" si="110"/>
        <v>-2.1047063377102951E-3</v>
      </c>
      <c r="N226" s="18">
        <f t="shared" si="111"/>
        <v>-4.1313559322033898E-4</v>
      </c>
      <c r="O226" s="18">
        <f t="shared" si="112"/>
        <v>-1.1784073020200035E-2</v>
      </c>
      <c r="W226" s="18">
        <f t="shared" ca="1" si="113"/>
        <v>0.08</v>
      </c>
      <c r="X226" s="18">
        <f t="shared" ca="1" si="113"/>
        <v>0.94</v>
      </c>
      <c r="Y226" s="18">
        <f t="shared" ca="1" si="113"/>
        <v>0.87</v>
      </c>
      <c r="Z226" s="18">
        <f t="shared" ca="1" si="113"/>
        <v>0.47</v>
      </c>
      <c r="AA226" s="18">
        <f t="shared" ca="1" si="113"/>
        <v>0.19</v>
      </c>
      <c r="AB226" s="18">
        <f t="shared" ca="1" si="87"/>
        <v>2.5500000000000003</v>
      </c>
      <c r="AC226" s="18">
        <f t="shared" ca="1" si="88"/>
        <v>3.1372549019607843E-2</v>
      </c>
      <c r="AD226" s="18">
        <f t="shared" ca="1" si="89"/>
        <v>0.36862745098039212</v>
      </c>
      <c r="AE226" s="18">
        <f t="shared" ca="1" si="90"/>
        <v>0.34117647058823525</v>
      </c>
      <c r="AF226" s="18">
        <f t="shared" ca="1" si="91"/>
        <v>0.18431372549019606</v>
      </c>
      <c r="AG226" s="18">
        <f t="shared" ca="1" si="92"/>
        <v>7.4509803921568626E-2</v>
      </c>
      <c r="AH226" s="18">
        <f t="shared" ca="1" si="93"/>
        <v>0.99999999999999989</v>
      </c>
      <c r="AI226" s="18" cm="1">
        <f t="array" aca="1" ref="AI226" ca="1">MMULT(MMULT(AC226:AG226,$Q$2:$U$6),TRANSPOSE(AC226:AG226))</f>
        <v>1.6758503619173739E-4</v>
      </c>
      <c r="AJ226" s="18">
        <f t="shared" ca="1" si="94"/>
        <v>-8.8055589217765698E-3</v>
      </c>
      <c r="AK226" s="18">
        <f t="shared" ca="1" si="95"/>
        <v>-0.71211774020257224</v>
      </c>
      <c r="AL226" s="18">
        <f t="shared" ca="1" si="96"/>
        <v>-8.8055589217765698E-3</v>
      </c>
      <c r="AM226" s="18">
        <f t="shared" ca="1" si="97"/>
        <v>1.6758503619173739E-4</v>
      </c>
      <c r="AN226" s="18">
        <f t="shared" ca="1" si="98"/>
        <v>3.1372549019607843E-2</v>
      </c>
      <c r="AO226" s="18">
        <f t="shared" ca="1" si="99"/>
        <v>0.36862745098039212</v>
      </c>
      <c r="AP226" s="18">
        <f t="shared" ca="1" si="100"/>
        <v>0.34117647058823525</v>
      </c>
      <c r="AQ226" s="18">
        <f t="shared" ca="1" si="101"/>
        <v>0.18431372549019606</v>
      </c>
      <c r="AR226" s="18">
        <f t="shared" ca="1" si="102"/>
        <v>7.4509803921568626E-2</v>
      </c>
    </row>
    <row r="227" spans="1:44">
      <c r="A227" s="20">
        <v>29.5</v>
      </c>
      <c r="B227" s="20">
        <v>22.6</v>
      </c>
      <c r="C227" s="20">
        <v>356.1</v>
      </c>
      <c r="D227" s="21">
        <v>31.5</v>
      </c>
      <c r="E227" s="20">
        <v>79.7</v>
      </c>
      <c r="F227" s="18">
        <f t="shared" si="103"/>
        <v>6.8027473227523999E-3</v>
      </c>
      <c r="G227" s="18">
        <f t="shared" si="104"/>
        <v>8.8889474172462145E-3</v>
      </c>
      <c r="H227" s="18">
        <f t="shared" si="105"/>
        <v>4.7853715528063398E-3</v>
      </c>
      <c r="I227" s="18">
        <f t="shared" si="106"/>
        <v>4.2145621450763532E-2</v>
      </c>
      <c r="J227" s="18">
        <f t="shared" si="107"/>
        <v>1.2626430372811755E-2</v>
      </c>
      <c r="K227" s="18">
        <f t="shared" si="108"/>
        <v>6.3896117295320614E-3</v>
      </c>
      <c r="L227" s="18">
        <f t="shared" si="109"/>
        <v>8.4758118240258751E-3</v>
      </c>
      <c r="M227" s="18">
        <f t="shared" si="110"/>
        <v>4.3722359595860013E-3</v>
      </c>
      <c r="N227" s="18">
        <f t="shared" si="111"/>
        <v>4.1732485857543196E-2</v>
      </c>
      <c r="O227" s="18">
        <f t="shared" si="112"/>
        <v>1.2213294779591415E-2</v>
      </c>
      <c r="W227" s="18">
        <f t="shared" ca="1" si="113"/>
        <v>0.73</v>
      </c>
      <c r="X227" s="18">
        <f t="shared" ca="1" si="113"/>
        <v>0.9</v>
      </c>
      <c r="Y227" s="18">
        <f t="shared" ca="1" si="113"/>
        <v>0.6</v>
      </c>
      <c r="Z227" s="18">
        <f t="shared" ca="1" si="113"/>
        <v>0.66</v>
      </c>
      <c r="AA227" s="18">
        <f t="shared" ca="1" si="113"/>
        <v>0.3</v>
      </c>
      <c r="AB227" s="18">
        <f t="shared" ca="1" si="87"/>
        <v>3.19</v>
      </c>
      <c r="AC227" s="18">
        <f t="shared" ca="1" si="88"/>
        <v>0.22884012539184953</v>
      </c>
      <c r="AD227" s="18">
        <f t="shared" ca="1" si="89"/>
        <v>0.2821316614420063</v>
      </c>
      <c r="AE227" s="18">
        <f t="shared" ca="1" si="90"/>
        <v>0.18808777429467086</v>
      </c>
      <c r="AF227" s="18">
        <f t="shared" ca="1" si="91"/>
        <v>0.20689655172413796</v>
      </c>
      <c r="AG227" s="18">
        <f t="shared" ca="1" si="92"/>
        <v>9.4043887147335428E-2</v>
      </c>
      <c r="AH227" s="18">
        <f t="shared" ca="1" si="93"/>
        <v>1</v>
      </c>
      <c r="AI227" s="18" cm="1">
        <f t="array" aca="1" ref="AI227" ca="1">MMULT(MMULT(AC227:AG227,$Q$2:$U$6),TRANSPOSE(AC227:AG227))</f>
        <v>1.7330419886022849E-4</v>
      </c>
      <c r="AJ227" s="18">
        <f t="shared" ca="1" si="94"/>
        <v>-3.3516764773682561E-3</v>
      </c>
      <c r="AK227" s="18">
        <f t="shared" ca="1" si="95"/>
        <v>-0.28598203995771398</v>
      </c>
      <c r="AL227" s="18">
        <f t="shared" ca="1" si="96"/>
        <v>-3.3516764773682561E-3</v>
      </c>
      <c r="AM227" s="18">
        <f t="shared" ca="1" si="97"/>
        <v>1.7330419886022849E-4</v>
      </c>
      <c r="AN227" s="18">
        <f t="shared" ca="1" si="98"/>
        <v>0.22884012539184953</v>
      </c>
      <c r="AO227" s="18">
        <f t="shared" ca="1" si="99"/>
        <v>0.2821316614420063</v>
      </c>
      <c r="AP227" s="18">
        <f t="shared" ca="1" si="100"/>
        <v>0.18808777429467086</v>
      </c>
      <c r="AQ227" s="18">
        <f t="shared" ca="1" si="101"/>
        <v>0.20689655172413796</v>
      </c>
      <c r="AR227" s="18">
        <f t="shared" ca="1" si="102"/>
        <v>9.4043887147335428E-2</v>
      </c>
    </row>
    <row r="228" spans="1:44">
      <c r="A228" s="20">
        <v>29.1</v>
      </c>
      <c r="B228" s="20">
        <v>22.7</v>
      </c>
      <c r="C228" s="20">
        <v>353.7</v>
      </c>
      <c r="D228" s="21">
        <v>31.5</v>
      </c>
      <c r="E228" s="20">
        <v>78.900000000000006</v>
      </c>
      <c r="F228" s="18">
        <f t="shared" si="103"/>
        <v>-1.3652089168327207E-2</v>
      </c>
      <c r="G228" s="18">
        <f t="shared" si="104"/>
        <v>4.4150182091166933E-3</v>
      </c>
      <c r="H228" s="18">
        <f t="shared" si="105"/>
        <v>-6.7624940722972246E-3</v>
      </c>
      <c r="I228" s="18">
        <f t="shared" si="106"/>
        <v>0</v>
      </c>
      <c r="J228" s="18">
        <f t="shared" si="107"/>
        <v>-1.0088357944340766E-2</v>
      </c>
      <c r="K228" s="18">
        <f t="shared" si="108"/>
        <v>-1.4065224761547547E-2</v>
      </c>
      <c r="L228" s="18">
        <f t="shared" si="109"/>
        <v>4.0018826158963548E-3</v>
      </c>
      <c r="M228" s="18">
        <f t="shared" si="110"/>
        <v>-7.175629665517564E-3</v>
      </c>
      <c r="N228" s="18">
        <f t="shared" si="111"/>
        <v>-4.1313559322033898E-4</v>
      </c>
      <c r="O228" s="18">
        <f t="shared" si="112"/>
        <v>-1.0501493537561106E-2</v>
      </c>
      <c r="W228" s="18">
        <f t="shared" ca="1" si="113"/>
        <v>0.37</v>
      </c>
      <c r="X228" s="18">
        <f t="shared" ca="1" si="113"/>
        <v>0.69</v>
      </c>
      <c r="Y228" s="18">
        <f t="shared" ca="1" si="113"/>
        <v>0.3</v>
      </c>
      <c r="Z228" s="18">
        <f t="shared" ca="1" si="113"/>
        <v>0.35</v>
      </c>
      <c r="AA228" s="18">
        <f t="shared" ca="1" si="113"/>
        <v>0.28000000000000003</v>
      </c>
      <c r="AB228" s="18">
        <f t="shared" ca="1" si="87"/>
        <v>1.99</v>
      </c>
      <c r="AC228" s="18">
        <f t="shared" ca="1" si="88"/>
        <v>0.18592964824120603</v>
      </c>
      <c r="AD228" s="18">
        <f t="shared" ca="1" si="89"/>
        <v>0.34673366834170849</v>
      </c>
      <c r="AE228" s="18">
        <f t="shared" ca="1" si="90"/>
        <v>0.15075376884422109</v>
      </c>
      <c r="AF228" s="18">
        <f t="shared" ca="1" si="91"/>
        <v>0.17587939698492461</v>
      </c>
      <c r="AG228" s="18">
        <f t="shared" ca="1" si="92"/>
        <v>0.14070351758793972</v>
      </c>
      <c r="AH228" s="18">
        <f t="shared" ca="1" si="93"/>
        <v>1</v>
      </c>
      <c r="AI228" s="18" cm="1">
        <f t="array" aca="1" ref="AI228" ca="1">MMULT(MMULT(AC228:AG228,$Q$2:$U$6),TRANSPOSE(AC228:AG228))</f>
        <v>1.7545165802703957E-4</v>
      </c>
      <c r="AJ228" s="18">
        <f t="shared" ca="1" si="94"/>
        <v>-4.047494245381777E-3</v>
      </c>
      <c r="AK228" s="18">
        <f t="shared" ca="1" si="95"/>
        <v>-0.33675763188823743</v>
      </c>
      <c r="AL228" s="18">
        <f t="shared" ca="1" si="96"/>
        <v>-4.047494245381777E-3</v>
      </c>
      <c r="AM228" s="18">
        <f t="shared" ca="1" si="97"/>
        <v>1.7545165802703957E-4</v>
      </c>
      <c r="AN228" s="18">
        <f t="shared" ca="1" si="98"/>
        <v>0.18592964824120603</v>
      </c>
      <c r="AO228" s="18">
        <f t="shared" ca="1" si="99"/>
        <v>0.34673366834170849</v>
      </c>
      <c r="AP228" s="18">
        <f t="shared" ca="1" si="100"/>
        <v>0.15075376884422109</v>
      </c>
      <c r="AQ228" s="18">
        <f t="shared" ca="1" si="101"/>
        <v>0.17587939698492461</v>
      </c>
      <c r="AR228" s="18">
        <f t="shared" ca="1" si="102"/>
        <v>0.14070351758793972</v>
      </c>
    </row>
    <row r="229" spans="1:44">
      <c r="A229" s="20">
        <v>29.3</v>
      </c>
      <c r="B229" s="20">
        <v>22.7</v>
      </c>
      <c r="C229" s="20">
        <v>355.1</v>
      </c>
      <c r="D229" s="21">
        <v>31.8</v>
      </c>
      <c r="E229" s="20">
        <v>79.900000000000006</v>
      </c>
      <c r="F229" s="18">
        <f t="shared" si="103"/>
        <v>6.8493418455747683E-3</v>
      </c>
      <c r="G229" s="18">
        <f t="shared" si="104"/>
        <v>0</v>
      </c>
      <c r="H229" s="18">
        <f t="shared" si="105"/>
        <v>3.9503437376074216E-3</v>
      </c>
      <c r="I229" s="18">
        <f t="shared" si="106"/>
        <v>9.4787439545437387E-3</v>
      </c>
      <c r="J229" s="18">
        <f t="shared" si="107"/>
        <v>1.2594624920400458E-2</v>
      </c>
      <c r="K229" s="18">
        <f t="shared" si="108"/>
        <v>6.4362062523544289E-3</v>
      </c>
      <c r="L229" s="18">
        <f t="shared" si="109"/>
        <v>-4.1313559322033898E-4</v>
      </c>
      <c r="M229" s="18">
        <f t="shared" si="110"/>
        <v>3.5372081443870826E-3</v>
      </c>
      <c r="N229" s="18">
        <f t="shared" si="111"/>
        <v>9.0656083613233993E-3</v>
      </c>
      <c r="O229" s="18">
        <f t="shared" si="112"/>
        <v>1.2181489327180118E-2</v>
      </c>
      <c r="W229" s="18">
        <f t="shared" ca="1" si="113"/>
        <v>0.46</v>
      </c>
      <c r="X229" s="18">
        <f t="shared" ca="1" si="113"/>
        <v>0.37</v>
      </c>
      <c r="Y229" s="18">
        <f t="shared" ca="1" si="113"/>
        <v>0.15</v>
      </c>
      <c r="Z229" s="18">
        <f t="shared" ca="1" si="113"/>
        <v>0.26</v>
      </c>
      <c r="AA229" s="18">
        <f t="shared" ca="1" si="113"/>
        <v>1</v>
      </c>
      <c r="AB229" s="18">
        <f t="shared" ca="1" si="87"/>
        <v>2.2400000000000002</v>
      </c>
      <c r="AC229" s="18">
        <f t="shared" ca="1" si="88"/>
        <v>0.20535714285714285</v>
      </c>
      <c r="AD229" s="18">
        <f t="shared" ca="1" si="89"/>
        <v>0.16517857142857142</v>
      </c>
      <c r="AE229" s="18">
        <f t="shared" ca="1" si="90"/>
        <v>6.6964285714285712E-2</v>
      </c>
      <c r="AF229" s="18">
        <f t="shared" ca="1" si="91"/>
        <v>0.11607142857142856</v>
      </c>
      <c r="AG229" s="18">
        <f t="shared" ca="1" si="92"/>
        <v>0.4464285714285714</v>
      </c>
      <c r="AH229" s="18">
        <f t="shared" ca="1" si="93"/>
        <v>1</v>
      </c>
      <c r="AI229" s="18" cm="1">
        <f t="array" aca="1" ref="AI229" ca="1">MMULT(MMULT(AC229:AG229,$Q$2:$U$6),TRANSPOSE(AC229:AG229))</f>
        <v>3.4465330045697147E-4</v>
      </c>
      <c r="AJ229" s="18">
        <f t="shared" ca="1" si="94"/>
        <v>1.7926821143827748E-4</v>
      </c>
      <c r="AK229" s="18">
        <f t="shared" ca="1" si="95"/>
        <v>-1.2597327866822173E-2</v>
      </c>
      <c r="AL229" s="18">
        <f t="shared" ca="1" si="96"/>
        <v>1.7926821143827748E-4</v>
      </c>
      <c r="AM229" s="18">
        <f t="shared" ca="1" si="97"/>
        <v>3.4465330045697147E-4</v>
      </c>
      <c r="AN229" s="18">
        <f t="shared" ca="1" si="98"/>
        <v>0.20535714285714285</v>
      </c>
      <c r="AO229" s="18">
        <f t="shared" ca="1" si="99"/>
        <v>0.16517857142857142</v>
      </c>
      <c r="AP229" s="18">
        <f t="shared" ca="1" si="100"/>
        <v>6.6964285714285712E-2</v>
      </c>
      <c r="AQ229" s="18">
        <f t="shared" ca="1" si="101"/>
        <v>0.11607142857142856</v>
      </c>
      <c r="AR229" s="18">
        <f t="shared" ca="1" si="102"/>
        <v>0.4464285714285714</v>
      </c>
    </row>
    <row r="230" spans="1:44">
      <c r="A230" s="20">
        <v>29.5</v>
      </c>
      <c r="B230" s="20">
        <v>22.8</v>
      </c>
      <c r="C230" s="20">
        <v>356.5</v>
      </c>
      <c r="D230" s="21">
        <v>31.8</v>
      </c>
      <c r="E230" s="20">
        <v>81</v>
      </c>
      <c r="F230" s="18">
        <f t="shared" si="103"/>
        <v>6.8027473227523999E-3</v>
      </c>
      <c r="G230" s="18">
        <f t="shared" si="104"/>
        <v>4.3956114730381293E-3</v>
      </c>
      <c r="H230" s="18">
        <f t="shared" si="105"/>
        <v>3.93479990530837E-3</v>
      </c>
      <c r="I230" s="18">
        <f t="shared" si="106"/>
        <v>0</v>
      </c>
      <c r="J230" s="18">
        <f t="shared" si="107"/>
        <v>1.3673301900209642E-2</v>
      </c>
      <c r="K230" s="18">
        <f t="shared" si="108"/>
        <v>6.3896117295320614E-3</v>
      </c>
      <c r="L230" s="18">
        <f t="shared" si="109"/>
        <v>3.9824758798177907E-3</v>
      </c>
      <c r="M230" s="18">
        <f t="shared" si="110"/>
        <v>3.5216643120880311E-3</v>
      </c>
      <c r="N230" s="18">
        <f t="shared" si="111"/>
        <v>-4.1313559322033898E-4</v>
      </c>
      <c r="O230" s="18">
        <f t="shared" si="112"/>
        <v>1.3260166306989302E-2</v>
      </c>
      <c r="W230" s="18">
        <f t="shared" ca="1" si="113"/>
        <v>0.05</v>
      </c>
      <c r="X230" s="18">
        <f t="shared" ca="1" si="113"/>
        <v>0.26</v>
      </c>
      <c r="Y230" s="18">
        <f t="shared" ca="1" si="113"/>
        <v>0.95</v>
      </c>
      <c r="Z230" s="18">
        <f t="shared" ca="1" si="113"/>
        <v>0.75</v>
      </c>
      <c r="AA230" s="18">
        <f t="shared" ca="1" si="113"/>
        <v>0.17</v>
      </c>
      <c r="AB230" s="18">
        <f t="shared" ca="1" si="87"/>
        <v>2.1799999999999997</v>
      </c>
      <c r="AC230" s="18">
        <f t="shared" ca="1" si="88"/>
        <v>2.2935779816513766E-2</v>
      </c>
      <c r="AD230" s="18">
        <f t="shared" ca="1" si="89"/>
        <v>0.11926605504587158</v>
      </c>
      <c r="AE230" s="18">
        <f t="shared" ca="1" si="90"/>
        <v>0.43577981651376152</v>
      </c>
      <c r="AF230" s="18">
        <f t="shared" ca="1" si="91"/>
        <v>0.34403669724770647</v>
      </c>
      <c r="AG230" s="18">
        <f t="shared" ca="1" si="92"/>
        <v>7.7981651376146807E-2</v>
      </c>
      <c r="AH230" s="18">
        <f t="shared" ca="1" si="93"/>
        <v>1.0000000000000002</v>
      </c>
      <c r="AI230" s="18" cm="1">
        <f t="array" aca="1" ref="AI230" ca="1">MMULT(MMULT(AC230:AG230,$Q$2:$U$6),TRANSPOSE(AC230:AG230))</f>
        <v>2.3694184796664382E-4</v>
      </c>
      <c r="AJ230" s="18">
        <f t="shared" ca="1" si="94"/>
        <v>-5.6886855100708143E-3</v>
      </c>
      <c r="AK230" s="18">
        <f t="shared" ca="1" si="95"/>
        <v>-0.39640450819360495</v>
      </c>
      <c r="AL230" s="18">
        <f t="shared" ca="1" si="96"/>
        <v>-5.6886855100708143E-3</v>
      </c>
      <c r="AM230" s="18">
        <f t="shared" ca="1" si="97"/>
        <v>2.3694184796664382E-4</v>
      </c>
      <c r="AN230" s="18">
        <f t="shared" ca="1" si="98"/>
        <v>2.2935779816513766E-2</v>
      </c>
      <c r="AO230" s="18">
        <f t="shared" ca="1" si="99"/>
        <v>0.11926605504587158</v>
      </c>
      <c r="AP230" s="18">
        <f t="shared" ca="1" si="100"/>
        <v>0.43577981651376152</v>
      </c>
      <c r="AQ230" s="18">
        <f t="shared" ca="1" si="101"/>
        <v>0.34403669724770647</v>
      </c>
      <c r="AR230" s="18">
        <f t="shared" ca="1" si="102"/>
        <v>7.7981651376146807E-2</v>
      </c>
    </row>
    <row r="231" spans="1:44">
      <c r="A231" s="20">
        <v>28.9</v>
      </c>
      <c r="B231" s="20">
        <v>22.8</v>
      </c>
      <c r="C231" s="20">
        <v>356.3</v>
      </c>
      <c r="D231" s="21">
        <v>31.6</v>
      </c>
      <c r="E231" s="20">
        <v>78.3</v>
      </c>
      <c r="F231" s="18">
        <f t="shared" si="103"/>
        <v>-2.0548668227387677E-2</v>
      </c>
      <c r="G231" s="18">
        <f t="shared" si="104"/>
        <v>0</v>
      </c>
      <c r="H231" s="18">
        <f t="shared" si="105"/>
        <v>-5.6116724256027449E-4</v>
      </c>
      <c r="I231" s="18">
        <f t="shared" si="106"/>
        <v>-6.309169193264721E-3</v>
      </c>
      <c r="J231" s="18">
        <f t="shared" si="107"/>
        <v>-3.3901551675681339E-2</v>
      </c>
      <c r="K231" s="18">
        <f t="shared" si="108"/>
        <v>-2.0961803820608017E-2</v>
      </c>
      <c r="L231" s="18">
        <f t="shared" si="109"/>
        <v>-4.1313559322033898E-4</v>
      </c>
      <c r="M231" s="18">
        <f t="shared" si="110"/>
        <v>-9.7430283578061347E-4</v>
      </c>
      <c r="N231" s="18">
        <f t="shared" si="111"/>
        <v>-6.7223047864850595E-3</v>
      </c>
      <c r="O231" s="18">
        <f t="shared" si="112"/>
        <v>-3.4314687268901675E-2</v>
      </c>
      <c r="W231" s="18">
        <f t="shared" ca="1" si="113"/>
        <v>0.02</v>
      </c>
      <c r="X231" s="18">
        <f t="shared" ca="1" si="113"/>
        <v>0.67</v>
      </c>
      <c r="Y231" s="18">
        <f t="shared" ca="1" si="113"/>
        <v>0.28000000000000003</v>
      </c>
      <c r="Z231" s="18">
        <f t="shared" ca="1" si="113"/>
        <v>0.74</v>
      </c>
      <c r="AA231" s="18">
        <f t="shared" ca="1" si="113"/>
        <v>0.52</v>
      </c>
      <c r="AB231" s="18">
        <f t="shared" ca="1" si="87"/>
        <v>2.23</v>
      </c>
      <c r="AC231" s="18">
        <f t="shared" ca="1" si="88"/>
        <v>8.9686098654708519E-3</v>
      </c>
      <c r="AD231" s="18">
        <f t="shared" ca="1" si="89"/>
        <v>0.30044843049327358</v>
      </c>
      <c r="AE231" s="18">
        <f t="shared" ca="1" si="90"/>
        <v>0.12556053811659193</v>
      </c>
      <c r="AF231" s="18">
        <f t="shared" ca="1" si="91"/>
        <v>0.33183856502242154</v>
      </c>
      <c r="AG231" s="18">
        <f t="shared" ca="1" si="92"/>
        <v>0.23318385650224216</v>
      </c>
      <c r="AH231" s="18">
        <f t="shared" ca="1" si="93"/>
        <v>1</v>
      </c>
      <c r="AI231" s="18" cm="1">
        <f t="array" aca="1" ref="AI231" ca="1">MMULT(MMULT(AC231:AG231,$Q$2:$U$6),TRANSPOSE(AC231:AG231))</f>
        <v>2.7630750492195288E-4</v>
      </c>
      <c r="AJ231" s="18">
        <f t="shared" ca="1" si="94"/>
        <v>-2.6051792403041E-3</v>
      </c>
      <c r="AK231" s="18">
        <f t="shared" ca="1" si="95"/>
        <v>-0.18158007765246309</v>
      </c>
      <c r="AL231" s="18">
        <f t="shared" ca="1" si="96"/>
        <v>-2.6051792403041E-3</v>
      </c>
      <c r="AM231" s="18">
        <f t="shared" ca="1" si="97"/>
        <v>2.7630750492195288E-4</v>
      </c>
      <c r="AN231" s="18">
        <f t="shared" ca="1" si="98"/>
        <v>8.9686098654708519E-3</v>
      </c>
      <c r="AO231" s="18">
        <f t="shared" ca="1" si="99"/>
        <v>0.30044843049327358</v>
      </c>
      <c r="AP231" s="18">
        <f t="shared" ca="1" si="100"/>
        <v>0.12556053811659193</v>
      </c>
      <c r="AQ231" s="18">
        <f t="shared" ca="1" si="101"/>
        <v>0.33183856502242154</v>
      </c>
      <c r="AR231" s="18">
        <f t="shared" ca="1" si="102"/>
        <v>0.23318385650224216</v>
      </c>
    </row>
    <row r="232" spans="1:44">
      <c r="A232" s="20">
        <v>29</v>
      </c>
      <c r="B232" s="20">
        <v>23</v>
      </c>
      <c r="C232" s="20">
        <v>360</v>
      </c>
      <c r="D232" s="21">
        <v>32.700000000000003</v>
      </c>
      <c r="E232" s="20">
        <v>81.400000000000006</v>
      </c>
      <c r="F232" s="18">
        <f t="shared" si="103"/>
        <v>3.4542348680876036E-3</v>
      </c>
      <c r="G232" s="18">
        <f t="shared" si="104"/>
        <v>8.7336799687546315E-3</v>
      </c>
      <c r="H232" s="18">
        <f t="shared" si="105"/>
        <v>1.033095883836529E-2</v>
      </c>
      <c r="I232" s="18">
        <f t="shared" si="106"/>
        <v>3.4217957310341246E-2</v>
      </c>
      <c r="J232" s="18">
        <f t="shared" si="107"/>
        <v>3.8827670011737231E-2</v>
      </c>
      <c r="K232" s="18">
        <f t="shared" si="108"/>
        <v>3.0410992748672646E-3</v>
      </c>
      <c r="L232" s="18">
        <f t="shared" si="109"/>
        <v>8.3205443755342921E-3</v>
      </c>
      <c r="M232" s="18">
        <f t="shared" si="110"/>
        <v>9.9178232451449504E-3</v>
      </c>
      <c r="N232" s="18">
        <f t="shared" si="111"/>
        <v>3.380482171712091E-2</v>
      </c>
      <c r="O232" s="18">
        <f t="shared" si="112"/>
        <v>3.8414534418516895E-2</v>
      </c>
      <c r="W232" s="18">
        <f t="shared" ca="1" si="113"/>
        <v>0.71</v>
      </c>
      <c r="X232" s="18">
        <f t="shared" ca="1" si="113"/>
        <v>0.42</v>
      </c>
      <c r="Y232" s="18">
        <f t="shared" ca="1" si="113"/>
        <v>0.75</v>
      </c>
      <c r="Z232" s="18">
        <f t="shared" ca="1" si="113"/>
        <v>0.33</v>
      </c>
      <c r="AA232" s="18">
        <f t="shared" ca="1" si="113"/>
        <v>0.61</v>
      </c>
      <c r="AB232" s="18">
        <f t="shared" ca="1" si="87"/>
        <v>2.82</v>
      </c>
      <c r="AC232" s="18">
        <f t="shared" ca="1" si="88"/>
        <v>0.25177304964539005</v>
      </c>
      <c r="AD232" s="18">
        <f t="shared" ca="1" si="89"/>
        <v>0.14893617021276595</v>
      </c>
      <c r="AE232" s="18">
        <f t="shared" ca="1" si="90"/>
        <v>0.26595744680851063</v>
      </c>
      <c r="AF232" s="18">
        <f t="shared" ca="1" si="91"/>
        <v>0.1170212765957447</v>
      </c>
      <c r="AG232" s="18">
        <f t="shared" ca="1" si="92"/>
        <v>0.21631205673758866</v>
      </c>
      <c r="AH232" s="18">
        <f t="shared" ca="1" si="93"/>
        <v>1</v>
      </c>
      <c r="AI232" s="18" cm="1">
        <f t="array" aca="1" ref="AI232" ca="1">MMULT(MMULT(AC232:AG232,$Q$2:$U$6),TRANSPOSE(AC232:AG232))</f>
        <v>1.7054655495845629E-4</v>
      </c>
      <c r="AJ232" s="18">
        <f t="shared" ca="1" si="94"/>
        <v>-3.2580696732064738E-3</v>
      </c>
      <c r="AK232" s="18">
        <f t="shared" ca="1" si="95"/>
        <v>-0.28111705349395061</v>
      </c>
      <c r="AL232" s="18">
        <f t="shared" ca="1" si="96"/>
        <v>-3.2580696732064738E-3</v>
      </c>
      <c r="AM232" s="18">
        <f t="shared" ca="1" si="97"/>
        <v>1.7054655495845629E-4</v>
      </c>
      <c r="AN232" s="18">
        <f t="shared" ca="1" si="98"/>
        <v>0.25177304964539005</v>
      </c>
      <c r="AO232" s="18">
        <f t="shared" ca="1" si="99"/>
        <v>0.14893617021276595</v>
      </c>
      <c r="AP232" s="18">
        <f t="shared" ca="1" si="100"/>
        <v>0.26595744680851063</v>
      </c>
      <c r="AQ232" s="18">
        <f t="shared" ca="1" si="101"/>
        <v>0.1170212765957447</v>
      </c>
      <c r="AR232" s="18">
        <f t="shared" ca="1" si="102"/>
        <v>0.21631205673758866</v>
      </c>
    </row>
    <row r="233" spans="1:44">
      <c r="A233" s="20">
        <v>29.4</v>
      </c>
      <c r="B233" s="20">
        <v>22.7</v>
      </c>
      <c r="C233" s="20">
        <v>368.6</v>
      </c>
      <c r="D233" s="21">
        <v>32.9</v>
      </c>
      <c r="E233" s="20">
        <v>82.4</v>
      </c>
      <c r="F233" s="18">
        <f t="shared" si="103"/>
        <v>1.3698844358161927E-2</v>
      </c>
      <c r="G233" s="18">
        <f t="shared" si="104"/>
        <v>-1.3129291441792736E-2</v>
      </c>
      <c r="H233" s="18">
        <f t="shared" si="105"/>
        <v>2.3608013785567181E-2</v>
      </c>
      <c r="I233" s="18">
        <f t="shared" si="106"/>
        <v>6.0975798681183165E-3</v>
      </c>
      <c r="J233" s="18">
        <f t="shared" si="107"/>
        <v>1.2210163906931337E-2</v>
      </c>
      <c r="K233" s="18">
        <f t="shared" si="108"/>
        <v>1.3285708764941588E-2</v>
      </c>
      <c r="L233" s="18">
        <f t="shared" si="109"/>
        <v>-1.3542427035013075E-2</v>
      </c>
      <c r="M233" s="18">
        <f t="shared" si="110"/>
        <v>2.3194878192346842E-2</v>
      </c>
      <c r="N233" s="18">
        <f t="shared" si="111"/>
        <v>5.6844442748979779E-3</v>
      </c>
      <c r="O233" s="18">
        <f t="shared" si="112"/>
        <v>1.1797028313710997E-2</v>
      </c>
      <c r="W233" s="18">
        <f t="shared" ca="1" si="113"/>
        <v>0.51</v>
      </c>
      <c r="X233" s="18">
        <f t="shared" ca="1" si="113"/>
        <v>0.05</v>
      </c>
      <c r="Y233" s="18">
        <f t="shared" ca="1" si="113"/>
        <v>0.11</v>
      </c>
      <c r="Z233" s="18">
        <f t="shared" ca="1" si="113"/>
        <v>0.16</v>
      </c>
      <c r="AA233" s="18">
        <f t="shared" ca="1" si="113"/>
        <v>0.93</v>
      </c>
      <c r="AB233" s="18">
        <f t="shared" ca="1" si="87"/>
        <v>1.7600000000000002</v>
      </c>
      <c r="AC233" s="18">
        <f t="shared" ca="1" si="88"/>
        <v>0.28977272727272724</v>
      </c>
      <c r="AD233" s="18">
        <f t="shared" ca="1" si="89"/>
        <v>2.8409090909090908E-2</v>
      </c>
      <c r="AE233" s="18">
        <f t="shared" ca="1" si="90"/>
        <v>6.2499999999999993E-2</v>
      </c>
      <c r="AF233" s="18">
        <f t="shared" ca="1" si="91"/>
        <v>9.0909090909090898E-2</v>
      </c>
      <c r="AG233" s="18">
        <f t="shared" ca="1" si="92"/>
        <v>0.52840909090909083</v>
      </c>
      <c r="AH233" s="18">
        <f t="shared" ca="1" si="93"/>
        <v>0.99999999999999978</v>
      </c>
      <c r="AI233" s="18" cm="1">
        <f t="array" aca="1" ref="AI233" ca="1">MMULT(MMULT(AC233:AG233,$Q$2:$U$6),TRANSPOSE(AC233:AG233))</f>
        <v>4.3889792319380081E-4</v>
      </c>
      <c r="AJ233" s="18">
        <f t="shared" ca="1" si="94"/>
        <v>2.6645963511915094E-3</v>
      </c>
      <c r="AK233" s="18">
        <f t="shared" ca="1" si="95"/>
        <v>0.10746885427218206</v>
      </c>
      <c r="AL233" s="18">
        <f t="shared" ca="1" si="96"/>
        <v>2.6645963511915094E-3</v>
      </c>
      <c r="AM233" s="18">
        <f t="shared" ca="1" si="97"/>
        <v>4.3889792319380081E-4</v>
      </c>
      <c r="AN233" s="18">
        <f t="shared" ca="1" si="98"/>
        <v>0.28977272727272724</v>
      </c>
      <c r="AO233" s="18">
        <f t="shared" ca="1" si="99"/>
        <v>2.8409090909090908E-2</v>
      </c>
      <c r="AP233" s="18">
        <f t="shared" ca="1" si="100"/>
        <v>6.2499999999999993E-2</v>
      </c>
      <c r="AQ233" s="18">
        <f t="shared" ca="1" si="101"/>
        <v>9.0909090909090898E-2</v>
      </c>
      <c r="AR233" s="18">
        <f t="shared" ca="1" si="102"/>
        <v>0.52840909090909083</v>
      </c>
    </row>
    <row r="234" spans="1:44">
      <c r="A234" s="20">
        <v>28.3</v>
      </c>
      <c r="B234" s="20">
        <v>22.4</v>
      </c>
      <c r="C234" s="20">
        <v>367.6</v>
      </c>
      <c r="D234" s="21">
        <v>33.1</v>
      </c>
      <c r="E234" s="20">
        <v>83.3</v>
      </c>
      <c r="F234" s="18">
        <f t="shared" si="103"/>
        <v>-3.8132869695443918E-2</v>
      </c>
      <c r="G234" s="18">
        <f t="shared" si="104"/>
        <v>-1.3303965626362815E-2</v>
      </c>
      <c r="H234" s="18">
        <f t="shared" si="105"/>
        <v>-2.7166547541909018E-3</v>
      </c>
      <c r="I234" s="18">
        <f t="shared" si="106"/>
        <v>6.0606246116911748E-3</v>
      </c>
      <c r="J234" s="18">
        <f t="shared" si="107"/>
        <v>1.0863112257370931E-2</v>
      </c>
      <c r="K234" s="18">
        <f t="shared" si="108"/>
        <v>-3.8546005288664253E-2</v>
      </c>
      <c r="L234" s="18">
        <f t="shared" si="109"/>
        <v>-1.3717101219583154E-2</v>
      </c>
      <c r="M234" s="18">
        <f t="shared" si="110"/>
        <v>-3.1297903474112408E-3</v>
      </c>
      <c r="N234" s="18">
        <f t="shared" si="111"/>
        <v>5.6474890184708363E-3</v>
      </c>
      <c r="O234" s="18">
        <f t="shared" si="112"/>
        <v>1.0449976664150592E-2</v>
      </c>
      <c r="W234" s="18">
        <f t="shared" ca="1" si="113"/>
        <v>0.27</v>
      </c>
      <c r="X234" s="18">
        <f t="shared" ca="1" si="113"/>
        <v>0.74</v>
      </c>
      <c r="Y234" s="18">
        <f t="shared" ca="1" si="113"/>
        <v>0.39</v>
      </c>
      <c r="Z234" s="18">
        <f t="shared" ca="1" si="113"/>
        <v>0.08</v>
      </c>
      <c r="AA234" s="18">
        <f t="shared" ca="1" si="113"/>
        <v>0.52</v>
      </c>
      <c r="AB234" s="18">
        <f t="shared" ca="1" si="87"/>
        <v>2</v>
      </c>
      <c r="AC234" s="18">
        <f t="shared" ca="1" si="88"/>
        <v>0.13500000000000001</v>
      </c>
      <c r="AD234" s="18">
        <f t="shared" ca="1" si="89"/>
        <v>0.37</v>
      </c>
      <c r="AE234" s="18">
        <f t="shared" ca="1" si="90"/>
        <v>0.19500000000000001</v>
      </c>
      <c r="AF234" s="18">
        <f t="shared" ca="1" si="91"/>
        <v>0.04</v>
      </c>
      <c r="AG234" s="18">
        <f t="shared" ca="1" si="92"/>
        <v>0.26</v>
      </c>
      <c r="AH234" s="18">
        <f t="shared" ca="1" si="93"/>
        <v>1</v>
      </c>
      <c r="AI234" s="18" cm="1">
        <f t="array" aca="1" ref="AI234" ca="1">MMULT(MMULT(AC234:AG234,$Q$2:$U$6),TRANSPOSE(AC234:AG234))</f>
        <v>1.9134160937745283E-4</v>
      </c>
      <c r="AJ234" s="18">
        <f t="shared" ca="1" si="94"/>
        <v>-6.4246419724843726E-3</v>
      </c>
      <c r="AK234" s="18">
        <f t="shared" ca="1" si="95"/>
        <v>-0.49432236242082733</v>
      </c>
      <c r="AL234" s="18">
        <f t="shared" ca="1" si="96"/>
        <v>-6.4246419724843726E-3</v>
      </c>
      <c r="AM234" s="18">
        <f t="shared" ca="1" si="97"/>
        <v>1.9134160937745283E-4</v>
      </c>
      <c r="AN234" s="18">
        <f t="shared" ca="1" si="98"/>
        <v>0.13500000000000001</v>
      </c>
      <c r="AO234" s="18">
        <f t="shared" ca="1" si="99"/>
        <v>0.37</v>
      </c>
      <c r="AP234" s="18">
        <f t="shared" ca="1" si="100"/>
        <v>0.19500000000000001</v>
      </c>
      <c r="AQ234" s="18">
        <f t="shared" ca="1" si="101"/>
        <v>0.04</v>
      </c>
      <c r="AR234" s="18">
        <f t="shared" ca="1" si="102"/>
        <v>0.26</v>
      </c>
    </row>
    <row r="235" spans="1:44">
      <c r="A235" s="20">
        <v>28.5</v>
      </c>
      <c r="B235" s="20">
        <v>22.1</v>
      </c>
      <c r="C235" s="20">
        <v>361.3</v>
      </c>
      <c r="D235" s="21">
        <v>33.4</v>
      </c>
      <c r="E235" s="20">
        <v>83.5</v>
      </c>
      <c r="F235" s="18">
        <f t="shared" si="103"/>
        <v>7.042282625412951E-3</v>
      </c>
      <c r="G235" s="18">
        <f t="shared" si="104"/>
        <v>-1.3483350337286875E-2</v>
      </c>
      <c r="H235" s="18">
        <f t="shared" si="105"/>
        <v>-1.7286752327937492E-2</v>
      </c>
      <c r="I235" s="18">
        <f t="shared" si="106"/>
        <v>9.0226175996373312E-3</v>
      </c>
      <c r="J235" s="18">
        <f t="shared" si="107"/>
        <v>2.3980826840128461E-3</v>
      </c>
      <c r="K235" s="18">
        <f t="shared" si="108"/>
        <v>6.6291470321926116E-3</v>
      </c>
      <c r="L235" s="18">
        <f t="shared" si="109"/>
        <v>-1.3896485930507215E-2</v>
      </c>
      <c r="M235" s="18">
        <f t="shared" si="110"/>
        <v>-1.7699887921157832E-2</v>
      </c>
      <c r="N235" s="18">
        <f t="shared" si="111"/>
        <v>8.6094820064169918E-3</v>
      </c>
      <c r="O235" s="18">
        <f t="shared" si="112"/>
        <v>1.9849470907925071E-3</v>
      </c>
      <c r="W235" s="18">
        <f t="shared" ca="1" si="113"/>
        <v>0.12</v>
      </c>
      <c r="X235" s="18">
        <f t="shared" ca="1" si="113"/>
        <v>0.44</v>
      </c>
      <c r="Y235" s="18">
        <f t="shared" ca="1" si="113"/>
        <v>0.77</v>
      </c>
      <c r="Z235" s="18">
        <f t="shared" ca="1" si="113"/>
        <v>0.27</v>
      </c>
      <c r="AA235" s="18">
        <f t="shared" ca="1" si="113"/>
        <v>0.02</v>
      </c>
      <c r="AB235" s="18">
        <f t="shared" ca="1" si="87"/>
        <v>1.62</v>
      </c>
      <c r="AC235" s="18">
        <f t="shared" ca="1" si="88"/>
        <v>7.407407407407407E-2</v>
      </c>
      <c r="AD235" s="18">
        <f t="shared" ca="1" si="89"/>
        <v>0.27160493827160492</v>
      </c>
      <c r="AE235" s="18">
        <f t="shared" ca="1" si="90"/>
        <v>0.47530864197530864</v>
      </c>
      <c r="AF235" s="18">
        <f t="shared" ca="1" si="91"/>
        <v>0.16666666666666666</v>
      </c>
      <c r="AG235" s="18">
        <f t="shared" ca="1" si="92"/>
        <v>1.2345679012345678E-2</v>
      </c>
      <c r="AH235" s="18">
        <f t="shared" ca="1" si="93"/>
        <v>1</v>
      </c>
      <c r="AI235" s="18" cm="1">
        <f t="array" aca="1" ref="AI235" ca="1">MMULT(MMULT(AC235:AG235,$Q$2:$U$6),TRANSPOSE(AC235:AG235))</f>
        <v>1.5822748994525853E-4</v>
      </c>
      <c r="AJ235" s="18">
        <f t="shared" ca="1" si="94"/>
        <v>-9.8236611853618535E-3</v>
      </c>
      <c r="AK235" s="18">
        <f t="shared" ca="1" si="95"/>
        <v>-0.81381016919457916</v>
      </c>
      <c r="AL235" s="18">
        <f t="shared" ca="1" si="96"/>
        <v>-9.8236611853618535E-3</v>
      </c>
      <c r="AM235" s="18">
        <f t="shared" ca="1" si="97"/>
        <v>1.5822748994525853E-4</v>
      </c>
      <c r="AN235" s="18">
        <f t="shared" ca="1" si="98"/>
        <v>7.407407407407407E-2</v>
      </c>
      <c r="AO235" s="18">
        <f t="shared" ca="1" si="99"/>
        <v>0.27160493827160492</v>
      </c>
      <c r="AP235" s="18">
        <f t="shared" ca="1" si="100"/>
        <v>0.47530864197530864</v>
      </c>
      <c r="AQ235" s="18">
        <f t="shared" ca="1" si="101"/>
        <v>0.16666666666666666</v>
      </c>
      <c r="AR235" s="18">
        <f t="shared" ca="1" si="102"/>
        <v>1.2345679012345678E-2</v>
      </c>
    </row>
    <row r="236" spans="1:44">
      <c r="F236" s="18">
        <f>AVERAGE(F3:F235)</f>
        <v>4.5416778242643499E-5</v>
      </c>
      <c r="G236" s="18">
        <f t="shared" ref="G236:J236" si="114">AVERAGE(G3:G235)</f>
        <v>-4.5995207903266601E-4</v>
      </c>
      <c r="H236" s="18">
        <f t="shared" si="114"/>
        <v>1.5890546049872115E-3</v>
      </c>
      <c r="I236" s="18">
        <f t="shared" si="114"/>
        <v>-1.3456755275429396E-3</v>
      </c>
      <c r="J236" s="18">
        <f t="shared" si="114"/>
        <v>-2.8044948957650735E-3</v>
      </c>
      <c r="K236" s="18">
        <f t="shared" si="108"/>
        <v>-3.6771881497769547E-4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143B-DF97-468E-840B-CD508E169CA2}">
  <dimension ref="A1:L241"/>
  <sheetViews>
    <sheetView workbookViewId="0">
      <selection activeCell="D3" sqref="D3:D241"/>
    </sheetView>
  </sheetViews>
  <sheetFormatPr defaultColWidth="8.875" defaultRowHeight="14.25"/>
  <cols>
    <col min="1" max="16384" width="8.875" style="2"/>
  </cols>
  <sheetData>
    <row r="1" spans="1:12" ht="30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8.5">
      <c r="A3" s="3">
        <v>1</v>
      </c>
      <c r="B3" s="4">
        <v>46015</v>
      </c>
      <c r="C3" s="5" t="s">
        <v>18</v>
      </c>
      <c r="D3" s="6">
        <v>24.6</v>
      </c>
      <c r="E3" s="6">
        <v>24.7</v>
      </c>
      <c r="F3" s="6">
        <v>24</v>
      </c>
      <c r="G3" s="6">
        <v>24.2</v>
      </c>
      <c r="H3" s="6">
        <v>24.6</v>
      </c>
      <c r="I3" s="6">
        <v>24.1</v>
      </c>
      <c r="J3" s="7">
        <v>1269</v>
      </c>
      <c r="K3" s="6">
        <v>131.047</v>
      </c>
      <c r="L3" s="7">
        <v>5403520</v>
      </c>
    </row>
    <row r="4" spans="1:12" ht="28.5">
      <c r="A4" s="3">
        <v>2</v>
      </c>
      <c r="B4" s="4">
        <v>46014</v>
      </c>
      <c r="C4" s="5" t="s">
        <v>18</v>
      </c>
      <c r="D4" s="6">
        <v>24.1</v>
      </c>
      <c r="E4" s="6">
        <v>24.3</v>
      </c>
      <c r="F4" s="6">
        <v>24</v>
      </c>
      <c r="G4" s="6">
        <v>24.1</v>
      </c>
      <c r="H4" s="6">
        <v>24.1</v>
      </c>
      <c r="I4" s="6">
        <v>24.1</v>
      </c>
      <c r="J4" s="6">
        <v>506</v>
      </c>
      <c r="K4" s="6">
        <v>52.04</v>
      </c>
      <c r="L4" s="7">
        <v>2156968</v>
      </c>
    </row>
    <row r="5" spans="1:12" ht="28.5">
      <c r="A5" s="3">
        <v>3</v>
      </c>
      <c r="B5" s="4">
        <v>46013</v>
      </c>
      <c r="C5" s="5" t="s">
        <v>18</v>
      </c>
      <c r="D5" s="6">
        <v>24.1</v>
      </c>
      <c r="E5" s="6">
        <v>24.2</v>
      </c>
      <c r="F5" s="6">
        <v>23.9</v>
      </c>
      <c r="G5" s="6">
        <v>24.1</v>
      </c>
      <c r="H5" s="6">
        <v>24.1</v>
      </c>
      <c r="I5" s="6">
        <v>23.9</v>
      </c>
      <c r="J5" s="6">
        <v>492</v>
      </c>
      <c r="K5" s="6">
        <v>31.702000000000002</v>
      </c>
      <c r="L5" s="7">
        <v>1318875</v>
      </c>
    </row>
    <row r="6" spans="1:12" ht="28.5">
      <c r="A6" s="3">
        <v>4</v>
      </c>
      <c r="B6" s="4">
        <v>46012</v>
      </c>
      <c r="C6" s="5" t="s">
        <v>18</v>
      </c>
      <c r="D6" s="6">
        <v>24.1</v>
      </c>
      <c r="E6" s="6">
        <v>24.1</v>
      </c>
      <c r="F6" s="6">
        <v>23.7</v>
      </c>
      <c r="G6" s="6">
        <v>24</v>
      </c>
      <c r="H6" s="6">
        <v>23.9</v>
      </c>
      <c r="I6" s="6">
        <v>24</v>
      </c>
      <c r="J6" s="6">
        <v>459</v>
      </c>
      <c r="K6" s="6">
        <v>23.696999999999999</v>
      </c>
      <c r="L6" s="7">
        <v>990985</v>
      </c>
    </row>
    <row r="7" spans="1:12" ht="28.5">
      <c r="A7" s="3">
        <v>5</v>
      </c>
      <c r="B7" s="4">
        <v>46009</v>
      </c>
      <c r="C7" s="5" t="s">
        <v>18</v>
      </c>
      <c r="D7" s="6">
        <v>24</v>
      </c>
      <c r="E7" s="6">
        <v>24.1</v>
      </c>
      <c r="F7" s="6">
        <v>23.9</v>
      </c>
      <c r="G7" s="6">
        <v>23.9</v>
      </c>
      <c r="H7" s="6">
        <v>24</v>
      </c>
      <c r="I7" s="6">
        <v>24</v>
      </c>
      <c r="J7" s="6">
        <v>354</v>
      </c>
      <c r="K7" s="6">
        <v>36.073999999999998</v>
      </c>
      <c r="L7" s="7">
        <v>1503661</v>
      </c>
    </row>
    <row r="8" spans="1:12" ht="28.5">
      <c r="A8" s="3">
        <v>6</v>
      </c>
      <c r="B8" s="4">
        <v>46008</v>
      </c>
      <c r="C8" s="5" t="s">
        <v>18</v>
      </c>
      <c r="D8" s="6">
        <v>24</v>
      </c>
      <c r="E8" s="6">
        <v>24.2</v>
      </c>
      <c r="F8" s="6">
        <v>23.8</v>
      </c>
      <c r="G8" s="6">
        <v>24.2</v>
      </c>
      <c r="H8" s="6">
        <v>24</v>
      </c>
      <c r="I8" s="6">
        <v>24.1</v>
      </c>
      <c r="J8" s="6">
        <v>812</v>
      </c>
      <c r="K8" s="6">
        <v>58.469000000000001</v>
      </c>
      <c r="L8" s="7">
        <v>2441152</v>
      </c>
    </row>
    <row r="9" spans="1:12" ht="28.5">
      <c r="A9" s="3">
        <v>7</v>
      </c>
      <c r="B9" s="4">
        <v>46006</v>
      </c>
      <c r="C9" s="5" t="s">
        <v>18</v>
      </c>
      <c r="D9" s="6">
        <v>24.1</v>
      </c>
      <c r="E9" s="6">
        <v>24.2</v>
      </c>
      <c r="F9" s="6">
        <v>24</v>
      </c>
      <c r="G9" s="6">
        <v>24.2</v>
      </c>
      <c r="H9" s="6">
        <v>24.1</v>
      </c>
      <c r="I9" s="6">
        <v>24.2</v>
      </c>
      <c r="J9" s="6">
        <v>654</v>
      </c>
      <c r="K9" s="6">
        <v>40.567999999999998</v>
      </c>
      <c r="L9" s="7">
        <v>1687205</v>
      </c>
    </row>
    <row r="10" spans="1:12" ht="28.5">
      <c r="A10" s="3">
        <v>8</v>
      </c>
      <c r="B10" s="4">
        <v>46005</v>
      </c>
      <c r="C10" s="5" t="s">
        <v>18</v>
      </c>
      <c r="D10" s="6">
        <v>24.2</v>
      </c>
      <c r="E10" s="6">
        <v>24.4</v>
      </c>
      <c r="F10" s="6">
        <v>24.1</v>
      </c>
      <c r="G10" s="6">
        <v>24.4</v>
      </c>
      <c r="H10" s="6">
        <v>24.2</v>
      </c>
      <c r="I10" s="6">
        <v>24.3</v>
      </c>
      <c r="J10" s="6">
        <v>566</v>
      </c>
      <c r="K10" s="6">
        <v>36.125999999999998</v>
      </c>
      <c r="L10" s="7">
        <v>1490280</v>
      </c>
    </row>
    <row r="11" spans="1:12" ht="28.5">
      <c r="A11" s="3">
        <v>9</v>
      </c>
      <c r="B11" s="4">
        <v>46002</v>
      </c>
      <c r="C11" s="5" t="s">
        <v>18</v>
      </c>
      <c r="D11" s="6">
        <v>24.3</v>
      </c>
      <c r="E11" s="6">
        <v>24.5</v>
      </c>
      <c r="F11" s="6">
        <v>24.2</v>
      </c>
      <c r="G11" s="6">
        <v>24.5</v>
      </c>
      <c r="H11" s="6">
        <v>24.3</v>
      </c>
      <c r="I11" s="6">
        <v>24.4</v>
      </c>
      <c r="J11" s="6">
        <v>605</v>
      </c>
      <c r="K11" s="6">
        <v>35.088000000000001</v>
      </c>
      <c r="L11" s="7">
        <v>1443551</v>
      </c>
    </row>
    <row r="12" spans="1:12" ht="28.5">
      <c r="A12" s="3">
        <v>10</v>
      </c>
      <c r="B12" s="4">
        <v>46001</v>
      </c>
      <c r="C12" s="5" t="s">
        <v>18</v>
      </c>
      <c r="D12" s="6">
        <v>24.4</v>
      </c>
      <c r="E12" s="6">
        <v>24.7</v>
      </c>
      <c r="F12" s="6">
        <v>24.3</v>
      </c>
      <c r="G12" s="6">
        <v>24.6</v>
      </c>
      <c r="H12" s="6">
        <v>24.4</v>
      </c>
      <c r="I12" s="6">
        <v>24.5</v>
      </c>
      <c r="J12" s="6">
        <v>632</v>
      </c>
      <c r="K12" s="6">
        <v>58.664000000000001</v>
      </c>
      <c r="L12" s="7">
        <v>2394429</v>
      </c>
    </row>
    <row r="13" spans="1:12" ht="28.5">
      <c r="A13" s="3">
        <v>11</v>
      </c>
      <c r="B13" s="4">
        <v>46000</v>
      </c>
      <c r="C13" s="5" t="s">
        <v>18</v>
      </c>
      <c r="D13" s="6">
        <v>24.5</v>
      </c>
      <c r="E13" s="6">
        <v>24.6</v>
      </c>
      <c r="F13" s="6">
        <v>24.3</v>
      </c>
      <c r="G13" s="6">
        <v>24.3</v>
      </c>
      <c r="H13" s="6">
        <v>24.5</v>
      </c>
      <c r="I13" s="6">
        <v>24.3</v>
      </c>
      <c r="J13" s="6">
        <v>792</v>
      </c>
      <c r="K13" s="6">
        <v>68.756</v>
      </c>
      <c r="L13" s="7">
        <v>2810460</v>
      </c>
    </row>
    <row r="14" spans="1:12" ht="28.5">
      <c r="A14" s="3">
        <v>12</v>
      </c>
      <c r="B14" s="4">
        <v>45999</v>
      </c>
      <c r="C14" s="5" t="s">
        <v>18</v>
      </c>
      <c r="D14" s="6">
        <v>24.3</v>
      </c>
      <c r="E14" s="6">
        <v>24.4</v>
      </c>
      <c r="F14" s="6">
        <v>24</v>
      </c>
      <c r="G14" s="6">
        <v>24</v>
      </c>
      <c r="H14" s="6">
        <v>24.3</v>
      </c>
      <c r="I14" s="6">
        <v>24</v>
      </c>
      <c r="J14" s="6">
        <v>464</v>
      </c>
      <c r="K14" s="6">
        <v>41.545000000000002</v>
      </c>
      <c r="L14" s="7">
        <v>1716261</v>
      </c>
    </row>
    <row r="15" spans="1:12" ht="28.5">
      <c r="A15" s="3">
        <v>13</v>
      </c>
      <c r="B15" s="4">
        <v>45998</v>
      </c>
      <c r="C15" s="5" t="s">
        <v>18</v>
      </c>
      <c r="D15" s="6">
        <v>24</v>
      </c>
      <c r="E15" s="6">
        <v>24.1</v>
      </c>
      <c r="F15" s="6">
        <v>23.9</v>
      </c>
      <c r="G15" s="6">
        <v>24</v>
      </c>
      <c r="H15" s="6">
        <v>24</v>
      </c>
      <c r="I15" s="6">
        <v>23.9</v>
      </c>
      <c r="J15" s="6">
        <v>475</v>
      </c>
      <c r="K15" s="6">
        <v>21.003</v>
      </c>
      <c r="L15" s="7">
        <v>874601</v>
      </c>
    </row>
    <row r="16" spans="1:12" ht="28.5">
      <c r="A16" s="3">
        <v>14</v>
      </c>
      <c r="B16" s="4">
        <v>45995</v>
      </c>
      <c r="C16" s="5" t="s">
        <v>18</v>
      </c>
      <c r="D16" s="6">
        <v>23.9</v>
      </c>
      <c r="E16" s="6">
        <v>24.1</v>
      </c>
      <c r="F16" s="6">
        <v>23.8</v>
      </c>
      <c r="G16" s="6">
        <v>24.1</v>
      </c>
      <c r="H16" s="6">
        <v>23.9</v>
      </c>
      <c r="I16" s="6">
        <v>24</v>
      </c>
      <c r="J16" s="6">
        <v>519</v>
      </c>
      <c r="K16" s="6">
        <v>22.698</v>
      </c>
      <c r="L16" s="7">
        <v>948913</v>
      </c>
    </row>
    <row r="17" spans="1:12" ht="28.5">
      <c r="A17" s="3">
        <v>15</v>
      </c>
      <c r="B17" s="4">
        <v>45994</v>
      </c>
      <c r="C17" s="5" t="s">
        <v>18</v>
      </c>
      <c r="D17" s="6">
        <v>24</v>
      </c>
      <c r="E17" s="6">
        <v>24.2</v>
      </c>
      <c r="F17" s="6">
        <v>23.9</v>
      </c>
      <c r="G17" s="6">
        <v>24.2</v>
      </c>
      <c r="H17" s="6">
        <v>24</v>
      </c>
      <c r="I17" s="6">
        <v>24</v>
      </c>
      <c r="J17" s="6">
        <v>442</v>
      </c>
      <c r="K17" s="6">
        <v>29.666</v>
      </c>
      <c r="L17" s="7">
        <v>1233986</v>
      </c>
    </row>
    <row r="18" spans="1:12" ht="28.5">
      <c r="A18" s="3">
        <v>16</v>
      </c>
      <c r="B18" s="4">
        <v>45993</v>
      </c>
      <c r="C18" s="5" t="s">
        <v>18</v>
      </c>
      <c r="D18" s="6">
        <v>24</v>
      </c>
      <c r="E18" s="6">
        <v>24.2</v>
      </c>
      <c r="F18" s="6">
        <v>23.7</v>
      </c>
      <c r="G18" s="6">
        <v>23.7</v>
      </c>
      <c r="H18" s="6">
        <v>24</v>
      </c>
      <c r="I18" s="6">
        <v>23.9</v>
      </c>
      <c r="J18" s="6">
        <v>489</v>
      </c>
      <c r="K18" s="6">
        <v>44.091000000000001</v>
      </c>
      <c r="L18" s="7">
        <v>1837914</v>
      </c>
    </row>
    <row r="19" spans="1:12" ht="28.5">
      <c r="A19" s="3">
        <v>17</v>
      </c>
      <c r="B19" s="4">
        <v>45992</v>
      </c>
      <c r="C19" s="5" t="s">
        <v>18</v>
      </c>
      <c r="D19" s="6">
        <v>23.9</v>
      </c>
      <c r="E19" s="6">
        <v>24.2</v>
      </c>
      <c r="F19" s="6">
        <v>23.9</v>
      </c>
      <c r="G19" s="6">
        <v>24.2</v>
      </c>
      <c r="H19" s="6">
        <v>23.9</v>
      </c>
      <c r="I19" s="6">
        <v>24.2</v>
      </c>
      <c r="J19" s="6">
        <v>956</v>
      </c>
      <c r="K19" s="6">
        <v>53.000999999999998</v>
      </c>
      <c r="L19" s="7">
        <v>2210755</v>
      </c>
    </row>
    <row r="20" spans="1:12" ht="28.5">
      <c r="A20" s="3">
        <v>18</v>
      </c>
      <c r="B20" s="4">
        <v>45991</v>
      </c>
      <c r="C20" s="5" t="s">
        <v>18</v>
      </c>
      <c r="D20" s="6">
        <v>24.2</v>
      </c>
      <c r="E20" s="6">
        <v>24.4</v>
      </c>
      <c r="F20" s="6">
        <v>24.1</v>
      </c>
      <c r="G20" s="6">
        <v>24.3</v>
      </c>
      <c r="H20" s="6">
        <v>24.2</v>
      </c>
      <c r="I20" s="6">
        <v>24.3</v>
      </c>
      <c r="J20" s="6">
        <v>631</v>
      </c>
      <c r="K20" s="6">
        <v>37.768999999999998</v>
      </c>
      <c r="L20" s="7">
        <v>1557248</v>
      </c>
    </row>
    <row r="21" spans="1:12" ht="28.5">
      <c r="A21" s="3">
        <v>19</v>
      </c>
      <c r="B21" s="4">
        <v>45988</v>
      </c>
      <c r="C21" s="5" t="s">
        <v>18</v>
      </c>
      <c r="D21" s="6">
        <v>24.3</v>
      </c>
      <c r="E21" s="6">
        <v>24.5</v>
      </c>
      <c r="F21" s="6">
        <v>24.2</v>
      </c>
      <c r="G21" s="6">
        <v>24.4</v>
      </c>
      <c r="H21" s="6">
        <v>24.3</v>
      </c>
      <c r="I21" s="6">
        <v>24.4</v>
      </c>
      <c r="J21" s="6">
        <v>627</v>
      </c>
      <c r="K21" s="6">
        <v>34.859000000000002</v>
      </c>
      <c r="L21" s="7">
        <v>1430694</v>
      </c>
    </row>
    <row r="22" spans="1:12" ht="28.5">
      <c r="A22" s="3">
        <v>20</v>
      </c>
      <c r="B22" s="4">
        <v>45987</v>
      </c>
      <c r="C22" s="5" t="s">
        <v>18</v>
      </c>
      <c r="D22" s="6">
        <v>24.4</v>
      </c>
      <c r="E22" s="6">
        <v>24.5</v>
      </c>
      <c r="F22" s="6">
        <v>24.3</v>
      </c>
      <c r="G22" s="6">
        <v>24.5</v>
      </c>
      <c r="H22" s="6">
        <v>24.4</v>
      </c>
      <c r="I22" s="6">
        <v>24.5</v>
      </c>
      <c r="J22" s="6">
        <v>631</v>
      </c>
      <c r="K22" s="6">
        <v>35.984999999999999</v>
      </c>
      <c r="L22" s="7">
        <v>1473411</v>
      </c>
    </row>
    <row r="23" spans="1:12" ht="28.5">
      <c r="A23" s="3">
        <v>21</v>
      </c>
      <c r="B23" s="4">
        <v>45986</v>
      </c>
      <c r="C23" s="5" t="s">
        <v>18</v>
      </c>
      <c r="D23" s="6">
        <v>24.5</v>
      </c>
      <c r="E23" s="6">
        <v>24.8</v>
      </c>
      <c r="F23" s="6">
        <v>24.4</v>
      </c>
      <c r="G23" s="6">
        <v>24.5</v>
      </c>
      <c r="H23" s="6">
        <v>24.5</v>
      </c>
      <c r="I23" s="6">
        <v>24.4</v>
      </c>
      <c r="J23" s="7">
        <v>1281</v>
      </c>
      <c r="K23" s="6">
        <v>110.66</v>
      </c>
      <c r="L23" s="7">
        <v>4494000</v>
      </c>
    </row>
    <row r="24" spans="1:12" ht="28.5">
      <c r="A24" s="3">
        <v>22</v>
      </c>
      <c r="B24" s="4">
        <v>45985</v>
      </c>
      <c r="C24" s="5" t="s">
        <v>18</v>
      </c>
      <c r="D24" s="6">
        <v>24.4</v>
      </c>
      <c r="E24" s="6">
        <v>24.5</v>
      </c>
      <c r="F24" s="6">
        <v>23.9</v>
      </c>
      <c r="G24" s="6">
        <v>23.9</v>
      </c>
      <c r="H24" s="6">
        <v>24.4</v>
      </c>
      <c r="I24" s="6">
        <v>23.9</v>
      </c>
      <c r="J24" s="7">
        <v>1139</v>
      </c>
      <c r="K24" s="6">
        <v>96.588999999999999</v>
      </c>
      <c r="L24" s="7">
        <v>3992171</v>
      </c>
    </row>
    <row r="25" spans="1:12" ht="28.5">
      <c r="A25" s="3">
        <v>23</v>
      </c>
      <c r="B25" s="4">
        <v>45984</v>
      </c>
      <c r="C25" s="5" t="s">
        <v>18</v>
      </c>
      <c r="D25" s="6">
        <v>23.9</v>
      </c>
      <c r="E25" s="6">
        <v>24</v>
      </c>
      <c r="F25" s="6">
        <v>23.4</v>
      </c>
      <c r="G25" s="6">
        <v>23.9</v>
      </c>
      <c r="H25" s="6">
        <v>23.9</v>
      </c>
      <c r="I25" s="6">
        <v>23.8</v>
      </c>
      <c r="J25" s="6">
        <v>769</v>
      </c>
      <c r="K25" s="6">
        <v>34.765999999999998</v>
      </c>
      <c r="L25" s="7">
        <v>1464709</v>
      </c>
    </row>
    <row r="26" spans="1:12" ht="28.5">
      <c r="A26" s="3">
        <v>24</v>
      </c>
      <c r="B26" s="4">
        <v>45981</v>
      </c>
      <c r="C26" s="5" t="s">
        <v>18</v>
      </c>
      <c r="D26" s="6">
        <v>23.8</v>
      </c>
      <c r="E26" s="6">
        <v>24.2</v>
      </c>
      <c r="F26" s="6">
        <v>23.7</v>
      </c>
      <c r="G26" s="6">
        <v>24</v>
      </c>
      <c r="H26" s="6">
        <v>23.8</v>
      </c>
      <c r="I26" s="6">
        <v>24</v>
      </c>
      <c r="J26" s="6">
        <v>818</v>
      </c>
      <c r="K26" s="6">
        <v>52.850999999999999</v>
      </c>
      <c r="L26" s="7">
        <v>2208104</v>
      </c>
    </row>
    <row r="27" spans="1:12" ht="28.5">
      <c r="A27" s="3">
        <v>25</v>
      </c>
      <c r="B27" s="4">
        <v>45980</v>
      </c>
      <c r="C27" s="5" t="s">
        <v>18</v>
      </c>
      <c r="D27" s="6">
        <v>24</v>
      </c>
      <c r="E27" s="6">
        <v>24.2</v>
      </c>
      <c r="F27" s="6">
        <v>23.8</v>
      </c>
      <c r="G27" s="6">
        <v>24</v>
      </c>
      <c r="H27" s="6">
        <v>24</v>
      </c>
      <c r="I27" s="6">
        <v>24</v>
      </c>
      <c r="J27" s="6">
        <v>679</v>
      </c>
      <c r="K27" s="6">
        <v>76.158000000000001</v>
      </c>
      <c r="L27" s="7">
        <v>3181917</v>
      </c>
    </row>
    <row r="28" spans="1:12" ht="28.5">
      <c r="A28" s="3">
        <v>26</v>
      </c>
      <c r="B28" s="4">
        <v>45979</v>
      </c>
      <c r="C28" s="5" t="s">
        <v>18</v>
      </c>
      <c r="D28" s="6">
        <v>24</v>
      </c>
      <c r="E28" s="6">
        <v>24.1</v>
      </c>
      <c r="F28" s="6">
        <v>23.8</v>
      </c>
      <c r="G28" s="6">
        <v>24</v>
      </c>
      <c r="H28" s="6">
        <v>24</v>
      </c>
      <c r="I28" s="6">
        <v>23.9</v>
      </c>
      <c r="J28" s="7">
        <v>1044</v>
      </c>
      <c r="K28" s="6">
        <v>65.096999999999994</v>
      </c>
      <c r="L28" s="7">
        <v>2717618</v>
      </c>
    </row>
    <row r="29" spans="1:12" ht="28.5">
      <c r="A29" s="3">
        <v>27</v>
      </c>
      <c r="B29" s="4">
        <v>45978</v>
      </c>
      <c r="C29" s="5" t="s">
        <v>18</v>
      </c>
      <c r="D29" s="6">
        <v>23.9</v>
      </c>
      <c r="E29" s="6">
        <v>24.1</v>
      </c>
      <c r="F29" s="6">
        <v>23.5</v>
      </c>
      <c r="G29" s="6">
        <v>23.8</v>
      </c>
      <c r="H29" s="6">
        <v>23.9</v>
      </c>
      <c r="I29" s="6">
        <v>23.6</v>
      </c>
      <c r="J29" s="6">
        <v>806</v>
      </c>
      <c r="K29" s="6">
        <v>44.118000000000002</v>
      </c>
      <c r="L29" s="7">
        <v>1846107</v>
      </c>
    </row>
    <row r="30" spans="1:12" ht="28.5">
      <c r="A30" s="3">
        <v>28</v>
      </c>
      <c r="B30" s="4">
        <v>45977</v>
      </c>
      <c r="C30" s="5" t="s">
        <v>18</v>
      </c>
      <c r="D30" s="6">
        <v>23.6</v>
      </c>
      <c r="E30" s="6">
        <v>24</v>
      </c>
      <c r="F30" s="6">
        <v>22.6</v>
      </c>
      <c r="G30" s="6">
        <v>23.4</v>
      </c>
      <c r="H30" s="6">
        <v>23.6</v>
      </c>
      <c r="I30" s="6">
        <v>23.4</v>
      </c>
      <c r="J30" s="7">
        <v>1046</v>
      </c>
      <c r="K30" s="6">
        <v>57.860999999999997</v>
      </c>
      <c r="L30" s="7">
        <v>2494892</v>
      </c>
    </row>
    <row r="31" spans="1:12" ht="28.5">
      <c r="A31" s="3">
        <v>29</v>
      </c>
      <c r="B31" s="4">
        <v>45974</v>
      </c>
      <c r="C31" s="5" t="s">
        <v>18</v>
      </c>
      <c r="D31" s="6">
        <v>23.4</v>
      </c>
      <c r="E31" s="6">
        <v>23.8</v>
      </c>
      <c r="F31" s="6">
        <v>23.1</v>
      </c>
      <c r="G31" s="6">
        <v>23.8</v>
      </c>
      <c r="H31" s="6">
        <v>23.4</v>
      </c>
      <c r="I31" s="6">
        <v>23.7</v>
      </c>
      <c r="J31" s="7">
        <v>1285</v>
      </c>
      <c r="K31" s="6">
        <v>62.521999999999998</v>
      </c>
      <c r="L31" s="7">
        <v>2666953</v>
      </c>
    </row>
    <row r="32" spans="1:12" ht="28.5">
      <c r="A32" s="3">
        <v>30</v>
      </c>
      <c r="B32" s="4">
        <v>45973</v>
      </c>
      <c r="C32" s="5" t="s">
        <v>18</v>
      </c>
      <c r="D32" s="6">
        <v>23.7</v>
      </c>
      <c r="E32" s="6">
        <v>23.9</v>
      </c>
      <c r="F32" s="6">
        <v>23.7</v>
      </c>
      <c r="G32" s="6">
        <v>23.9</v>
      </c>
      <c r="H32" s="6">
        <v>23.7</v>
      </c>
      <c r="I32" s="6">
        <v>23.9</v>
      </c>
      <c r="J32" s="6">
        <v>807</v>
      </c>
      <c r="K32" s="6">
        <v>39.780999999999999</v>
      </c>
      <c r="L32" s="7">
        <v>1671848</v>
      </c>
    </row>
    <row r="33" spans="1:12" ht="28.5">
      <c r="A33" s="3">
        <v>31</v>
      </c>
      <c r="B33" s="4">
        <v>45972</v>
      </c>
      <c r="C33" s="5" t="s">
        <v>18</v>
      </c>
      <c r="D33" s="6">
        <v>23.9</v>
      </c>
      <c r="E33" s="6">
        <v>24</v>
      </c>
      <c r="F33" s="6">
        <v>23.7</v>
      </c>
      <c r="G33" s="6">
        <v>24</v>
      </c>
      <c r="H33" s="6">
        <v>23.9</v>
      </c>
      <c r="I33" s="6">
        <v>23.9</v>
      </c>
      <c r="J33" s="6">
        <v>752</v>
      </c>
      <c r="K33" s="6">
        <v>34.618000000000002</v>
      </c>
      <c r="L33" s="7">
        <v>1451585</v>
      </c>
    </row>
    <row r="34" spans="1:12" ht="28.5">
      <c r="A34" s="3">
        <v>32</v>
      </c>
      <c r="B34" s="4">
        <v>45971</v>
      </c>
      <c r="C34" s="5" t="s">
        <v>18</v>
      </c>
      <c r="D34" s="6">
        <v>23.9</v>
      </c>
      <c r="E34" s="6">
        <v>24.1</v>
      </c>
      <c r="F34" s="6">
        <v>23.9</v>
      </c>
      <c r="G34" s="6">
        <v>24</v>
      </c>
      <c r="H34" s="6">
        <v>23.9</v>
      </c>
      <c r="I34" s="6">
        <v>24</v>
      </c>
      <c r="J34" s="6">
        <v>682</v>
      </c>
      <c r="K34" s="6">
        <v>40.597000000000001</v>
      </c>
      <c r="L34" s="7">
        <v>1695173</v>
      </c>
    </row>
    <row r="35" spans="1:12" ht="28.5">
      <c r="A35" s="3">
        <v>33</v>
      </c>
      <c r="B35" s="4">
        <v>45970</v>
      </c>
      <c r="C35" s="5" t="s">
        <v>18</v>
      </c>
      <c r="D35" s="6">
        <v>24</v>
      </c>
      <c r="E35" s="6">
        <v>24.2</v>
      </c>
      <c r="F35" s="6">
        <v>23.9</v>
      </c>
      <c r="G35" s="6">
        <v>24</v>
      </c>
      <c r="H35" s="6">
        <v>24</v>
      </c>
      <c r="I35" s="6">
        <v>24</v>
      </c>
      <c r="J35" s="6">
        <v>723</v>
      </c>
      <c r="K35" s="6">
        <v>64.516000000000005</v>
      </c>
      <c r="L35" s="7">
        <v>2684712</v>
      </c>
    </row>
    <row r="36" spans="1:12" ht="28.5">
      <c r="A36" s="3">
        <v>34</v>
      </c>
      <c r="B36" s="4">
        <v>45967</v>
      </c>
      <c r="C36" s="5" t="s">
        <v>18</v>
      </c>
      <c r="D36" s="6">
        <v>24</v>
      </c>
      <c r="E36" s="6">
        <v>24.1</v>
      </c>
      <c r="F36" s="6">
        <v>23.7</v>
      </c>
      <c r="G36" s="6">
        <v>24</v>
      </c>
      <c r="H36" s="6">
        <v>24</v>
      </c>
      <c r="I36" s="6">
        <v>24</v>
      </c>
      <c r="J36" s="6">
        <v>777</v>
      </c>
      <c r="K36" s="6">
        <v>51.633000000000003</v>
      </c>
      <c r="L36" s="7">
        <v>2162603</v>
      </c>
    </row>
    <row r="37" spans="1:12" ht="28.5">
      <c r="A37" s="3">
        <v>35</v>
      </c>
      <c r="B37" s="4">
        <v>45966</v>
      </c>
      <c r="C37" s="5" t="s">
        <v>18</v>
      </c>
      <c r="D37" s="6">
        <v>24</v>
      </c>
      <c r="E37" s="6">
        <v>24.2</v>
      </c>
      <c r="F37" s="6">
        <v>23.9</v>
      </c>
      <c r="G37" s="6">
        <v>24</v>
      </c>
      <c r="H37" s="6">
        <v>24</v>
      </c>
      <c r="I37" s="6">
        <v>24</v>
      </c>
      <c r="J37" s="6">
        <v>727</v>
      </c>
      <c r="K37" s="6">
        <v>38.091000000000001</v>
      </c>
      <c r="L37" s="7">
        <v>1586181</v>
      </c>
    </row>
    <row r="38" spans="1:12" ht="28.5">
      <c r="A38" s="3">
        <v>36</v>
      </c>
      <c r="B38" s="4">
        <v>45965</v>
      </c>
      <c r="C38" s="5" t="s">
        <v>18</v>
      </c>
      <c r="D38" s="6">
        <v>24</v>
      </c>
      <c r="E38" s="6">
        <v>24.3</v>
      </c>
      <c r="F38" s="6">
        <v>24</v>
      </c>
      <c r="G38" s="6">
        <v>24.2</v>
      </c>
      <c r="H38" s="6">
        <v>24</v>
      </c>
      <c r="I38" s="6">
        <v>24.2</v>
      </c>
      <c r="J38" s="6">
        <v>961</v>
      </c>
      <c r="K38" s="6">
        <v>45.073</v>
      </c>
      <c r="L38" s="7">
        <v>1869405</v>
      </c>
    </row>
    <row r="39" spans="1:12" ht="28.5">
      <c r="A39" s="3">
        <v>37</v>
      </c>
      <c r="B39" s="4">
        <v>45964</v>
      </c>
      <c r="C39" s="5" t="s">
        <v>18</v>
      </c>
      <c r="D39" s="6">
        <v>24.2</v>
      </c>
      <c r="E39" s="6">
        <v>24.6</v>
      </c>
      <c r="F39" s="6">
        <v>24.1</v>
      </c>
      <c r="G39" s="6">
        <v>24.5</v>
      </c>
      <c r="H39" s="6">
        <v>24.2</v>
      </c>
      <c r="I39" s="6">
        <v>24.5</v>
      </c>
      <c r="J39" s="6">
        <v>850</v>
      </c>
      <c r="K39" s="6">
        <v>38.978999999999999</v>
      </c>
      <c r="L39" s="7">
        <v>1602221</v>
      </c>
    </row>
    <row r="40" spans="1:12" ht="28.5">
      <c r="A40" s="3">
        <v>38</v>
      </c>
      <c r="B40" s="4">
        <v>45963</v>
      </c>
      <c r="C40" s="5" t="s">
        <v>18</v>
      </c>
      <c r="D40" s="6">
        <v>24.5</v>
      </c>
      <c r="E40" s="6">
        <v>24.8</v>
      </c>
      <c r="F40" s="6">
        <v>24.4</v>
      </c>
      <c r="G40" s="6">
        <v>24.6</v>
      </c>
      <c r="H40" s="6">
        <v>24.5</v>
      </c>
      <c r="I40" s="6">
        <v>24.5</v>
      </c>
      <c r="J40" s="6">
        <v>796</v>
      </c>
      <c r="K40" s="6">
        <v>51.087000000000003</v>
      </c>
      <c r="L40" s="7">
        <v>2080141</v>
      </c>
    </row>
    <row r="41" spans="1:12" ht="28.5">
      <c r="A41" s="3">
        <v>39</v>
      </c>
      <c r="B41" s="4">
        <v>45960</v>
      </c>
      <c r="C41" s="5" t="s">
        <v>18</v>
      </c>
      <c r="D41" s="6">
        <v>24.5</v>
      </c>
      <c r="E41" s="6">
        <v>24.6</v>
      </c>
      <c r="F41" s="6">
        <v>24.3</v>
      </c>
      <c r="G41" s="6">
        <v>24.5</v>
      </c>
      <c r="H41" s="6">
        <v>24.5</v>
      </c>
      <c r="I41" s="6">
        <v>24.5</v>
      </c>
      <c r="J41" s="7">
        <v>1075</v>
      </c>
      <c r="K41" s="6">
        <v>65.448999999999998</v>
      </c>
      <c r="L41" s="7">
        <v>2675566</v>
      </c>
    </row>
    <row r="42" spans="1:12" ht="28.5">
      <c r="A42" s="3">
        <v>40</v>
      </c>
      <c r="B42" s="4">
        <v>45959</v>
      </c>
      <c r="C42" s="5" t="s">
        <v>18</v>
      </c>
      <c r="D42" s="6">
        <v>24.5</v>
      </c>
      <c r="E42" s="6">
        <v>25.8</v>
      </c>
      <c r="F42" s="6">
        <v>24.4</v>
      </c>
      <c r="G42" s="6">
        <v>25.8</v>
      </c>
      <c r="H42" s="6">
        <v>24.5</v>
      </c>
      <c r="I42" s="6">
        <v>24.2</v>
      </c>
      <c r="J42" s="7">
        <v>2090</v>
      </c>
      <c r="K42" s="6">
        <v>182.4</v>
      </c>
      <c r="L42" s="7">
        <v>7375657</v>
      </c>
    </row>
    <row r="43" spans="1:12" ht="28.5">
      <c r="A43" s="3">
        <v>41</v>
      </c>
      <c r="B43" s="4">
        <v>45958</v>
      </c>
      <c r="C43" s="5" t="s">
        <v>18</v>
      </c>
      <c r="D43" s="6">
        <v>24.2</v>
      </c>
      <c r="E43" s="6">
        <v>24.4</v>
      </c>
      <c r="F43" s="6">
        <v>23.9</v>
      </c>
      <c r="G43" s="6">
        <v>24.4</v>
      </c>
      <c r="H43" s="6">
        <v>24.2</v>
      </c>
      <c r="I43" s="6">
        <v>24.2</v>
      </c>
      <c r="J43" s="6">
        <v>818</v>
      </c>
      <c r="K43" s="6">
        <v>50.026000000000003</v>
      </c>
      <c r="L43" s="7">
        <v>2074856</v>
      </c>
    </row>
    <row r="44" spans="1:12" ht="28.5">
      <c r="A44" s="3">
        <v>42</v>
      </c>
      <c r="B44" s="4">
        <v>45957</v>
      </c>
      <c r="C44" s="5" t="s">
        <v>18</v>
      </c>
      <c r="D44" s="6">
        <v>24.2</v>
      </c>
      <c r="E44" s="6">
        <v>24.6</v>
      </c>
      <c r="F44" s="6">
        <v>23.9</v>
      </c>
      <c r="G44" s="6">
        <v>24.6</v>
      </c>
      <c r="H44" s="6">
        <v>24.2</v>
      </c>
      <c r="I44" s="6">
        <v>24.5</v>
      </c>
      <c r="J44" s="7">
        <v>1038</v>
      </c>
      <c r="K44" s="6">
        <v>78.051000000000002</v>
      </c>
      <c r="L44" s="7">
        <v>3230307</v>
      </c>
    </row>
    <row r="45" spans="1:12" ht="28.5">
      <c r="A45" s="3">
        <v>43</v>
      </c>
      <c r="B45" s="4">
        <v>45956</v>
      </c>
      <c r="C45" s="5" t="s">
        <v>18</v>
      </c>
      <c r="D45" s="6">
        <v>24.5</v>
      </c>
      <c r="E45" s="6">
        <v>25.2</v>
      </c>
      <c r="F45" s="6">
        <v>24.2</v>
      </c>
      <c r="G45" s="6">
        <v>24.8</v>
      </c>
      <c r="H45" s="6">
        <v>24.5</v>
      </c>
      <c r="I45" s="6">
        <v>24.8</v>
      </c>
      <c r="J45" s="7">
        <v>1546</v>
      </c>
      <c r="K45" s="6">
        <v>108.173</v>
      </c>
      <c r="L45" s="7">
        <v>4388183</v>
      </c>
    </row>
    <row r="46" spans="1:12" ht="28.5">
      <c r="A46" s="3">
        <v>44</v>
      </c>
      <c r="B46" s="4">
        <v>45953</v>
      </c>
      <c r="C46" s="5" t="s">
        <v>18</v>
      </c>
      <c r="D46" s="6">
        <v>24.8</v>
      </c>
      <c r="E46" s="6">
        <v>24.9</v>
      </c>
      <c r="F46" s="6">
        <v>24</v>
      </c>
      <c r="G46" s="6">
        <v>24</v>
      </c>
      <c r="H46" s="6">
        <v>24.8</v>
      </c>
      <c r="I46" s="6">
        <v>24.1</v>
      </c>
      <c r="J46" s="7">
        <v>1101</v>
      </c>
      <c r="K46" s="6">
        <v>80.319000000000003</v>
      </c>
      <c r="L46" s="7">
        <v>3268661</v>
      </c>
    </row>
    <row r="47" spans="1:12" ht="28.5">
      <c r="A47" s="3">
        <v>45</v>
      </c>
      <c r="B47" s="4">
        <v>45952</v>
      </c>
      <c r="C47" s="5" t="s">
        <v>18</v>
      </c>
      <c r="D47" s="6">
        <v>24.1</v>
      </c>
      <c r="E47" s="6">
        <v>24.2</v>
      </c>
      <c r="F47" s="6">
        <v>23.7</v>
      </c>
      <c r="G47" s="6">
        <v>23.9</v>
      </c>
      <c r="H47" s="6">
        <v>24.1</v>
      </c>
      <c r="I47" s="6">
        <v>23.9</v>
      </c>
      <c r="J47" s="6">
        <v>540</v>
      </c>
      <c r="K47" s="6">
        <v>26.945</v>
      </c>
      <c r="L47" s="7">
        <v>1121930</v>
      </c>
    </row>
    <row r="48" spans="1:12" ht="28.5">
      <c r="A48" s="3">
        <v>46</v>
      </c>
      <c r="B48" s="4">
        <v>45951</v>
      </c>
      <c r="C48" s="5" t="s">
        <v>18</v>
      </c>
      <c r="D48" s="6">
        <v>23.9</v>
      </c>
      <c r="E48" s="6">
        <v>24.2</v>
      </c>
      <c r="F48" s="6">
        <v>23.9</v>
      </c>
      <c r="G48" s="6">
        <v>23.9</v>
      </c>
      <c r="H48" s="6">
        <v>23.9</v>
      </c>
      <c r="I48" s="6">
        <v>23.9</v>
      </c>
      <c r="J48" s="6">
        <v>603</v>
      </c>
      <c r="K48" s="6">
        <v>27.951000000000001</v>
      </c>
      <c r="L48" s="7">
        <v>1163987</v>
      </c>
    </row>
    <row r="49" spans="1:12" ht="28.5">
      <c r="A49" s="3">
        <v>47</v>
      </c>
      <c r="B49" s="4">
        <v>45950</v>
      </c>
      <c r="C49" s="5" t="s">
        <v>18</v>
      </c>
      <c r="D49" s="6">
        <v>24</v>
      </c>
      <c r="E49" s="6">
        <v>24</v>
      </c>
      <c r="F49" s="6">
        <v>23.5</v>
      </c>
      <c r="G49" s="6">
        <v>23.6</v>
      </c>
      <c r="H49" s="6">
        <v>23.9</v>
      </c>
      <c r="I49" s="6">
        <v>23.6</v>
      </c>
      <c r="J49" s="6">
        <v>546</v>
      </c>
      <c r="K49" s="6">
        <v>35.152999999999999</v>
      </c>
      <c r="L49" s="7">
        <v>1481396</v>
      </c>
    </row>
    <row r="50" spans="1:12" ht="28.5">
      <c r="A50" s="3">
        <v>48</v>
      </c>
      <c r="B50" s="4">
        <v>45949</v>
      </c>
      <c r="C50" s="5" t="s">
        <v>18</v>
      </c>
      <c r="D50" s="6">
        <v>23.6</v>
      </c>
      <c r="E50" s="6">
        <v>23.9</v>
      </c>
      <c r="F50" s="6">
        <v>23.6</v>
      </c>
      <c r="G50" s="6">
        <v>23.8</v>
      </c>
      <c r="H50" s="6">
        <v>23.6</v>
      </c>
      <c r="I50" s="6">
        <v>23.8</v>
      </c>
      <c r="J50" s="6">
        <v>624</v>
      </c>
      <c r="K50" s="6">
        <v>26.113</v>
      </c>
      <c r="L50" s="7">
        <v>1104515</v>
      </c>
    </row>
    <row r="51" spans="1:12" ht="28.5">
      <c r="A51" s="3">
        <v>49</v>
      </c>
      <c r="B51" s="4">
        <v>45946</v>
      </c>
      <c r="C51" s="5" t="s">
        <v>18</v>
      </c>
      <c r="D51" s="6">
        <v>23.9</v>
      </c>
      <c r="E51" s="6">
        <v>23.9</v>
      </c>
      <c r="F51" s="6">
        <v>23.5</v>
      </c>
      <c r="G51" s="6">
        <v>23.6</v>
      </c>
      <c r="H51" s="6">
        <v>23.8</v>
      </c>
      <c r="I51" s="6">
        <v>23.5</v>
      </c>
      <c r="J51" s="6">
        <v>642</v>
      </c>
      <c r="K51" s="6">
        <v>30.013000000000002</v>
      </c>
      <c r="L51" s="7">
        <v>1267865</v>
      </c>
    </row>
    <row r="52" spans="1:12" ht="28.5">
      <c r="A52" s="3">
        <v>50</v>
      </c>
      <c r="B52" s="4">
        <v>45945</v>
      </c>
      <c r="C52" s="5" t="s">
        <v>18</v>
      </c>
      <c r="D52" s="6">
        <v>23.5</v>
      </c>
      <c r="E52" s="6">
        <v>24</v>
      </c>
      <c r="F52" s="6">
        <v>23.4</v>
      </c>
      <c r="G52" s="6">
        <v>23.9</v>
      </c>
      <c r="H52" s="6">
        <v>23.5</v>
      </c>
      <c r="I52" s="6">
        <v>23.9</v>
      </c>
      <c r="J52" s="7">
        <v>1156</v>
      </c>
      <c r="K52" s="6">
        <v>57.301000000000002</v>
      </c>
      <c r="L52" s="7">
        <v>2424671</v>
      </c>
    </row>
    <row r="53" spans="1:12" ht="28.5">
      <c r="A53" s="3">
        <v>51</v>
      </c>
      <c r="B53" s="4">
        <v>45944</v>
      </c>
      <c r="C53" s="5" t="s">
        <v>18</v>
      </c>
      <c r="D53" s="6">
        <v>23.9</v>
      </c>
      <c r="E53" s="6">
        <v>24.3</v>
      </c>
      <c r="F53" s="6">
        <v>23.8</v>
      </c>
      <c r="G53" s="6">
        <v>24.2</v>
      </c>
      <c r="H53" s="6">
        <v>23.9</v>
      </c>
      <c r="I53" s="6">
        <v>24.1</v>
      </c>
      <c r="J53" s="7">
        <v>1261</v>
      </c>
      <c r="K53" s="6">
        <v>84.554000000000002</v>
      </c>
      <c r="L53" s="7">
        <v>3522472</v>
      </c>
    </row>
    <row r="54" spans="1:12" ht="28.5">
      <c r="A54" s="3">
        <v>52</v>
      </c>
      <c r="B54" s="4">
        <v>45943</v>
      </c>
      <c r="C54" s="5" t="s">
        <v>18</v>
      </c>
      <c r="D54" s="6">
        <v>24.1</v>
      </c>
      <c r="E54" s="6">
        <v>24.4</v>
      </c>
      <c r="F54" s="6">
        <v>23.9</v>
      </c>
      <c r="G54" s="6">
        <v>24.4</v>
      </c>
      <c r="H54" s="6">
        <v>24.1</v>
      </c>
      <c r="I54" s="6">
        <v>24.1</v>
      </c>
      <c r="J54" s="6">
        <v>991</v>
      </c>
      <c r="K54" s="6">
        <v>57.000999999999998</v>
      </c>
      <c r="L54" s="7">
        <v>2361101</v>
      </c>
    </row>
    <row r="55" spans="1:12" ht="28.5">
      <c r="A55" s="3">
        <v>53</v>
      </c>
      <c r="B55" s="4">
        <v>45942</v>
      </c>
      <c r="C55" s="5" t="s">
        <v>18</v>
      </c>
      <c r="D55" s="6">
        <v>24.1</v>
      </c>
      <c r="E55" s="6">
        <v>25</v>
      </c>
      <c r="F55" s="6">
        <v>23.9</v>
      </c>
      <c r="G55" s="6">
        <v>25</v>
      </c>
      <c r="H55" s="6">
        <v>24.1</v>
      </c>
      <c r="I55" s="6">
        <v>24.9</v>
      </c>
      <c r="J55" s="7">
        <v>1422</v>
      </c>
      <c r="K55" s="6">
        <v>83.225999999999999</v>
      </c>
      <c r="L55" s="7">
        <v>3416061</v>
      </c>
    </row>
    <row r="56" spans="1:12" ht="28.5">
      <c r="A56" s="3">
        <v>54</v>
      </c>
      <c r="B56" s="4">
        <v>45939</v>
      </c>
      <c r="C56" s="5" t="s">
        <v>18</v>
      </c>
      <c r="D56" s="6">
        <v>24.9</v>
      </c>
      <c r="E56" s="6">
        <v>25.3</v>
      </c>
      <c r="F56" s="6">
        <v>24.7</v>
      </c>
      <c r="G56" s="6">
        <v>25.2</v>
      </c>
      <c r="H56" s="6">
        <v>24.9</v>
      </c>
      <c r="I56" s="6">
        <v>25.1</v>
      </c>
      <c r="J56" s="6">
        <v>860</v>
      </c>
      <c r="K56" s="6">
        <v>43.753</v>
      </c>
      <c r="L56" s="7">
        <v>1753479</v>
      </c>
    </row>
    <row r="57" spans="1:12" ht="28.5">
      <c r="A57" s="3">
        <v>55</v>
      </c>
      <c r="B57" s="4">
        <v>45938</v>
      </c>
      <c r="C57" s="5" t="s">
        <v>18</v>
      </c>
      <c r="D57" s="6">
        <v>25.1</v>
      </c>
      <c r="E57" s="6">
        <v>25.5</v>
      </c>
      <c r="F57" s="6">
        <v>25.1</v>
      </c>
      <c r="G57" s="6">
        <v>25.5</v>
      </c>
      <c r="H57" s="6">
        <v>25.1</v>
      </c>
      <c r="I57" s="6">
        <v>25.2</v>
      </c>
      <c r="J57" s="6">
        <v>635</v>
      </c>
      <c r="K57" s="6">
        <v>30.667000000000002</v>
      </c>
      <c r="L57" s="7">
        <v>1216811</v>
      </c>
    </row>
    <row r="58" spans="1:12" ht="28.5">
      <c r="A58" s="3">
        <v>56</v>
      </c>
      <c r="B58" s="4">
        <v>45937</v>
      </c>
      <c r="C58" s="5" t="s">
        <v>18</v>
      </c>
      <c r="D58" s="6">
        <v>25.2</v>
      </c>
      <c r="E58" s="6">
        <v>25.8</v>
      </c>
      <c r="F58" s="6">
        <v>25.1</v>
      </c>
      <c r="G58" s="6">
        <v>25.8</v>
      </c>
      <c r="H58" s="6">
        <v>25.2</v>
      </c>
      <c r="I58" s="6">
        <v>25.8</v>
      </c>
      <c r="J58" s="7">
        <v>1130</v>
      </c>
      <c r="K58" s="6">
        <v>62.146000000000001</v>
      </c>
      <c r="L58" s="7">
        <v>2452511</v>
      </c>
    </row>
    <row r="59" spans="1:12" ht="28.5">
      <c r="A59" s="3">
        <v>57</v>
      </c>
      <c r="B59" s="4">
        <v>45936</v>
      </c>
      <c r="C59" s="5" t="s">
        <v>18</v>
      </c>
      <c r="D59" s="6">
        <v>25.8</v>
      </c>
      <c r="E59" s="6">
        <v>26.3</v>
      </c>
      <c r="F59" s="6">
        <v>25.7</v>
      </c>
      <c r="G59" s="6">
        <v>26.1</v>
      </c>
      <c r="H59" s="6">
        <v>25.8</v>
      </c>
      <c r="I59" s="6">
        <v>26</v>
      </c>
      <c r="J59" s="6">
        <v>816</v>
      </c>
      <c r="K59" s="6">
        <v>54.481999999999999</v>
      </c>
      <c r="L59" s="7">
        <v>2104188</v>
      </c>
    </row>
    <row r="60" spans="1:12" ht="28.5">
      <c r="A60" s="3">
        <v>58</v>
      </c>
      <c r="B60" s="4">
        <v>45935</v>
      </c>
      <c r="C60" s="5" t="s">
        <v>18</v>
      </c>
      <c r="D60" s="6">
        <v>26</v>
      </c>
      <c r="E60" s="6">
        <v>26.4</v>
      </c>
      <c r="F60" s="6">
        <v>25.7</v>
      </c>
      <c r="G60" s="6">
        <v>25.7</v>
      </c>
      <c r="H60" s="6">
        <v>26</v>
      </c>
      <c r="I60" s="6">
        <v>25.5</v>
      </c>
      <c r="J60" s="7">
        <v>1371</v>
      </c>
      <c r="K60" s="6">
        <v>86.751999999999995</v>
      </c>
      <c r="L60" s="7">
        <v>3328949</v>
      </c>
    </row>
    <row r="61" spans="1:12" ht="28.5">
      <c r="A61" s="3">
        <v>59</v>
      </c>
      <c r="B61" s="4">
        <v>45930</v>
      </c>
      <c r="C61" s="5" t="s">
        <v>18</v>
      </c>
      <c r="D61" s="6">
        <v>25.5</v>
      </c>
      <c r="E61" s="6">
        <v>25.8</v>
      </c>
      <c r="F61" s="6">
        <v>25.4</v>
      </c>
      <c r="G61" s="6">
        <v>25.5</v>
      </c>
      <c r="H61" s="6">
        <v>25.5</v>
      </c>
      <c r="I61" s="6">
        <v>25.3</v>
      </c>
      <c r="J61" s="6">
        <v>869</v>
      </c>
      <c r="K61" s="6">
        <v>86.66</v>
      </c>
      <c r="L61" s="7">
        <v>3385530</v>
      </c>
    </row>
    <row r="62" spans="1:12" ht="28.5">
      <c r="A62" s="3">
        <v>60</v>
      </c>
      <c r="B62" s="4">
        <v>45929</v>
      </c>
      <c r="C62" s="5" t="s">
        <v>18</v>
      </c>
      <c r="D62" s="6">
        <v>25.3</v>
      </c>
      <c r="E62" s="6">
        <v>25.5</v>
      </c>
      <c r="F62" s="6">
        <v>24.9</v>
      </c>
      <c r="G62" s="6">
        <v>25</v>
      </c>
      <c r="H62" s="6">
        <v>25.3</v>
      </c>
      <c r="I62" s="6">
        <v>25</v>
      </c>
      <c r="J62" s="6">
        <v>539</v>
      </c>
      <c r="K62" s="6">
        <v>43.265999999999998</v>
      </c>
      <c r="L62" s="7">
        <v>1714184</v>
      </c>
    </row>
    <row r="63" spans="1:12" ht="28.5">
      <c r="A63" s="3">
        <v>61</v>
      </c>
      <c r="B63" s="4">
        <v>45928</v>
      </c>
      <c r="C63" s="5" t="s">
        <v>18</v>
      </c>
      <c r="D63" s="6">
        <v>25</v>
      </c>
      <c r="E63" s="6">
        <v>25.4</v>
      </c>
      <c r="F63" s="6">
        <v>25</v>
      </c>
      <c r="G63" s="6">
        <v>25.4</v>
      </c>
      <c r="H63" s="6">
        <v>25</v>
      </c>
      <c r="I63" s="6">
        <v>25.3</v>
      </c>
      <c r="J63" s="6">
        <v>561</v>
      </c>
      <c r="K63" s="6">
        <v>36.929000000000002</v>
      </c>
      <c r="L63" s="7">
        <v>1474660</v>
      </c>
    </row>
    <row r="64" spans="1:12" ht="28.5">
      <c r="A64" s="3">
        <v>62</v>
      </c>
      <c r="B64" s="4">
        <v>45925</v>
      </c>
      <c r="C64" s="5" t="s">
        <v>18</v>
      </c>
      <c r="D64" s="6">
        <v>25.3</v>
      </c>
      <c r="E64" s="6">
        <v>25.6</v>
      </c>
      <c r="F64" s="6">
        <v>25.1</v>
      </c>
      <c r="G64" s="6">
        <v>25.4</v>
      </c>
      <c r="H64" s="6">
        <v>25.3</v>
      </c>
      <c r="I64" s="6">
        <v>25.2</v>
      </c>
      <c r="J64" s="6">
        <v>900</v>
      </c>
      <c r="K64" s="6">
        <v>69.106999999999999</v>
      </c>
      <c r="L64" s="7">
        <v>2720559</v>
      </c>
    </row>
    <row r="65" spans="1:12" ht="28.5">
      <c r="A65" s="3">
        <v>63</v>
      </c>
      <c r="B65" s="4">
        <v>45924</v>
      </c>
      <c r="C65" s="5" t="s">
        <v>18</v>
      </c>
      <c r="D65" s="6">
        <v>25.2</v>
      </c>
      <c r="E65" s="6">
        <v>25.3</v>
      </c>
      <c r="F65" s="6">
        <v>24.6</v>
      </c>
      <c r="G65" s="6">
        <v>25</v>
      </c>
      <c r="H65" s="6">
        <v>25.2</v>
      </c>
      <c r="I65" s="6">
        <v>24.8</v>
      </c>
      <c r="J65" s="6">
        <v>755</v>
      </c>
      <c r="K65" s="6">
        <v>38.192</v>
      </c>
      <c r="L65" s="7">
        <v>1528280</v>
      </c>
    </row>
    <row r="66" spans="1:12" ht="28.5">
      <c r="A66" s="3">
        <v>64</v>
      </c>
      <c r="B66" s="4">
        <v>45923</v>
      </c>
      <c r="C66" s="5" t="s">
        <v>18</v>
      </c>
      <c r="D66" s="6">
        <v>24.8</v>
      </c>
      <c r="E66" s="6">
        <v>25</v>
      </c>
      <c r="F66" s="6">
        <v>24.5</v>
      </c>
      <c r="G66" s="6">
        <v>24.8</v>
      </c>
      <c r="H66" s="6">
        <v>24.8</v>
      </c>
      <c r="I66" s="6">
        <v>24.6</v>
      </c>
      <c r="J66" s="6">
        <v>764</v>
      </c>
      <c r="K66" s="6">
        <v>36.154000000000003</v>
      </c>
      <c r="L66" s="7">
        <v>1461194</v>
      </c>
    </row>
    <row r="67" spans="1:12" ht="28.5">
      <c r="A67" s="3">
        <v>65</v>
      </c>
      <c r="B67" s="4">
        <v>45922</v>
      </c>
      <c r="C67" s="5" t="s">
        <v>18</v>
      </c>
      <c r="D67" s="6">
        <v>24.6</v>
      </c>
      <c r="E67" s="6">
        <v>25.3</v>
      </c>
      <c r="F67" s="6">
        <v>24.3</v>
      </c>
      <c r="G67" s="6">
        <v>25.2</v>
      </c>
      <c r="H67" s="6">
        <v>24.6</v>
      </c>
      <c r="I67" s="6">
        <v>25.2</v>
      </c>
      <c r="J67" s="7">
        <v>1862</v>
      </c>
      <c r="K67" s="6">
        <v>130.636</v>
      </c>
      <c r="L67" s="7">
        <v>5290146</v>
      </c>
    </row>
    <row r="68" spans="1:12" ht="28.5">
      <c r="A68" s="3">
        <v>66</v>
      </c>
      <c r="B68" s="4">
        <v>45921</v>
      </c>
      <c r="C68" s="5" t="s">
        <v>18</v>
      </c>
      <c r="D68" s="6">
        <v>25.2</v>
      </c>
      <c r="E68" s="6">
        <v>25.9</v>
      </c>
      <c r="F68" s="6">
        <v>25.1</v>
      </c>
      <c r="G68" s="6">
        <v>25.8</v>
      </c>
      <c r="H68" s="6">
        <v>25.2</v>
      </c>
      <c r="I68" s="6">
        <v>25.7</v>
      </c>
      <c r="J68" s="7">
        <v>1232</v>
      </c>
      <c r="K68" s="6">
        <v>82.137</v>
      </c>
      <c r="L68" s="7">
        <v>3238535</v>
      </c>
    </row>
    <row r="69" spans="1:12" ht="28.5">
      <c r="A69" s="3">
        <v>67</v>
      </c>
      <c r="B69" s="4">
        <v>45918</v>
      </c>
      <c r="C69" s="5" t="s">
        <v>18</v>
      </c>
      <c r="D69" s="6">
        <v>25.7</v>
      </c>
      <c r="E69" s="6">
        <v>25.9</v>
      </c>
      <c r="F69" s="6">
        <v>25.4</v>
      </c>
      <c r="G69" s="6">
        <v>25.8</v>
      </c>
      <c r="H69" s="6">
        <v>25.7</v>
      </c>
      <c r="I69" s="6">
        <v>25.8</v>
      </c>
      <c r="J69" s="6">
        <v>960</v>
      </c>
      <c r="K69" s="6">
        <v>87.668000000000006</v>
      </c>
      <c r="L69" s="7">
        <v>3414192</v>
      </c>
    </row>
    <row r="70" spans="1:12" ht="28.5">
      <c r="A70" s="3">
        <v>68</v>
      </c>
      <c r="B70" s="4">
        <v>45917</v>
      </c>
      <c r="C70" s="5" t="s">
        <v>18</v>
      </c>
      <c r="D70" s="6">
        <v>25.8</v>
      </c>
      <c r="E70" s="6">
        <v>26.4</v>
      </c>
      <c r="F70" s="6">
        <v>25.5</v>
      </c>
      <c r="G70" s="6">
        <v>26.2</v>
      </c>
      <c r="H70" s="6">
        <v>25.8</v>
      </c>
      <c r="I70" s="6">
        <v>26.1</v>
      </c>
      <c r="J70" s="7">
        <v>1353</v>
      </c>
      <c r="K70" s="6">
        <v>96.426000000000002</v>
      </c>
      <c r="L70" s="7">
        <v>3715458</v>
      </c>
    </row>
    <row r="71" spans="1:12" ht="28.5">
      <c r="A71" s="3">
        <v>69</v>
      </c>
      <c r="B71" s="4">
        <v>45916</v>
      </c>
      <c r="C71" s="5" t="s">
        <v>18</v>
      </c>
      <c r="D71" s="6">
        <v>26.1</v>
      </c>
      <c r="E71" s="6">
        <v>26.4</v>
      </c>
      <c r="F71" s="6">
        <v>26</v>
      </c>
      <c r="G71" s="6">
        <v>26.4</v>
      </c>
      <c r="H71" s="6">
        <v>26.1</v>
      </c>
      <c r="I71" s="6">
        <v>26.2</v>
      </c>
      <c r="J71" s="7">
        <v>1002</v>
      </c>
      <c r="K71" s="6">
        <v>110.76300000000001</v>
      </c>
      <c r="L71" s="7">
        <v>4231259</v>
      </c>
    </row>
    <row r="72" spans="1:12" ht="28.5">
      <c r="A72" s="3">
        <v>70</v>
      </c>
      <c r="B72" s="4">
        <v>45915</v>
      </c>
      <c r="C72" s="5" t="s">
        <v>18</v>
      </c>
      <c r="D72" s="6">
        <v>26.2</v>
      </c>
      <c r="E72" s="6">
        <v>26.4</v>
      </c>
      <c r="F72" s="6">
        <v>25.9</v>
      </c>
      <c r="G72" s="6">
        <v>26</v>
      </c>
      <c r="H72" s="6">
        <v>26.2</v>
      </c>
      <c r="I72" s="6">
        <v>26</v>
      </c>
      <c r="J72" s="7">
        <v>1115</v>
      </c>
      <c r="K72" s="6">
        <v>95.763999999999996</v>
      </c>
      <c r="L72" s="7">
        <v>3660674</v>
      </c>
    </row>
    <row r="73" spans="1:12" ht="28.5">
      <c r="A73" s="3">
        <v>71</v>
      </c>
      <c r="B73" s="4">
        <v>45914</v>
      </c>
      <c r="C73" s="5" t="s">
        <v>18</v>
      </c>
      <c r="D73" s="6">
        <v>26</v>
      </c>
      <c r="E73" s="6">
        <v>27</v>
      </c>
      <c r="F73" s="6">
        <v>25.9</v>
      </c>
      <c r="G73" s="6">
        <v>26.8</v>
      </c>
      <c r="H73" s="6">
        <v>26</v>
      </c>
      <c r="I73" s="6">
        <v>26.6</v>
      </c>
      <c r="J73" s="7">
        <v>1529</v>
      </c>
      <c r="K73" s="6">
        <v>137.83099999999999</v>
      </c>
      <c r="L73" s="7">
        <v>5223199</v>
      </c>
    </row>
    <row r="74" spans="1:12" ht="28.5">
      <c r="A74" s="3">
        <v>72</v>
      </c>
      <c r="B74" s="4">
        <v>45911</v>
      </c>
      <c r="C74" s="5" t="s">
        <v>18</v>
      </c>
      <c r="D74" s="6">
        <v>26.6</v>
      </c>
      <c r="E74" s="6">
        <v>27</v>
      </c>
      <c r="F74" s="6">
        <v>25.9</v>
      </c>
      <c r="G74" s="6">
        <v>26</v>
      </c>
      <c r="H74" s="6">
        <v>26.6</v>
      </c>
      <c r="I74" s="6">
        <v>26</v>
      </c>
      <c r="J74" s="7">
        <v>1377</v>
      </c>
      <c r="K74" s="6">
        <v>152.68100000000001</v>
      </c>
      <c r="L74" s="7">
        <v>5766536</v>
      </c>
    </row>
    <row r="75" spans="1:12" ht="28.5">
      <c r="A75" s="3">
        <v>73</v>
      </c>
      <c r="B75" s="4">
        <v>45910</v>
      </c>
      <c r="C75" s="5" t="s">
        <v>18</v>
      </c>
      <c r="D75" s="6">
        <v>26</v>
      </c>
      <c r="E75" s="6">
        <v>26.7</v>
      </c>
      <c r="F75" s="6">
        <v>25.7</v>
      </c>
      <c r="G75" s="6">
        <v>26.1</v>
      </c>
      <c r="H75" s="6">
        <v>26</v>
      </c>
      <c r="I75" s="6">
        <v>26.1</v>
      </c>
      <c r="J75" s="7">
        <v>1766</v>
      </c>
      <c r="K75" s="6">
        <v>138.00700000000001</v>
      </c>
      <c r="L75" s="7">
        <v>5264471</v>
      </c>
    </row>
    <row r="76" spans="1:12" ht="28.5">
      <c r="A76" s="3">
        <v>74</v>
      </c>
      <c r="B76" s="4">
        <v>45909</v>
      </c>
      <c r="C76" s="5" t="s">
        <v>18</v>
      </c>
      <c r="D76" s="6">
        <v>26.1</v>
      </c>
      <c r="E76" s="6">
        <v>27</v>
      </c>
      <c r="F76" s="6">
        <v>26</v>
      </c>
      <c r="G76" s="6">
        <v>26.8</v>
      </c>
      <c r="H76" s="6">
        <v>26.1</v>
      </c>
      <c r="I76" s="6">
        <v>26.8</v>
      </c>
      <c r="J76" s="7">
        <v>2335</v>
      </c>
      <c r="K76" s="6">
        <v>217.56299999999999</v>
      </c>
      <c r="L76" s="7">
        <v>8265080</v>
      </c>
    </row>
    <row r="77" spans="1:12" ht="28.5">
      <c r="A77" s="3">
        <v>75</v>
      </c>
      <c r="B77" s="4">
        <v>45908</v>
      </c>
      <c r="C77" s="5" t="s">
        <v>18</v>
      </c>
      <c r="D77" s="6">
        <v>26.8</v>
      </c>
      <c r="E77" s="6">
        <v>27.2</v>
      </c>
      <c r="F77" s="6">
        <v>26.7</v>
      </c>
      <c r="G77" s="6">
        <v>27</v>
      </c>
      <c r="H77" s="6">
        <v>26.8</v>
      </c>
      <c r="I77" s="6">
        <v>26.9</v>
      </c>
      <c r="J77" s="7">
        <v>1737</v>
      </c>
      <c r="K77" s="6">
        <v>177.703</v>
      </c>
      <c r="L77" s="7">
        <v>6588689</v>
      </c>
    </row>
    <row r="78" spans="1:12" ht="28.5">
      <c r="A78" s="3">
        <v>76</v>
      </c>
      <c r="B78" s="4">
        <v>45907</v>
      </c>
      <c r="C78" s="5" t="s">
        <v>18</v>
      </c>
      <c r="D78" s="6">
        <v>26.9</v>
      </c>
      <c r="E78" s="6">
        <v>27.2</v>
      </c>
      <c r="F78" s="6">
        <v>26.7</v>
      </c>
      <c r="G78" s="6">
        <v>27.1</v>
      </c>
      <c r="H78" s="6">
        <v>26.9</v>
      </c>
      <c r="I78" s="6">
        <v>27.1</v>
      </c>
      <c r="J78" s="7">
        <v>1974</v>
      </c>
      <c r="K78" s="6">
        <v>215.69499999999999</v>
      </c>
      <c r="L78" s="7">
        <v>8017783</v>
      </c>
    </row>
    <row r="79" spans="1:12" ht="28.5">
      <c r="A79" s="3">
        <v>77</v>
      </c>
      <c r="B79" s="4">
        <v>45904</v>
      </c>
      <c r="C79" s="5" t="s">
        <v>18</v>
      </c>
      <c r="D79" s="6">
        <v>27.1</v>
      </c>
      <c r="E79" s="6">
        <v>27.6</v>
      </c>
      <c r="F79" s="6">
        <v>26.8</v>
      </c>
      <c r="G79" s="6">
        <v>27.4</v>
      </c>
      <c r="H79" s="6">
        <v>27.1</v>
      </c>
      <c r="I79" s="6">
        <v>27.4</v>
      </c>
      <c r="J79" s="7">
        <v>3013</v>
      </c>
      <c r="K79" s="6">
        <v>463.11200000000002</v>
      </c>
      <c r="L79" s="7">
        <v>17084832</v>
      </c>
    </row>
    <row r="80" spans="1:12" ht="28.5">
      <c r="A80" s="3">
        <v>78</v>
      </c>
      <c r="B80" s="4">
        <v>45903</v>
      </c>
      <c r="C80" s="5" t="s">
        <v>18</v>
      </c>
      <c r="D80" s="6">
        <v>27.4</v>
      </c>
      <c r="E80" s="6">
        <v>27.9</v>
      </c>
      <c r="F80" s="6">
        <v>26.3</v>
      </c>
      <c r="G80" s="6">
        <v>26.3</v>
      </c>
      <c r="H80" s="6">
        <v>27.4</v>
      </c>
      <c r="I80" s="6">
        <v>26.3</v>
      </c>
      <c r="J80" s="7">
        <v>4395</v>
      </c>
      <c r="K80" s="6">
        <v>698.71500000000003</v>
      </c>
      <c r="L80" s="7">
        <v>25374456</v>
      </c>
    </row>
    <row r="81" spans="1:12" ht="28.5">
      <c r="A81" s="3">
        <v>79</v>
      </c>
      <c r="B81" s="4">
        <v>45902</v>
      </c>
      <c r="C81" s="5" t="s">
        <v>18</v>
      </c>
      <c r="D81" s="6">
        <v>26.3</v>
      </c>
      <c r="E81" s="6">
        <v>26.5</v>
      </c>
      <c r="F81" s="6">
        <v>25.3</v>
      </c>
      <c r="G81" s="6">
        <v>25.4</v>
      </c>
      <c r="H81" s="6">
        <v>26.3</v>
      </c>
      <c r="I81" s="6">
        <v>25.4</v>
      </c>
      <c r="J81" s="7">
        <v>2927</v>
      </c>
      <c r="K81" s="6">
        <v>456.97500000000002</v>
      </c>
      <c r="L81" s="7">
        <v>17673635</v>
      </c>
    </row>
    <row r="82" spans="1:12" ht="28.5">
      <c r="A82" s="3">
        <v>80</v>
      </c>
      <c r="B82" s="4">
        <v>45901</v>
      </c>
      <c r="C82" s="5" t="s">
        <v>18</v>
      </c>
      <c r="D82" s="6">
        <v>25.4</v>
      </c>
      <c r="E82" s="6">
        <v>25.7</v>
      </c>
      <c r="F82" s="6">
        <v>25.2</v>
      </c>
      <c r="G82" s="6">
        <v>25.5</v>
      </c>
      <c r="H82" s="6">
        <v>25.4</v>
      </c>
      <c r="I82" s="6">
        <v>25.4</v>
      </c>
      <c r="J82" s="7">
        <v>1467</v>
      </c>
      <c r="K82" s="6">
        <v>191.14</v>
      </c>
      <c r="L82" s="7">
        <v>7521250</v>
      </c>
    </row>
    <row r="83" spans="1:12" ht="28.5">
      <c r="A83" s="3">
        <v>81</v>
      </c>
      <c r="B83" s="4">
        <v>45900</v>
      </c>
      <c r="C83" s="5" t="s">
        <v>18</v>
      </c>
      <c r="D83" s="6">
        <v>25.4</v>
      </c>
      <c r="E83" s="6">
        <v>25.8</v>
      </c>
      <c r="F83" s="6">
        <v>25.2</v>
      </c>
      <c r="G83" s="6">
        <v>25.3</v>
      </c>
      <c r="H83" s="6">
        <v>25.4</v>
      </c>
      <c r="I83" s="6">
        <v>25.3</v>
      </c>
      <c r="J83" s="7">
        <v>2085</v>
      </c>
      <c r="K83" s="6">
        <v>258.02999999999997</v>
      </c>
      <c r="L83" s="7">
        <v>10135748</v>
      </c>
    </row>
    <row r="84" spans="1:12" ht="28.5">
      <c r="A84" s="3">
        <v>82</v>
      </c>
      <c r="B84" s="4">
        <v>45897</v>
      </c>
      <c r="C84" s="5" t="s">
        <v>18</v>
      </c>
      <c r="D84" s="6">
        <v>25.3</v>
      </c>
      <c r="E84" s="6">
        <v>25.4</v>
      </c>
      <c r="F84" s="6">
        <v>24.8</v>
      </c>
      <c r="G84" s="6">
        <v>24.8</v>
      </c>
      <c r="H84" s="6">
        <v>25.3</v>
      </c>
      <c r="I84" s="6">
        <v>24.8</v>
      </c>
      <c r="J84" s="7">
        <v>1968</v>
      </c>
      <c r="K84" s="6">
        <v>221.113</v>
      </c>
      <c r="L84" s="7">
        <v>8776880</v>
      </c>
    </row>
    <row r="85" spans="1:12" ht="28.5">
      <c r="A85" s="3">
        <v>83</v>
      </c>
      <c r="B85" s="4">
        <v>45896</v>
      </c>
      <c r="C85" s="5" t="s">
        <v>18</v>
      </c>
      <c r="D85" s="6">
        <v>24.8</v>
      </c>
      <c r="E85" s="6">
        <v>25</v>
      </c>
      <c r="F85" s="6">
        <v>24.4</v>
      </c>
      <c r="G85" s="6">
        <v>25</v>
      </c>
      <c r="H85" s="6">
        <v>24.8</v>
      </c>
      <c r="I85" s="6">
        <v>25</v>
      </c>
      <c r="J85" s="7">
        <v>1454</v>
      </c>
      <c r="K85" s="6">
        <v>224.29900000000001</v>
      </c>
      <c r="L85" s="7">
        <v>9082913</v>
      </c>
    </row>
    <row r="86" spans="1:12" ht="28.5">
      <c r="A86" s="3">
        <v>84</v>
      </c>
      <c r="B86" s="4">
        <v>45895</v>
      </c>
      <c r="C86" s="5" t="s">
        <v>18</v>
      </c>
      <c r="D86" s="6">
        <v>25</v>
      </c>
      <c r="E86" s="6">
        <v>25.7</v>
      </c>
      <c r="F86" s="6">
        <v>24.8</v>
      </c>
      <c r="G86" s="6">
        <v>25.1</v>
      </c>
      <c r="H86" s="6">
        <v>25</v>
      </c>
      <c r="I86" s="6">
        <v>25</v>
      </c>
      <c r="J86" s="7">
        <v>2781</v>
      </c>
      <c r="K86" s="6">
        <v>421.197</v>
      </c>
      <c r="L86" s="7">
        <v>16654312</v>
      </c>
    </row>
    <row r="87" spans="1:12" ht="28.5">
      <c r="A87" s="3">
        <v>85</v>
      </c>
      <c r="B87" s="4">
        <v>45894</v>
      </c>
      <c r="C87" s="5" t="s">
        <v>18</v>
      </c>
      <c r="D87" s="6">
        <v>25</v>
      </c>
      <c r="E87" s="6">
        <v>25.2</v>
      </c>
      <c r="F87" s="6">
        <v>24.3</v>
      </c>
      <c r="G87" s="6">
        <v>24.3</v>
      </c>
      <c r="H87" s="6">
        <v>25</v>
      </c>
      <c r="I87" s="6">
        <v>24.2</v>
      </c>
      <c r="J87" s="7">
        <v>2936</v>
      </c>
      <c r="K87" s="6">
        <v>393.03699999999998</v>
      </c>
      <c r="L87" s="7">
        <v>15831467</v>
      </c>
    </row>
    <row r="88" spans="1:12" ht="28.5">
      <c r="A88" s="3">
        <v>86</v>
      </c>
      <c r="B88" s="4">
        <v>45893</v>
      </c>
      <c r="C88" s="5" t="s">
        <v>18</v>
      </c>
      <c r="D88" s="6">
        <v>24.2</v>
      </c>
      <c r="E88" s="6">
        <v>24.5</v>
      </c>
      <c r="F88" s="6">
        <v>23.7</v>
      </c>
      <c r="G88" s="6">
        <v>23.8</v>
      </c>
      <c r="H88" s="6">
        <v>24.2</v>
      </c>
      <c r="I88" s="6">
        <v>23.8</v>
      </c>
      <c r="J88" s="7">
        <v>1837</v>
      </c>
      <c r="K88" s="6">
        <v>183.95699999999999</v>
      </c>
      <c r="L88" s="7">
        <v>7665508</v>
      </c>
    </row>
    <row r="89" spans="1:12" ht="28.5">
      <c r="A89" s="3">
        <v>87</v>
      </c>
      <c r="B89" s="4">
        <v>45890</v>
      </c>
      <c r="C89" s="5" t="s">
        <v>18</v>
      </c>
      <c r="D89" s="6">
        <v>23.8</v>
      </c>
      <c r="E89" s="6">
        <v>23.9</v>
      </c>
      <c r="F89" s="6">
        <v>23.4</v>
      </c>
      <c r="G89" s="6">
        <v>23.6</v>
      </c>
      <c r="H89" s="6">
        <v>23.8</v>
      </c>
      <c r="I89" s="6">
        <v>23.6</v>
      </c>
      <c r="J89" s="7">
        <v>1324</v>
      </c>
      <c r="K89" s="6">
        <v>81.039000000000001</v>
      </c>
      <c r="L89" s="7">
        <v>3429728</v>
      </c>
    </row>
    <row r="90" spans="1:12" ht="28.5">
      <c r="A90" s="3">
        <v>88</v>
      </c>
      <c r="B90" s="4">
        <v>45889</v>
      </c>
      <c r="C90" s="5" t="s">
        <v>18</v>
      </c>
      <c r="D90" s="6">
        <v>23.6</v>
      </c>
      <c r="E90" s="6">
        <v>24.4</v>
      </c>
      <c r="F90" s="6">
        <v>23.5</v>
      </c>
      <c r="G90" s="6">
        <v>24.2</v>
      </c>
      <c r="H90" s="6">
        <v>23.6</v>
      </c>
      <c r="I90" s="6">
        <v>24.2</v>
      </c>
      <c r="J90" s="7">
        <v>2371</v>
      </c>
      <c r="K90" s="6">
        <v>228.75</v>
      </c>
      <c r="L90" s="7">
        <v>9568518</v>
      </c>
    </row>
    <row r="91" spans="1:12" ht="28.5">
      <c r="A91" s="3">
        <v>89</v>
      </c>
      <c r="B91" s="4">
        <v>45888</v>
      </c>
      <c r="C91" s="5" t="s">
        <v>18</v>
      </c>
      <c r="D91" s="6">
        <v>24.2</v>
      </c>
      <c r="E91" s="6">
        <v>24.6</v>
      </c>
      <c r="F91" s="6">
        <v>24.2</v>
      </c>
      <c r="G91" s="6">
        <v>24.6</v>
      </c>
      <c r="H91" s="6">
        <v>24.2</v>
      </c>
      <c r="I91" s="6">
        <v>24.6</v>
      </c>
      <c r="J91" s="7">
        <v>1881</v>
      </c>
      <c r="K91" s="6">
        <v>188.125</v>
      </c>
      <c r="L91" s="7">
        <v>7741539</v>
      </c>
    </row>
    <row r="92" spans="1:12" ht="28.5">
      <c r="A92" s="3">
        <v>90</v>
      </c>
      <c r="B92" s="4">
        <v>45887</v>
      </c>
      <c r="C92" s="5" t="s">
        <v>18</v>
      </c>
      <c r="D92" s="6">
        <v>24.6</v>
      </c>
      <c r="E92" s="6">
        <v>25.5</v>
      </c>
      <c r="F92" s="6">
        <v>24.5</v>
      </c>
      <c r="G92" s="6">
        <v>25.1</v>
      </c>
      <c r="H92" s="6">
        <v>24.6</v>
      </c>
      <c r="I92" s="6">
        <v>25</v>
      </c>
      <c r="J92" s="7">
        <v>2536</v>
      </c>
      <c r="K92" s="6">
        <v>291.59199999999998</v>
      </c>
      <c r="L92" s="7">
        <v>11659114</v>
      </c>
    </row>
    <row r="93" spans="1:12" ht="28.5">
      <c r="A93" s="3">
        <v>91</v>
      </c>
      <c r="B93" s="4">
        <v>45886</v>
      </c>
      <c r="C93" s="5" t="s">
        <v>18</v>
      </c>
      <c r="D93" s="6">
        <v>25</v>
      </c>
      <c r="E93" s="6">
        <v>25.1</v>
      </c>
      <c r="F93" s="6">
        <v>23.7</v>
      </c>
      <c r="G93" s="6">
        <v>23.7</v>
      </c>
      <c r="H93" s="6">
        <v>25</v>
      </c>
      <c r="I93" s="6">
        <v>23.6</v>
      </c>
      <c r="J93" s="7">
        <v>3479</v>
      </c>
      <c r="K93" s="6">
        <v>363.85199999999998</v>
      </c>
      <c r="L93" s="7">
        <v>14802701</v>
      </c>
    </row>
    <row r="94" spans="1:12" ht="28.5">
      <c r="A94" s="3">
        <v>92</v>
      </c>
      <c r="B94" s="4">
        <v>45883</v>
      </c>
      <c r="C94" s="5" t="s">
        <v>18</v>
      </c>
      <c r="D94" s="6">
        <v>23.6</v>
      </c>
      <c r="E94" s="6">
        <v>23.8</v>
      </c>
      <c r="F94" s="6">
        <v>23</v>
      </c>
      <c r="G94" s="6">
        <v>23.2</v>
      </c>
      <c r="H94" s="6">
        <v>23.6</v>
      </c>
      <c r="I94" s="6">
        <v>23.1</v>
      </c>
      <c r="J94" s="7">
        <v>2275</v>
      </c>
      <c r="K94" s="6">
        <v>347.20600000000002</v>
      </c>
      <c r="L94" s="7">
        <v>14828754</v>
      </c>
    </row>
    <row r="95" spans="1:12" ht="28.5">
      <c r="A95" s="3">
        <v>93</v>
      </c>
      <c r="B95" s="4">
        <v>45882</v>
      </c>
      <c r="C95" s="5" t="s">
        <v>18</v>
      </c>
      <c r="D95" s="6">
        <v>23.1</v>
      </c>
      <c r="E95" s="6">
        <v>23.5</v>
      </c>
      <c r="F95" s="6">
        <v>23</v>
      </c>
      <c r="G95" s="6">
        <v>23.5</v>
      </c>
      <c r="H95" s="6">
        <v>23.1</v>
      </c>
      <c r="I95" s="6">
        <v>23.4</v>
      </c>
      <c r="J95" s="7">
        <v>1881</v>
      </c>
      <c r="K95" s="6">
        <v>129.51</v>
      </c>
      <c r="L95" s="7">
        <v>5584408</v>
      </c>
    </row>
    <row r="96" spans="1:12" ht="28.5">
      <c r="A96" s="3">
        <v>94</v>
      </c>
      <c r="B96" s="4">
        <v>45881</v>
      </c>
      <c r="C96" s="5" t="s">
        <v>18</v>
      </c>
      <c r="D96" s="6">
        <v>23.4</v>
      </c>
      <c r="E96" s="6">
        <v>24</v>
      </c>
      <c r="F96" s="6">
        <v>23.1</v>
      </c>
      <c r="G96" s="6">
        <v>23.1</v>
      </c>
      <c r="H96" s="6">
        <v>23.4</v>
      </c>
      <c r="I96" s="6">
        <v>23.6</v>
      </c>
      <c r="J96" s="7">
        <v>1339</v>
      </c>
      <c r="K96" s="6">
        <v>112.68600000000001</v>
      </c>
      <c r="L96" s="7">
        <v>4765535</v>
      </c>
    </row>
    <row r="97" spans="1:12" ht="28.5">
      <c r="A97" s="3">
        <v>95</v>
      </c>
      <c r="B97" s="4">
        <v>45880</v>
      </c>
      <c r="C97" s="5" t="s">
        <v>18</v>
      </c>
      <c r="D97" s="6">
        <v>23.6</v>
      </c>
      <c r="E97" s="6">
        <v>24.1</v>
      </c>
      <c r="F97" s="6">
        <v>23.5</v>
      </c>
      <c r="G97" s="6">
        <v>23.7</v>
      </c>
      <c r="H97" s="6">
        <v>23.6</v>
      </c>
      <c r="I97" s="6">
        <v>23.7</v>
      </c>
      <c r="J97" s="7">
        <v>1483</v>
      </c>
      <c r="K97" s="6">
        <v>108.901</v>
      </c>
      <c r="L97" s="7">
        <v>4580423</v>
      </c>
    </row>
    <row r="98" spans="1:12" ht="28.5">
      <c r="A98" s="3">
        <v>96</v>
      </c>
      <c r="B98" s="4">
        <v>45879</v>
      </c>
      <c r="C98" s="5" t="s">
        <v>18</v>
      </c>
      <c r="D98" s="6">
        <v>23.7</v>
      </c>
      <c r="E98" s="6">
        <v>24</v>
      </c>
      <c r="F98" s="6">
        <v>23.4</v>
      </c>
      <c r="G98" s="6">
        <v>23.9</v>
      </c>
      <c r="H98" s="6">
        <v>23.7</v>
      </c>
      <c r="I98" s="6">
        <v>23.9</v>
      </c>
      <c r="J98" s="7">
        <v>2107</v>
      </c>
      <c r="K98" s="6">
        <v>157.34700000000001</v>
      </c>
      <c r="L98" s="7">
        <v>6635347</v>
      </c>
    </row>
    <row r="99" spans="1:12" ht="28.5">
      <c r="A99" s="3">
        <v>97</v>
      </c>
      <c r="B99" s="4">
        <v>45876</v>
      </c>
      <c r="C99" s="5" t="s">
        <v>18</v>
      </c>
      <c r="D99" s="6">
        <v>23.9</v>
      </c>
      <c r="E99" s="6">
        <v>24.8</v>
      </c>
      <c r="F99" s="6">
        <v>23.5</v>
      </c>
      <c r="G99" s="6">
        <v>24.8</v>
      </c>
      <c r="H99" s="6">
        <v>23.9</v>
      </c>
      <c r="I99" s="6">
        <v>24.7</v>
      </c>
      <c r="J99" s="7">
        <v>2564</v>
      </c>
      <c r="K99" s="6">
        <v>210.39699999999999</v>
      </c>
      <c r="L99" s="7">
        <v>8749008</v>
      </c>
    </row>
    <row r="100" spans="1:12" ht="28.5">
      <c r="A100" s="3">
        <v>98</v>
      </c>
      <c r="B100" s="4">
        <v>45875</v>
      </c>
      <c r="C100" s="5" t="s">
        <v>18</v>
      </c>
      <c r="D100" s="6">
        <v>24.7</v>
      </c>
      <c r="E100" s="6">
        <v>25.7</v>
      </c>
      <c r="F100" s="6">
        <v>23.9</v>
      </c>
      <c r="G100" s="6">
        <v>25.5</v>
      </c>
      <c r="H100" s="6">
        <v>24.7</v>
      </c>
      <c r="I100" s="6">
        <v>25.4</v>
      </c>
      <c r="J100" s="7">
        <v>3705</v>
      </c>
      <c r="K100" s="6">
        <v>451.89600000000002</v>
      </c>
      <c r="L100" s="7">
        <v>18243247</v>
      </c>
    </row>
    <row r="101" spans="1:12" ht="28.5">
      <c r="A101" s="3">
        <v>99</v>
      </c>
      <c r="B101" s="4">
        <v>45873</v>
      </c>
      <c r="C101" s="5" t="s">
        <v>18</v>
      </c>
      <c r="D101" s="6">
        <v>25.4</v>
      </c>
      <c r="E101" s="6">
        <v>25.8</v>
      </c>
      <c r="F101" s="6">
        <v>25.2</v>
      </c>
      <c r="G101" s="6">
        <v>25.6</v>
      </c>
      <c r="H101" s="6">
        <v>25.4</v>
      </c>
      <c r="I101" s="6">
        <v>25.5</v>
      </c>
      <c r="J101" s="7">
        <v>2325</v>
      </c>
      <c r="K101" s="6">
        <v>297.72899999999998</v>
      </c>
      <c r="L101" s="7">
        <v>11696465</v>
      </c>
    </row>
    <row r="102" spans="1:12" ht="28.5">
      <c r="A102" s="3">
        <v>100</v>
      </c>
      <c r="B102" s="4">
        <v>45872</v>
      </c>
      <c r="C102" s="5" t="s">
        <v>18</v>
      </c>
      <c r="D102" s="6">
        <v>25.5</v>
      </c>
      <c r="E102" s="6">
        <v>26.9</v>
      </c>
      <c r="F102" s="6">
        <v>25.4</v>
      </c>
      <c r="G102" s="6">
        <v>26.9</v>
      </c>
      <c r="H102" s="6">
        <v>25.5</v>
      </c>
      <c r="I102" s="6">
        <v>25.8</v>
      </c>
      <c r="J102" s="7">
        <v>3215</v>
      </c>
      <c r="K102" s="6">
        <v>363.53</v>
      </c>
      <c r="L102" s="7">
        <v>14168512</v>
      </c>
    </row>
    <row r="103" spans="1:12" ht="28.5">
      <c r="A103" s="3">
        <v>101</v>
      </c>
      <c r="B103" s="4">
        <v>45869</v>
      </c>
      <c r="C103" s="5" t="s">
        <v>18</v>
      </c>
      <c r="D103" s="6">
        <v>25.8</v>
      </c>
      <c r="E103" s="6">
        <v>26.3</v>
      </c>
      <c r="F103" s="6">
        <v>25.2</v>
      </c>
      <c r="G103" s="6">
        <v>25.3</v>
      </c>
      <c r="H103" s="6">
        <v>25.8</v>
      </c>
      <c r="I103" s="6">
        <v>25.2</v>
      </c>
      <c r="J103" s="7">
        <v>3656</v>
      </c>
      <c r="K103" s="6">
        <v>513.38900000000001</v>
      </c>
      <c r="L103" s="7">
        <v>19900424</v>
      </c>
    </row>
    <row r="104" spans="1:12" ht="28.5">
      <c r="A104" s="3">
        <v>102</v>
      </c>
      <c r="B104" s="4">
        <v>45868</v>
      </c>
      <c r="C104" s="5" t="s">
        <v>18</v>
      </c>
      <c r="D104" s="6">
        <v>25.2</v>
      </c>
      <c r="E104" s="6">
        <v>25.4</v>
      </c>
      <c r="F104" s="6">
        <v>24.8</v>
      </c>
      <c r="G104" s="6">
        <v>25.2</v>
      </c>
      <c r="H104" s="6">
        <v>25.2</v>
      </c>
      <c r="I104" s="6">
        <v>25.1</v>
      </c>
      <c r="J104" s="7">
        <v>2523</v>
      </c>
      <c r="K104" s="6">
        <v>348.65</v>
      </c>
      <c r="L104" s="7">
        <v>13896146</v>
      </c>
    </row>
    <row r="105" spans="1:12" ht="28.5">
      <c r="A105" s="3">
        <v>103</v>
      </c>
      <c r="B105" s="4">
        <v>45867</v>
      </c>
      <c r="C105" s="5" t="s">
        <v>18</v>
      </c>
      <c r="D105" s="6">
        <v>25.1</v>
      </c>
      <c r="E105" s="6">
        <v>25.9</v>
      </c>
      <c r="F105" s="6">
        <v>24.6</v>
      </c>
      <c r="G105" s="6">
        <v>24.6</v>
      </c>
      <c r="H105" s="6">
        <v>25.1</v>
      </c>
      <c r="I105" s="6">
        <v>24.5</v>
      </c>
      <c r="J105" s="7">
        <v>4901</v>
      </c>
      <c r="K105" s="6">
        <v>559.303</v>
      </c>
      <c r="L105" s="7">
        <v>22124736</v>
      </c>
    </row>
    <row r="106" spans="1:12" ht="28.5">
      <c r="A106" s="3">
        <v>104</v>
      </c>
      <c r="B106" s="4">
        <v>45866</v>
      </c>
      <c r="C106" s="5" t="s">
        <v>18</v>
      </c>
      <c r="D106" s="6">
        <v>24.5</v>
      </c>
      <c r="E106" s="6">
        <v>25.1</v>
      </c>
      <c r="F106" s="6">
        <v>23.8</v>
      </c>
      <c r="G106" s="6">
        <v>24</v>
      </c>
      <c r="H106" s="6">
        <v>24.5</v>
      </c>
      <c r="I106" s="6">
        <v>23.7</v>
      </c>
      <c r="J106" s="7">
        <v>3885</v>
      </c>
      <c r="K106" s="6">
        <v>477.47199999999998</v>
      </c>
      <c r="L106" s="7">
        <v>19476885</v>
      </c>
    </row>
    <row r="107" spans="1:12" ht="28.5">
      <c r="A107" s="3">
        <v>105</v>
      </c>
      <c r="B107" s="4">
        <v>45865</v>
      </c>
      <c r="C107" s="5" t="s">
        <v>18</v>
      </c>
      <c r="D107" s="6">
        <v>23.7</v>
      </c>
      <c r="E107" s="6">
        <v>24.5</v>
      </c>
      <c r="F107" s="6">
        <v>23.4</v>
      </c>
      <c r="G107" s="6">
        <v>24</v>
      </c>
      <c r="H107" s="6">
        <v>23.7</v>
      </c>
      <c r="I107" s="6">
        <v>23.7</v>
      </c>
      <c r="J107" s="7">
        <v>3165</v>
      </c>
      <c r="K107" s="6">
        <v>311.92599999999999</v>
      </c>
      <c r="L107" s="7">
        <v>13021614</v>
      </c>
    </row>
    <row r="108" spans="1:12" ht="28.5">
      <c r="A108" s="3">
        <v>106</v>
      </c>
      <c r="B108" s="4">
        <v>45862</v>
      </c>
      <c r="C108" s="5" t="s">
        <v>18</v>
      </c>
      <c r="D108" s="6">
        <v>23.7</v>
      </c>
      <c r="E108" s="6">
        <v>24.2</v>
      </c>
      <c r="F108" s="6">
        <v>22.7</v>
      </c>
      <c r="G108" s="6">
        <v>23.1</v>
      </c>
      <c r="H108" s="6">
        <v>23.7</v>
      </c>
      <c r="I108" s="6">
        <v>23.2</v>
      </c>
      <c r="J108" s="7">
        <v>3787</v>
      </c>
      <c r="K108" s="6">
        <v>362.76299999999998</v>
      </c>
      <c r="L108" s="7">
        <v>15502827</v>
      </c>
    </row>
    <row r="109" spans="1:12" ht="28.5">
      <c r="A109" s="3">
        <v>107</v>
      </c>
      <c r="B109" s="4">
        <v>45861</v>
      </c>
      <c r="C109" s="5" t="s">
        <v>18</v>
      </c>
      <c r="D109" s="6">
        <v>23.2</v>
      </c>
      <c r="E109" s="6">
        <v>23.7</v>
      </c>
      <c r="F109" s="6">
        <v>22.6</v>
      </c>
      <c r="G109" s="6">
        <v>22.7</v>
      </c>
      <c r="H109" s="6">
        <v>23.2</v>
      </c>
      <c r="I109" s="6">
        <v>22.5</v>
      </c>
      <c r="J109" s="7">
        <v>3399</v>
      </c>
      <c r="K109" s="6">
        <v>347.81599999999997</v>
      </c>
      <c r="L109" s="7">
        <v>14914090</v>
      </c>
    </row>
    <row r="110" spans="1:12" ht="28.5">
      <c r="A110" s="3">
        <v>108</v>
      </c>
      <c r="B110" s="4">
        <v>45860</v>
      </c>
      <c r="C110" s="5" t="s">
        <v>18</v>
      </c>
      <c r="D110" s="6">
        <v>22.5</v>
      </c>
      <c r="E110" s="6">
        <v>22.8</v>
      </c>
      <c r="F110" s="6">
        <v>21.6</v>
      </c>
      <c r="G110" s="6">
        <v>21.8</v>
      </c>
      <c r="H110" s="6">
        <v>22.5</v>
      </c>
      <c r="I110" s="6">
        <v>21.7</v>
      </c>
      <c r="J110" s="7">
        <v>2270</v>
      </c>
      <c r="K110" s="6">
        <v>207.999</v>
      </c>
      <c r="L110" s="7">
        <v>9317198</v>
      </c>
    </row>
    <row r="111" spans="1:12" ht="28.5">
      <c r="A111" s="3">
        <v>109</v>
      </c>
      <c r="B111" s="4">
        <v>45859</v>
      </c>
      <c r="C111" s="5" t="s">
        <v>18</v>
      </c>
      <c r="D111" s="6">
        <v>21.7</v>
      </c>
      <c r="E111" s="6">
        <v>22.4</v>
      </c>
      <c r="F111" s="6">
        <v>21.2</v>
      </c>
      <c r="G111" s="6">
        <v>21.4</v>
      </c>
      <c r="H111" s="6">
        <v>21.7</v>
      </c>
      <c r="I111" s="6">
        <v>21.4</v>
      </c>
      <c r="J111" s="7">
        <v>1620</v>
      </c>
      <c r="K111" s="6">
        <v>167.04599999999999</v>
      </c>
      <c r="L111" s="7">
        <v>7699189</v>
      </c>
    </row>
    <row r="112" spans="1:12" ht="28.5">
      <c r="A112" s="3">
        <v>110</v>
      </c>
      <c r="B112" s="4">
        <v>45858</v>
      </c>
      <c r="C112" s="5" t="s">
        <v>18</v>
      </c>
      <c r="D112" s="6">
        <v>21.4</v>
      </c>
      <c r="E112" s="6">
        <v>21.4</v>
      </c>
      <c r="F112" s="6">
        <v>21.2</v>
      </c>
      <c r="G112" s="6">
        <v>21.3</v>
      </c>
      <c r="H112" s="6">
        <v>21.4</v>
      </c>
      <c r="I112" s="6">
        <v>21.3</v>
      </c>
      <c r="J112" s="6">
        <v>622</v>
      </c>
      <c r="K112" s="6">
        <v>64.826999999999998</v>
      </c>
      <c r="L112" s="7">
        <v>3035373</v>
      </c>
    </row>
    <row r="113" spans="1:12" ht="28.5">
      <c r="A113" s="3">
        <v>111</v>
      </c>
      <c r="B113" s="4">
        <v>45855</v>
      </c>
      <c r="C113" s="5" t="s">
        <v>18</v>
      </c>
      <c r="D113" s="6">
        <v>21.3</v>
      </c>
      <c r="E113" s="6">
        <v>21.5</v>
      </c>
      <c r="F113" s="6">
        <v>21.2</v>
      </c>
      <c r="G113" s="6">
        <v>21.4</v>
      </c>
      <c r="H113" s="6">
        <v>21.3</v>
      </c>
      <c r="I113" s="6">
        <v>21.4</v>
      </c>
      <c r="J113" s="6">
        <v>766</v>
      </c>
      <c r="K113" s="6">
        <v>71.602999999999994</v>
      </c>
      <c r="L113" s="7">
        <v>3349538</v>
      </c>
    </row>
    <row r="114" spans="1:12" ht="28.5">
      <c r="A114" s="3">
        <v>112</v>
      </c>
      <c r="B114" s="4">
        <v>45854</v>
      </c>
      <c r="C114" s="5" t="s">
        <v>18</v>
      </c>
      <c r="D114" s="6">
        <v>21.4</v>
      </c>
      <c r="E114" s="6">
        <v>21.5</v>
      </c>
      <c r="F114" s="6">
        <v>21.1</v>
      </c>
      <c r="G114" s="6">
        <v>21.1</v>
      </c>
      <c r="H114" s="6">
        <v>21.4</v>
      </c>
      <c r="I114" s="6">
        <v>21.1</v>
      </c>
      <c r="J114" s="6">
        <v>514</v>
      </c>
      <c r="K114" s="6">
        <v>40.005000000000003</v>
      </c>
      <c r="L114" s="7">
        <v>1876865</v>
      </c>
    </row>
    <row r="115" spans="1:12" ht="28.5">
      <c r="A115" s="3">
        <v>113</v>
      </c>
      <c r="B115" s="4">
        <v>45853</v>
      </c>
      <c r="C115" s="5" t="s">
        <v>18</v>
      </c>
      <c r="D115" s="6">
        <v>21.1</v>
      </c>
      <c r="E115" s="6">
        <v>21.4</v>
      </c>
      <c r="F115" s="6">
        <v>21.1</v>
      </c>
      <c r="G115" s="6">
        <v>21.3</v>
      </c>
      <c r="H115" s="6">
        <v>21.1</v>
      </c>
      <c r="I115" s="6">
        <v>21.3</v>
      </c>
      <c r="J115" s="6">
        <v>545</v>
      </c>
      <c r="K115" s="6">
        <v>40.168999999999997</v>
      </c>
      <c r="L115" s="7">
        <v>1893578</v>
      </c>
    </row>
    <row r="116" spans="1:12" ht="28.5">
      <c r="A116" s="3">
        <v>114</v>
      </c>
      <c r="B116" s="4">
        <v>45852</v>
      </c>
      <c r="C116" s="5" t="s">
        <v>18</v>
      </c>
      <c r="D116" s="6">
        <v>21.3</v>
      </c>
      <c r="E116" s="6">
        <v>21.5</v>
      </c>
      <c r="F116" s="6">
        <v>21.2</v>
      </c>
      <c r="G116" s="6">
        <v>21.4</v>
      </c>
      <c r="H116" s="6">
        <v>21.3</v>
      </c>
      <c r="I116" s="6">
        <v>21.5</v>
      </c>
      <c r="J116" s="6">
        <v>798</v>
      </c>
      <c r="K116" s="6">
        <v>57.963000000000001</v>
      </c>
      <c r="L116" s="7">
        <v>2715449</v>
      </c>
    </row>
    <row r="117" spans="1:12" ht="28.5">
      <c r="A117" s="3">
        <v>115</v>
      </c>
      <c r="B117" s="4">
        <v>45851</v>
      </c>
      <c r="C117" s="5" t="s">
        <v>18</v>
      </c>
      <c r="D117" s="6">
        <v>21.5</v>
      </c>
      <c r="E117" s="6">
        <v>21.7</v>
      </c>
      <c r="F117" s="6">
        <v>21.1</v>
      </c>
      <c r="G117" s="6">
        <v>21.2</v>
      </c>
      <c r="H117" s="6">
        <v>21.5</v>
      </c>
      <c r="I117" s="6">
        <v>21.2</v>
      </c>
      <c r="J117" s="7">
        <v>1114</v>
      </c>
      <c r="K117" s="6">
        <v>144.64699999999999</v>
      </c>
      <c r="L117" s="7">
        <v>6764135</v>
      </c>
    </row>
    <row r="118" spans="1:12" ht="28.5">
      <c r="A118" s="3">
        <v>116</v>
      </c>
      <c r="B118" s="4">
        <v>45848</v>
      </c>
      <c r="C118" s="5" t="s">
        <v>18</v>
      </c>
      <c r="D118" s="6">
        <v>21.2</v>
      </c>
      <c r="E118" s="6">
        <v>21.5</v>
      </c>
      <c r="F118" s="6">
        <v>21.1</v>
      </c>
      <c r="G118" s="6">
        <v>21.2</v>
      </c>
      <c r="H118" s="6">
        <v>21.2</v>
      </c>
      <c r="I118" s="6">
        <v>21.2</v>
      </c>
      <c r="J118" s="6">
        <v>740</v>
      </c>
      <c r="K118" s="6">
        <v>49.707000000000001</v>
      </c>
      <c r="L118" s="7">
        <v>2338311</v>
      </c>
    </row>
    <row r="119" spans="1:12" ht="28.5">
      <c r="A119" s="3">
        <v>117</v>
      </c>
      <c r="B119" s="4">
        <v>45847</v>
      </c>
      <c r="C119" s="5" t="s">
        <v>18</v>
      </c>
      <c r="D119" s="6">
        <v>21.2</v>
      </c>
      <c r="E119" s="6">
        <v>21.3</v>
      </c>
      <c r="F119" s="6">
        <v>20.9</v>
      </c>
      <c r="G119" s="6">
        <v>21</v>
      </c>
      <c r="H119" s="6">
        <v>21.2</v>
      </c>
      <c r="I119" s="6">
        <v>21</v>
      </c>
      <c r="J119" s="6">
        <v>827</v>
      </c>
      <c r="K119" s="6">
        <v>57.103999999999999</v>
      </c>
      <c r="L119" s="7">
        <v>2696495</v>
      </c>
    </row>
    <row r="120" spans="1:12" ht="28.5">
      <c r="A120" s="3">
        <v>118</v>
      </c>
      <c r="B120" s="4">
        <v>45846</v>
      </c>
      <c r="C120" s="5" t="s">
        <v>18</v>
      </c>
      <c r="D120" s="6">
        <v>21</v>
      </c>
      <c r="E120" s="6">
        <v>21.4</v>
      </c>
      <c r="F120" s="6">
        <v>20.8</v>
      </c>
      <c r="G120" s="6">
        <v>21.3</v>
      </c>
      <c r="H120" s="6">
        <v>21</v>
      </c>
      <c r="I120" s="6">
        <v>21.3</v>
      </c>
      <c r="J120" s="7">
        <v>1339</v>
      </c>
      <c r="K120" s="6">
        <v>104.721</v>
      </c>
      <c r="L120" s="7">
        <v>4977893</v>
      </c>
    </row>
    <row r="121" spans="1:12" ht="28.5">
      <c r="A121" s="3">
        <v>119</v>
      </c>
      <c r="B121" s="4">
        <v>45845</v>
      </c>
      <c r="C121" s="5" t="s">
        <v>18</v>
      </c>
      <c r="D121" s="6">
        <v>21.3</v>
      </c>
      <c r="E121" s="6">
        <v>21.5</v>
      </c>
      <c r="F121" s="6">
        <v>20.2</v>
      </c>
      <c r="G121" s="6">
        <v>20.2</v>
      </c>
      <c r="H121" s="6">
        <v>21.3</v>
      </c>
      <c r="I121" s="6">
        <v>20.2</v>
      </c>
      <c r="J121" s="7">
        <v>1884</v>
      </c>
      <c r="K121" s="6">
        <v>153.76900000000001</v>
      </c>
      <c r="L121" s="7">
        <v>7285960</v>
      </c>
    </row>
    <row r="122" spans="1:12" ht="28.5">
      <c r="A122" s="3">
        <v>120</v>
      </c>
      <c r="B122" s="4">
        <v>45841</v>
      </c>
      <c r="C122" s="5" t="s">
        <v>18</v>
      </c>
      <c r="D122" s="6">
        <v>20.2</v>
      </c>
      <c r="E122" s="6">
        <v>20.3</v>
      </c>
      <c r="F122" s="6">
        <v>19.600000000000001</v>
      </c>
      <c r="G122" s="6">
        <v>19.600000000000001</v>
      </c>
      <c r="H122" s="6">
        <v>20.2</v>
      </c>
      <c r="I122" s="6">
        <v>19.600000000000001</v>
      </c>
      <c r="J122" s="6">
        <v>718</v>
      </c>
      <c r="K122" s="6">
        <v>71.149000000000001</v>
      </c>
      <c r="L122" s="7">
        <v>3569395</v>
      </c>
    </row>
    <row r="123" spans="1:12" ht="28.5">
      <c r="A123" s="3">
        <v>121</v>
      </c>
      <c r="B123" s="4">
        <v>45840</v>
      </c>
      <c r="C123" s="5" t="s">
        <v>18</v>
      </c>
      <c r="D123" s="6">
        <v>19.600000000000001</v>
      </c>
      <c r="E123" s="6">
        <v>19.8</v>
      </c>
      <c r="F123" s="6">
        <v>19.600000000000001</v>
      </c>
      <c r="G123" s="6">
        <v>19.7</v>
      </c>
      <c r="H123" s="6">
        <v>19.600000000000001</v>
      </c>
      <c r="I123" s="6">
        <v>19.7</v>
      </c>
      <c r="J123" s="6">
        <v>517</v>
      </c>
      <c r="K123" s="6">
        <v>31.469000000000001</v>
      </c>
      <c r="L123" s="7">
        <v>1600132</v>
      </c>
    </row>
    <row r="124" spans="1:12" ht="28.5">
      <c r="A124" s="3">
        <v>122</v>
      </c>
      <c r="B124" s="4">
        <v>45838</v>
      </c>
      <c r="C124" s="5" t="s">
        <v>18</v>
      </c>
      <c r="D124" s="6">
        <v>19.7</v>
      </c>
      <c r="E124" s="6">
        <v>19.8</v>
      </c>
      <c r="F124" s="6">
        <v>19.600000000000001</v>
      </c>
      <c r="G124" s="6">
        <v>19.7</v>
      </c>
      <c r="H124" s="6">
        <v>19.7</v>
      </c>
      <c r="I124" s="6">
        <v>19.7</v>
      </c>
      <c r="J124" s="6">
        <v>334</v>
      </c>
      <c r="K124" s="6">
        <v>15.565</v>
      </c>
      <c r="L124" s="7">
        <v>790343</v>
      </c>
    </row>
    <row r="125" spans="1:12" ht="28.5">
      <c r="A125" s="3">
        <v>123</v>
      </c>
      <c r="B125" s="4">
        <v>45837</v>
      </c>
      <c r="C125" s="5" t="s">
        <v>18</v>
      </c>
      <c r="D125" s="6">
        <v>19.7</v>
      </c>
      <c r="E125" s="6">
        <v>19.8</v>
      </c>
      <c r="F125" s="6">
        <v>19.600000000000001</v>
      </c>
      <c r="G125" s="6">
        <v>19.7</v>
      </c>
      <c r="H125" s="6">
        <v>19.7</v>
      </c>
      <c r="I125" s="6">
        <v>19.7</v>
      </c>
      <c r="J125" s="6">
        <v>415</v>
      </c>
      <c r="K125" s="6">
        <v>35.970999999999997</v>
      </c>
      <c r="L125" s="7">
        <v>1823921</v>
      </c>
    </row>
    <row r="126" spans="1:12" ht="28.5">
      <c r="A126" s="3">
        <v>124</v>
      </c>
      <c r="B126" s="4">
        <v>45834</v>
      </c>
      <c r="C126" s="5" t="s">
        <v>18</v>
      </c>
      <c r="D126" s="6">
        <v>19.7</v>
      </c>
      <c r="E126" s="6">
        <v>19.8</v>
      </c>
      <c r="F126" s="6">
        <v>19.600000000000001</v>
      </c>
      <c r="G126" s="6">
        <v>19.8</v>
      </c>
      <c r="H126" s="6">
        <v>19.7</v>
      </c>
      <c r="I126" s="6">
        <v>19.7</v>
      </c>
      <c r="J126" s="6">
        <v>789</v>
      </c>
      <c r="K126" s="6">
        <v>72.78</v>
      </c>
      <c r="L126" s="7">
        <v>3692668</v>
      </c>
    </row>
    <row r="127" spans="1:12" ht="28.5">
      <c r="A127" s="3">
        <v>125</v>
      </c>
      <c r="B127" s="4">
        <v>45833</v>
      </c>
      <c r="C127" s="5" t="s">
        <v>18</v>
      </c>
      <c r="D127" s="6">
        <v>19.7</v>
      </c>
      <c r="E127" s="6">
        <v>19.8</v>
      </c>
      <c r="F127" s="6">
        <v>19.5</v>
      </c>
      <c r="G127" s="6">
        <v>19.5</v>
      </c>
      <c r="H127" s="6">
        <v>19.7</v>
      </c>
      <c r="I127" s="6">
        <v>19.5</v>
      </c>
      <c r="J127" s="6">
        <v>424</v>
      </c>
      <c r="K127" s="6">
        <v>53.313000000000002</v>
      </c>
      <c r="L127" s="7">
        <v>2708359</v>
      </c>
    </row>
    <row r="128" spans="1:12" ht="28.5">
      <c r="A128" s="3">
        <v>126</v>
      </c>
      <c r="B128" s="4">
        <v>45832</v>
      </c>
      <c r="C128" s="5" t="s">
        <v>18</v>
      </c>
      <c r="D128" s="6">
        <v>19.5</v>
      </c>
      <c r="E128" s="6">
        <v>19.600000000000001</v>
      </c>
      <c r="F128" s="6">
        <v>19.399999999999999</v>
      </c>
      <c r="G128" s="6">
        <v>19.399999999999999</v>
      </c>
      <c r="H128" s="6">
        <v>19.5</v>
      </c>
      <c r="I128" s="6">
        <v>19.399999999999999</v>
      </c>
      <c r="J128" s="6">
        <v>355</v>
      </c>
      <c r="K128" s="6">
        <v>50.347999999999999</v>
      </c>
      <c r="L128" s="7">
        <v>2583854</v>
      </c>
    </row>
    <row r="129" spans="1:12" ht="28.5">
      <c r="A129" s="3">
        <v>127</v>
      </c>
      <c r="B129" s="4">
        <v>45831</v>
      </c>
      <c r="C129" s="5" t="s">
        <v>18</v>
      </c>
      <c r="D129" s="6">
        <v>19.399999999999999</v>
      </c>
      <c r="E129" s="6">
        <v>19.5</v>
      </c>
      <c r="F129" s="6">
        <v>19.3</v>
      </c>
      <c r="G129" s="6">
        <v>19.399999999999999</v>
      </c>
      <c r="H129" s="6">
        <v>19.399999999999999</v>
      </c>
      <c r="I129" s="6">
        <v>19.5</v>
      </c>
      <c r="J129" s="6">
        <v>227</v>
      </c>
      <c r="K129" s="6">
        <v>37.488</v>
      </c>
      <c r="L129" s="7">
        <v>1932020</v>
      </c>
    </row>
    <row r="130" spans="1:12" ht="28.5">
      <c r="A130" s="3">
        <v>128</v>
      </c>
      <c r="B130" s="4">
        <v>45830</v>
      </c>
      <c r="C130" s="5" t="s">
        <v>18</v>
      </c>
      <c r="D130" s="6">
        <v>19.5</v>
      </c>
      <c r="E130" s="6">
        <v>19.5</v>
      </c>
      <c r="F130" s="6">
        <v>19.2</v>
      </c>
      <c r="G130" s="6">
        <v>19.5</v>
      </c>
      <c r="H130" s="6">
        <v>19.5</v>
      </c>
      <c r="I130" s="6">
        <v>19.5</v>
      </c>
      <c r="J130" s="6">
        <v>510</v>
      </c>
      <c r="K130" s="6">
        <v>41.21</v>
      </c>
      <c r="L130" s="7">
        <v>2130253</v>
      </c>
    </row>
    <row r="131" spans="1:12" ht="28.5">
      <c r="A131" s="3">
        <v>129</v>
      </c>
      <c r="B131" s="4">
        <v>45827</v>
      </c>
      <c r="C131" s="5" t="s">
        <v>18</v>
      </c>
      <c r="D131" s="6">
        <v>19.5</v>
      </c>
      <c r="E131" s="6">
        <v>19.600000000000001</v>
      </c>
      <c r="F131" s="6">
        <v>19.399999999999999</v>
      </c>
      <c r="G131" s="6">
        <v>19.600000000000001</v>
      </c>
      <c r="H131" s="6">
        <v>19.5</v>
      </c>
      <c r="I131" s="6">
        <v>19.600000000000001</v>
      </c>
      <c r="J131" s="6">
        <v>365</v>
      </c>
      <c r="K131" s="6">
        <v>29.75</v>
      </c>
      <c r="L131" s="7">
        <v>1525240</v>
      </c>
    </row>
    <row r="132" spans="1:12" ht="28.5">
      <c r="A132" s="3">
        <v>130</v>
      </c>
      <c r="B132" s="4">
        <v>45826</v>
      </c>
      <c r="C132" s="5" t="s">
        <v>18</v>
      </c>
      <c r="D132" s="6">
        <v>19.600000000000001</v>
      </c>
      <c r="E132" s="6">
        <v>19.600000000000001</v>
      </c>
      <c r="F132" s="6">
        <v>19.399999999999999</v>
      </c>
      <c r="G132" s="6">
        <v>19.600000000000001</v>
      </c>
      <c r="H132" s="6">
        <v>19.600000000000001</v>
      </c>
      <c r="I132" s="6">
        <v>19.5</v>
      </c>
      <c r="J132" s="6">
        <v>339</v>
      </c>
      <c r="K132" s="6">
        <v>26.3</v>
      </c>
      <c r="L132" s="7">
        <v>1345786</v>
      </c>
    </row>
    <row r="133" spans="1:12" ht="28.5">
      <c r="A133" s="3">
        <v>131</v>
      </c>
      <c r="B133" s="4">
        <v>45825</v>
      </c>
      <c r="C133" s="5" t="s">
        <v>18</v>
      </c>
      <c r="D133" s="6">
        <v>19.5</v>
      </c>
      <c r="E133" s="6">
        <v>19.7</v>
      </c>
      <c r="F133" s="6">
        <v>19.399999999999999</v>
      </c>
      <c r="G133" s="6">
        <v>19.399999999999999</v>
      </c>
      <c r="H133" s="6">
        <v>19.5</v>
      </c>
      <c r="I133" s="6">
        <v>19.399999999999999</v>
      </c>
      <c r="J133" s="6">
        <v>459</v>
      </c>
      <c r="K133" s="6">
        <v>49.271000000000001</v>
      </c>
      <c r="L133" s="7">
        <v>2521336</v>
      </c>
    </row>
    <row r="134" spans="1:12" ht="28.5">
      <c r="A134" s="3">
        <v>132</v>
      </c>
      <c r="B134" s="4">
        <v>45824</v>
      </c>
      <c r="C134" s="5" t="s">
        <v>18</v>
      </c>
      <c r="D134" s="6">
        <v>19.399999999999999</v>
      </c>
      <c r="E134" s="6">
        <v>19.5</v>
      </c>
      <c r="F134" s="6">
        <v>19.3</v>
      </c>
      <c r="G134" s="6">
        <v>19.3</v>
      </c>
      <c r="H134" s="6">
        <v>19.399999999999999</v>
      </c>
      <c r="I134" s="6">
        <v>19.3</v>
      </c>
      <c r="J134" s="6">
        <v>359</v>
      </c>
      <c r="K134" s="6">
        <v>25.991</v>
      </c>
      <c r="L134" s="7">
        <v>1339552</v>
      </c>
    </row>
    <row r="135" spans="1:12" ht="28.5">
      <c r="A135" s="3">
        <v>133</v>
      </c>
      <c r="B135" s="4">
        <v>45823</v>
      </c>
      <c r="C135" s="5" t="s">
        <v>18</v>
      </c>
      <c r="D135" s="6">
        <v>19.3</v>
      </c>
      <c r="E135" s="6">
        <v>19.399999999999999</v>
      </c>
      <c r="F135" s="6">
        <v>18.8</v>
      </c>
      <c r="G135" s="6">
        <v>18.8</v>
      </c>
      <c r="H135" s="6">
        <v>19.3</v>
      </c>
      <c r="I135" s="6">
        <v>19</v>
      </c>
      <c r="J135" s="6">
        <v>463</v>
      </c>
      <c r="K135" s="6">
        <v>27.75</v>
      </c>
      <c r="L135" s="7">
        <v>1443218</v>
      </c>
    </row>
    <row r="136" spans="1:12" ht="28.5">
      <c r="A136" s="3">
        <v>134</v>
      </c>
      <c r="B136" s="4">
        <v>45812</v>
      </c>
      <c r="C136" s="5" t="s">
        <v>18</v>
      </c>
      <c r="D136" s="6">
        <v>19</v>
      </c>
      <c r="E136" s="6">
        <v>19.100000000000001</v>
      </c>
      <c r="F136" s="6">
        <v>18.8</v>
      </c>
      <c r="G136" s="6">
        <v>18.8</v>
      </c>
      <c r="H136" s="6">
        <v>19</v>
      </c>
      <c r="I136" s="6">
        <v>18.899999999999999</v>
      </c>
      <c r="J136" s="6">
        <v>373</v>
      </c>
      <c r="K136" s="6">
        <v>31.501999999999999</v>
      </c>
      <c r="L136" s="7">
        <v>1659214</v>
      </c>
    </row>
    <row r="137" spans="1:12" ht="28.5">
      <c r="A137" s="3">
        <v>135</v>
      </c>
      <c r="B137" s="4">
        <v>45811</v>
      </c>
      <c r="C137" s="5" t="s">
        <v>18</v>
      </c>
      <c r="D137" s="6">
        <v>18.899999999999999</v>
      </c>
      <c r="E137" s="6">
        <v>19.2</v>
      </c>
      <c r="F137" s="6">
        <v>18.8</v>
      </c>
      <c r="G137" s="6">
        <v>18.8</v>
      </c>
      <c r="H137" s="6">
        <v>18.899999999999999</v>
      </c>
      <c r="I137" s="6">
        <v>19</v>
      </c>
      <c r="J137" s="6">
        <v>451</v>
      </c>
      <c r="K137" s="6">
        <v>35.341000000000001</v>
      </c>
      <c r="L137" s="7">
        <v>1861827</v>
      </c>
    </row>
    <row r="138" spans="1:12" ht="28.5">
      <c r="A138" s="3">
        <v>136</v>
      </c>
      <c r="B138" s="4">
        <v>45810</v>
      </c>
      <c r="C138" s="5" t="s">
        <v>18</v>
      </c>
      <c r="D138" s="6">
        <v>19</v>
      </c>
      <c r="E138" s="6">
        <v>19.100000000000001</v>
      </c>
      <c r="F138" s="6">
        <v>18.399999999999999</v>
      </c>
      <c r="G138" s="6">
        <v>18.600000000000001</v>
      </c>
      <c r="H138" s="6">
        <v>19</v>
      </c>
      <c r="I138" s="6">
        <v>18.3</v>
      </c>
      <c r="J138" s="6">
        <v>758</v>
      </c>
      <c r="K138" s="6">
        <v>53.284999999999997</v>
      </c>
      <c r="L138" s="7">
        <v>2829674</v>
      </c>
    </row>
    <row r="139" spans="1:12" ht="28.5">
      <c r="A139" s="3">
        <v>137</v>
      </c>
      <c r="B139" s="4">
        <v>45809</v>
      </c>
      <c r="C139" s="5" t="s">
        <v>18</v>
      </c>
      <c r="D139" s="6">
        <v>18.3</v>
      </c>
      <c r="E139" s="6">
        <v>18.5</v>
      </c>
      <c r="F139" s="6">
        <v>18</v>
      </c>
      <c r="G139" s="6">
        <v>18</v>
      </c>
      <c r="H139" s="6">
        <v>18.3</v>
      </c>
      <c r="I139" s="6">
        <v>18</v>
      </c>
      <c r="J139" s="6">
        <v>660</v>
      </c>
      <c r="K139" s="6">
        <v>36.052999999999997</v>
      </c>
      <c r="L139" s="7">
        <v>1991126</v>
      </c>
    </row>
    <row r="140" spans="1:12" ht="28.5">
      <c r="A140" s="3">
        <v>138</v>
      </c>
      <c r="B140" s="4">
        <v>45806</v>
      </c>
      <c r="C140" s="5" t="s">
        <v>18</v>
      </c>
      <c r="D140" s="6">
        <v>18</v>
      </c>
      <c r="E140" s="6">
        <v>18.5</v>
      </c>
      <c r="F140" s="6">
        <v>17.899999999999999</v>
      </c>
      <c r="G140" s="6">
        <v>18.100000000000001</v>
      </c>
      <c r="H140" s="6">
        <v>18</v>
      </c>
      <c r="I140" s="6">
        <v>18.3</v>
      </c>
      <c r="J140" s="6">
        <v>916</v>
      </c>
      <c r="K140" s="6">
        <v>34.652999999999999</v>
      </c>
      <c r="L140" s="7">
        <v>1919100</v>
      </c>
    </row>
    <row r="141" spans="1:12" ht="28.5">
      <c r="A141" s="3">
        <v>139</v>
      </c>
      <c r="B141" s="4">
        <v>45805</v>
      </c>
      <c r="C141" s="5" t="s">
        <v>18</v>
      </c>
      <c r="D141" s="6">
        <v>18.3</v>
      </c>
      <c r="E141" s="6">
        <v>18.600000000000001</v>
      </c>
      <c r="F141" s="6">
        <v>18.2</v>
      </c>
      <c r="G141" s="6">
        <v>18.5</v>
      </c>
      <c r="H141" s="6">
        <v>18.3</v>
      </c>
      <c r="I141" s="6">
        <v>18.5</v>
      </c>
      <c r="J141" s="6">
        <v>500</v>
      </c>
      <c r="K141" s="6">
        <v>10.242000000000001</v>
      </c>
      <c r="L141" s="7">
        <v>558212</v>
      </c>
    </row>
    <row r="142" spans="1:12" ht="28.5">
      <c r="A142" s="3">
        <v>140</v>
      </c>
      <c r="B142" s="4">
        <v>45804</v>
      </c>
      <c r="C142" s="5" t="s">
        <v>18</v>
      </c>
      <c r="D142" s="6">
        <v>18.5</v>
      </c>
      <c r="E142" s="6">
        <v>18.8</v>
      </c>
      <c r="F142" s="6">
        <v>18.399999999999999</v>
      </c>
      <c r="G142" s="6">
        <v>18.8</v>
      </c>
      <c r="H142" s="6">
        <v>18.5</v>
      </c>
      <c r="I142" s="6">
        <v>18.600000000000001</v>
      </c>
      <c r="J142" s="6">
        <v>548</v>
      </c>
      <c r="K142" s="6">
        <v>23.436</v>
      </c>
      <c r="L142" s="7">
        <v>1264776</v>
      </c>
    </row>
    <row r="143" spans="1:12" ht="28.5">
      <c r="A143" s="3">
        <v>141</v>
      </c>
      <c r="B143" s="4">
        <v>45803</v>
      </c>
      <c r="C143" s="5" t="s">
        <v>18</v>
      </c>
      <c r="D143" s="6">
        <v>18.600000000000001</v>
      </c>
      <c r="E143" s="6">
        <v>18.899999999999999</v>
      </c>
      <c r="F143" s="6">
        <v>18.600000000000001</v>
      </c>
      <c r="G143" s="6">
        <v>18.899999999999999</v>
      </c>
      <c r="H143" s="6">
        <v>18.600000000000001</v>
      </c>
      <c r="I143" s="6">
        <v>18.899999999999999</v>
      </c>
      <c r="J143" s="6">
        <v>695</v>
      </c>
      <c r="K143" s="6">
        <v>27.155999999999999</v>
      </c>
      <c r="L143" s="7">
        <v>1448671</v>
      </c>
    </row>
    <row r="144" spans="1:12" ht="28.5">
      <c r="A144" s="3">
        <v>142</v>
      </c>
      <c r="B144" s="4">
        <v>45802</v>
      </c>
      <c r="C144" s="5" t="s">
        <v>18</v>
      </c>
      <c r="D144" s="6">
        <v>18.899999999999999</v>
      </c>
      <c r="E144" s="6">
        <v>19.100000000000001</v>
      </c>
      <c r="F144" s="6">
        <v>18.8</v>
      </c>
      <c r="G144" s="6">
        <v>19</v>
      </c>
      <c r="H144" s="6">
        <v>18.899999999999999</v>
      </c>
      <c r="I144" s="6">
        <v>19</v>
      </c>
      <c r="J144" s="6">
        <v>519</v>
      </c>
      <c r="K144" s="6">
        <v>32.06</v>
      </c>
      <c r="L144" s="7">
        <v>1696263</v>
      </c>
    </row>
    <row r="145" spans="1:12" ht="28.5">
      <c r="A145" s="3">
        <v>143</v>
      </c>
      <c r="B145" s="4">
        <v>45801</v>
      </c>
      <c r="C145" s="5" t="s">
        <v>18</v>
      </c>
      <c r="D145" s="6">
        <v>19</v>
      </c>
      <c r="E145" s="6">
        <v>20</v>
      </c>
      <c r="F145" s="6">
        <v>18.899999999999999</v>
      </c>
      <c r="G145" s="6">
        <v>20</v>
      </c>
      <c r="H145" s="6">
        <v>19</v>
      </c>
      <c r="I145" s="6">
        <v>22.8</v>
      </c>
      <c r="J145" s="7">
        <v>1166</v>
      </c>
      <c r="K145" s="6">
        <v>56.103000000000002</v>
      </c>
      <c r="L145" s="7">
        <v>2940931</v>
      </c>
    </row>
    <row r="146" spans="1:12" ht="28.5">
      <c r="A146" s="3">
        <v>144</v>
      </c>
      <c r="B146" s="4">
        <v>45799</v>
      </c>
      <c r="C146" s="5" t="s">
        <v>18</v>
      </c>
      <c r="D146" s="6">
        <v>0</v>
      </c>
      <c r="E146" s="6">
        <v>0</v>
      </c>
      <c r="F146" s="6">
        <v>0</v>
      </c>
      <c r="G146" s="6">
        <v>0</v>
      </c>
      <c r="H146" s="6">
        <v>22.8</v>
      </c>
      <c r="I146" s="6">
        <v>22.8</v>
      </c>
      <c r="J146" s="6">
        <v>0</v>
      </c>
      <c r="K146" s="6">
        <v>0</v>
      </c>
      <c r="L146" s="6">
        <v>0</v>
      </c>
    </row>
    <row r="147" spans="1:12" ht="28.5">
      <c r="A147" s="3">
        <v>145</v>
      </c>
      <c r="B147" s="4">
        <v>45798</v>
      </c>
      <c r="C147" s="5" t="s">
        <v>18</v>
      </c>
      <c r="D147" s="6">
        <v>22.8</v>
      </c>
      <c r="E147" s="6">
        <v>23.1</v>
      </c>
      <c r="F147" s="6">
        <v>22.7</v>
      </c>
      <c r="G147" s="6">
        <v>23</v>
      </c>
      <c r="H147" s="6">
        <v>22.8</v>
      </c>
      <c r="I147" s="6">
        <v>23</v>
      </c>
      <c r="J147" s="6">
        <v>814</v>
      </c>
      <c r="K147" s="6">
        <v>87.353999999999999</v>
      </c>
      <c r="L147" s="7">
        <v>3808392</v>
      </c>
    </row>
    <row r="148" spans="1:12" ht="28.5">
      <c r="A148" s="3">
        <v>146</v>
      </c>
      <c r="B148" s="4">
        <v>45797</v>
      </c>
      <c r="C148" s="5" t="s">
        <v>18</v>
      </c>
      <c r="D148" s="6">
        <v>23.1</v>
      </c>
      <c r="E148" s="6">
        <v>23.1</v>
      </c>
      <c r="F148" s="6">
        <v>22.9</v>
      </c>
      <c r="G148" s="6">
        <v>23</v>
      </c>
      <c r="H148" s="6">
        <v>23</v>
      </c>
      <c r="I148" s="6">
        <v>23</v>
      </c>
      <c r="J148" s="6">
        <v>429</v>
      </c>
      <c r="K148" s="6">
        <v>64.927999999999997</v>
      </c>
      <c r="L148" s="7">
        <v>2821716</v>
      </c>
    </row>
    <row r="149" spans="1:12" ht="28.5">
      <c r="A149" s="3">
        <v>147</v>
      </c>
      <c r="B149" s="4">
        <v>45796</v>
      </c>
      <c r="C149" s="5" t="s">
        <v>18</v>
      </c>
      <c r="D149" s="6">
        <v>23</v>
      </c>
      <c r="E149" s="6">
        <v>23.1</v>
      </c>
      <c r="F149" s="6">
        <v>22.9</v>
      </c>
      <c r="G149" s="6">
        <v>23</v>
      </c>
      <c r="H149" s="6">
        <v>23</v>
      </c>
      <c r="I149" s="6">
        <v>23</v>
      </c>
      <c r="J149" s="6">
        <v>457</v>
      </c>
      <c r="K149" s="6">
        <v>83.603999999999999</v>
      </c>
      <c r="L149" s="7">
        <v>3636952</v>
      </c>
    </row>
    <row r="150" spans="1:12" ht="28.5">
      <c r="A150" s="3">
        <v>148</v>
      </c>
      <c r="B150" s="4">
        <v>45795</v>
      </c>
      <c r="C150" s="5" t="s">
        <v>18</v>
      </c>
      <c r="D150" s="6">
        <v>23</v>
      </c>
      <c r="E150" s="6">
        <v>23</v>
      </c>
      <c r="F150" s="6">
        <v>22.9</v>
      </c>
      <c r="G150" s="6">
        <v>23</v>
      </c>
      <c r="H150" s="6">
        <v>23</v>
      </c>
      <c r="I150" s="6">
        <v>23</v>
      </c>
      <c r="J150" s="6">
        <v>527</v>
      </c>
      <c r="K150" s="6">
        <v>138.999</v>
      </c>
      <c r="L150" s="7">
        <v>6054203</v>
      </c>
    </row>
    <row r="151" spans="1:12" ht="28.5">
      <c r="A151" s="3">
        <v>149</v>
      </c>
      <c r="B151" s="4">
        <v>45794</v>
      </c>
      <c r="C151" s="5" t="s">
        <v>18</v>
      </c>
      <c r="D151" s="6">
        <v>23</v>
      </c>
      <c r="E151" s="6">
        <v>23</v>
      </c>
      <c r="F151" s="6">
        <v>22.8</v>
      </c>
      <c r="G151" s="6">
        <v>22.9</v>
      </c>
      <c r="H151" s="6">
        <v>23</v>
      </c>
      <c r="I151" s="6">
        <v>22.9</v>
      </c>
      <c r="J151" s="6">
        <v>341</v>
      </c>
      <c r="K151" s="6">
        <v>96.754999999999995</v>
      </c>
      <c r="L151" s="7">
        <v>4207937</v>
      </c>
    </row>
    <row r="152" spans="1:12" ht="28.5">
      <c r="A152" s="3">
        <v>150</v>
      </c>
      <c r="B152" s="4">
        <v>45792</v>
      </c>
      <c r="C152" s="5" t="s">
        <v>18</v>
      </c>
      <c r="D152" s="6">
        <v>22.9</v>
      </c>
      <c r="E152" s="6">
        <v>23</v>
      </c>
      <c r="F152" s="6">
        <v>22.8</v>
      </c>
      <c r="G152" s="6">
        <v>23</v>
      </c>
      <c r="H152" s="6">
        <v>22.9</v>
      </c>
      <c r="I152" s="6">
        <v>22.9</v>
      </c>
      <c r="J152" s="6">
        <v>490</v>
      </c>
      <c r="K152" s="6">
        <v>47.448999999999998</v>
      </c>
      <c r="L152" s="7">
        <v>2071933</v>
      </c>
    </row>
    <row r="153" spans="1:12" ht="28.5">
      <c r="A153" s="3">
        <v>151</v>
      </c>
      <c r="B153" s="4">
        <v>45791</v>
      </c>
      <c r="C153" s="5" t="s">
        <v>18</v>
      </c>
      <c r="D153" s="6">
        <v>22.9</v>
      </c>
      <c r="E153" s="6">
        <v>22.9</v>
      </c>
      <c r="F153" s="6">
        <v>22.7</v>
      </c>
      <c r="G153" s="6">
        <v>22.7</v>
      </c>
      <c r="H153" s="6">
        <v>22.9</v>
      </c>
      <c r="I153" s="6">
        <v>22.7</v>
      </c>
      <c r="J153" s="6">
        <v>409</v>
      </c>
      <c r="K153" s="6">
        <v>72.563000000000002</v>
      </c>
      <c r="L153" s="7">
        <v>3179846</v>
      </c>
    </row>
    <row r="154" spans="1:12" ht="28.5">
      <c r="A154" s="3">
        <v>152</v>
      </c>
      <c r="B154" s="4">
        <v>45790</v>
      </c>
      <c r="C154" s="5" t="s">
        <v>18</v>
      </c>
      <c r="D154" s="6">
        <v>22.7</v>
      </c>
      <c r="E154" s="6">
        <v>22.9</v>
      </c>
      <c r="F154" s="6">
        <v>22.7</v>
      </c>
      <c r="G154" s="6">
        <v>22.9</v>
      </c>
      <c r="H154" s="6">
        <v>22.7</v>
      </c>
      <c r="I154" s="6">
        <v>23</v>
      </c>
      <c r="J154" s="6">
        <v>650</v>
      </c>
      <c r="K154" s="6">
        <v>98.846000000000004</v>
      </c>
      <c r="L154" s="7">
        <v>4333730</v>
      </c>
    </row>
    <row r="155" spans="1:12" ht="28.5">
      <c r="A155" s="3">
        <v>153</v>
      </c>
      <c r="B155" s="4">
        <v>45789</v>
      </c>
      <c r="C155" s="5" t="s">
        <v>18</v>
      </c>
      <c r="D155" s="6">
        <v>23</v>
      </c>
      <c r="E155" s="6">
        <v>23.1</v>
      </c>
      <c r="F155" s="6">
        <v>22.9</v>
      </c>
      <c r="G155" s="6">
        <v>23</v>
      </c>
      <c r="H155" s="6">
        <v>23</v>
      </c>
      <c r="I155" s="6">
        <v>23</v>
      </c>
      <c r="J155" s="6">
        <v>349</v>
      </c>
      <c r="K155" s="6">
        <v>71.902000000000001</v>
      </c>
      <c r="L155" s="7">
        <v>3127688</v>
      </c>
    </row>
    <row r="156" spans="1:12" ht="28.5">
      <c r="A156" s="3">
        <v>154</v>
      </c>
      <c r="B156" s="4">
        <v>45785</v>
      </c>
      <c r="C156" s="5" t="s">
        <v>18</v>
      </c>
      <c r="D156" s="6">
        <v>23</v>
      </c>
      <c r="E156" s="6">
        <v>23</v>
      </c>
      <c r="F156" s="6">
        <v>22.8</v>
      </c>
      <c r="G156" s="6">
        <v>22.8</v>
      </c>
      <c r="H156" s="6">
        <v>23</v>
      </c>
      <c r="I156" s="6">
        <v>22.8</v>
      </c>
      <c r="J156" s="6">
        <v>439</v>
      </c>
      <c r="K156" s="6">
        <v>91.724000000000004</v>
      </c>
      <c r="L156" s="7">
        <v>3995920</v>
      </c>
    </row>
    <row r="157" spans="1:12" ht="28.5">
      <c r="A157" s="3">
        <v>155</v>
      </c>
      <c r="B157" s="4">
        <v>45784</v>
      </c>
      <c r="C157" s="5" t="s">
        <v>18</v>
      </c>
      <c r="D157" s="6">
        <v>22.8</v>
      </c>
      <c r="E157" s="6">
        <v>23</v>
      </c>
      <c r="F157" s="6">
        <v>22.7</v>
      </c>
      <c r="G157" s="6">
        <v>23</v>
      </c>
      <c r="H157" s="6">
        <v>22.8</v>
      </c>
      <c r="I157" s="6">
        <v>23</v>
      </c>
      <c r="J157" s="6">
        <v>450</v>
      </c>
      <c r="K157" s="6">
        <v>52.128</v>
      </c>
      <c r="L157" s="7">
        <v>2285506</v>
      </c>
    </row>
    <row r="158" spans="1:12" ht="28.5">
      <c r="A158" s="3">
        <v>156</v>
      </c>
      <c r="B158" s="4">
        <v>45783</v>
      </c>
      <c r="C158" s="5" t="s">
        <v>18</v>
      </c>
      <c r="D158" s="6">
        <v>23</v>
      </c>
      <c r="E158" s="6">
        <v>23</v>
      </c>
      <c r="F158" s="6">
        <v>22.8</v>
      </c>
      <c r="G158" s="6">
        <v>22.9</v>
      </c>
      <c r="H158" s="6">
        <v>23</v>
      </c>
      <c r="I158" s="6">
        <v>22.9</v>
      </c>
      <c r="J158" s="6">
        <v>650</v>
      </c>
      <c r="K158" s="6">
        <v>195.071</v>
      </c>
      <c r="L158" s="7">
        <v>8502845</v>
      </c>
    </row>
    <row r="159" spans="1:12" ht="28.5">
      <c r="A159" s="3">
        <v>157</v>
      </c>
      <c r="B159" s="4">
        <v>45782</v>
      </c>
      <c r="C159" s="5" t="s">
        <v>18</v>
      </c>
      <c r="D159" s="6">
        <v>22.9</v>
      </c>
      <c r="E159" s="6">
        <v>23</v>
      </c>
      <c r="F159" s="6">
        <v>22.8</v>
      </c>
      <c r="G159" s="6">
        <v>22.9</v>
      </c>
      <c r="H159" s="6">
        <v>22.9</v>
      </c>
      <c r="I159" s="6">
        <v>23</v>
      </c>
      <c r="J159" s="6">
        <v>466</v>
      </c>
      <c r="K159" s="6">
        <v>112.491</v>
      </c>
      <c r="L159" s="7">
        <v>4910172</v>
      </c>
    </row>
    <row r="160" spans="1:12" ht="28.5">
      <c r="A160" s="3">
        <v>158</v>
      </c>
      <c r="B160" s="4">
        <v>45781</v>
      </c>
      <c r="C160" s="5" t="s">
        <v>18</v>
      </c>
      <c r="D160" s="6">
        <v>23</v>
      </c>
      <c r="E160" s="6">
        <v>23</v>
      </c>
      <c r="F160" s="6">
        <v>22.8</v>
      </c>
      <c r="G160" s="6">
        <v>23</v>
      </c>
      <c r="H160" s="6">
        <v>23</v>
      </c>
      <c r="I160" s="6">
        <v>23</v>
      </c>
      <c r="J160" s="6">
        <v>649</v>
      </c>
      <c r="K160" s="6">
        <v>169.94300000000001</v>
      </c>
      <c r="L160" s="7">
        <v>7411061</v>
      </c>
    </row>
    <row r="161" spans="1:12" ht="28.5">
      <c r="A161" s="3">
        <v>159</v>
      </c>
      <c r="B161" s="4">
        <v>45777</v>
      </c>
      <c r="C161" s="5" t="s">
        <v>18</v>
      </c>
      <c r="D161" s="6">
        <v>23</v>
      </c>
      <c r="E161" s="6">
        <v>23</v>
      </c>
      <c r="F161" s="6">
        <v>22.7</v>
      </c>
      <c r="G161" s="6">
        <v>23</v>
      </c>
      <c r="H161" s="6">
        <v>23</v>
      </c>
      <c r="I161" s="6">
        <v>22.6</v>
      </c>
      <c r="J161" s="7">
        <v>1121</v>
      </c>
      <c r="K161" s="6">
        <v>188.75700000000001</v>
      </c>
      <c r="L161" s="7">
        <v>8245082</v>
      </c>
    </row>
    <row r="162" spans="1:12" ht="28.5">
      <c r="A162" s="3">
        <v>160</v>
      </c>
      <c r="B162" s="4">
        <v>45776</v>
      </c>
      <c r="C162" s="5" t="s">
        <v>18</v>
      </c>
      <c r="D162" s="6">
        <v>22.6</v>
      </c>
      <c r="E162" s="6">
        <v>22.8</v>
      </c>
      <c r="F162" s="6">
        <v>22.5</v>
      </c>
      <c r="G162" s="6">
        <v>22.8</v>
      </c>
      <c r="H162" s="6">
        <v>22.6</v>
      </c>
      <c r="I162" s="6">
        <v>22.9</v>
      </c>
      <c r="J162" s="6">
        <v>349</v>
      </c>
      <c r="K162" s="6">
        <v>18.949000000000002</v>
      </c>
      <c r="L162" s="7">
        <v>835788</v>
      </c>
    </row>
    <row r="163" spans="1:12" ht="28.5">
      <c r="A163" s="3">
        <v>161</v>
      </c>
      <c r="B163" s="4">
        <v>45775</v>
      </c>
      <c r="C163" s="5" t="s">
        <v>18</v>
      </c>
      <c r="D163" s="6">
        <v>22.9</v>
      </c>
      <c r="E163" s="6">
        <v>23</v>
      </c>
      <c r="F163" s="6">
        <v>22.6</v>
      </c>
      <c r="G163" s="6">
        <v>23</v>
      </c>
      <c r="H163" s="6">
        <v>22.9</v>
      </c>
      <c r="I163" s="6">
        <v>23</v>
      </c>
      <c r="J163" s="6">
        <v>289</v>
      </c>
      <c r="K163" s="6">
        <v>28.495000000000001</v>
      </c>
      <c r="L163" s="7">
        <v>1250990</v>
      </c>
    </row>
    <row r="164" spans="1:12" ht="28.5">
      <c r="A164" s="3">
        <v>162</v>
      </c>
      <c r="B164" s="4">
        <v>45774</v>
      </c>
      <c r="C164" s="5" t="s">
        <v>18</v>
      </c>
      <c r="D164" s="6">
        <v>23</v>
      </c>
      <c r="E164" s="6">
        <v>23</v>
      </c>
      <c r="F164" s="6">
        <v>22.5</v>
      </c>
      <c r="G164" s="6">
        <v>22.5</v>
      </c>
      <c r="H164" s="6">
        <v>23</v>
      </c>
      <c r="I164" s="6">
        <v>22.5</v>
      </c>
      <c r="J164" s="6">
        <v>392</v>
      </c>
      <c r="K164" s="6">
        <v>47.079000000000001</v>
      </c>
      <c r="L164" s="7">
        <v>2067368</v>
      </c>
    </row>
    <row r="165" spans="1:12" ht="28.5">
      <c r="A165" s="3">
        <v>163</v>
      </c>
      <c r="B165" s="4">
        <v>45771</v>
      </c>
      <c r="C165" s="5" t="s">
        <v>18</v>
      </c>
      <c r="D165" s="6">
        <v>22.5</v>
      </c>
      <c r="E165" s="6">
        <v>22.6</v>
      </c>
      <c r="F165" s="6">
        <v>22.2</v>
      </c>
      <c r="G165" s="6">
        <v>22.2</v>
      </c>
      <c r="H165" s="6">
        <v>22.5</v>
      </c>
      <c r="I165" s="6">
        <v>22.4</v>
      </c>
      <c r="J165" s="6">
        <v>287</v>
      </c>
      <c r="K165" s="6">
        <v>18.611000000000001</v>
      </c>
      <c r="L165" s="7">
        <v>826860</v>
      </c>
    </row>
    <row r="166" spans="1:12" ht="28.5">
      <c r="A166" s="3">
        <v>164</v>
      </c>
      <c r="B166" s="4">
        <v>45770</v>
      </c>
      <c r="C166" s="5" t="s">
        <v>18</v>
      </c>
      <c r="D166" s="6">
        <v>22.4</v>
      </c>
      <c r="E166" s="6">
        <v>22.6</v>
      </c>
      <c r="F166" s="6">
        <v>22</v>
      </c>
      <c r="G166" s="6">
        <v>22</v>
      </c>
      <c r="H166" s="6">
        <v>22.4</v>
      </c>
      <c r="I166" s="6">
        <v>22.2</v>
      </c>
      <c r="J166" s="6">
        <v>273</v>
      </c>
      <c r="K166" s="6">
        <v>16.544</v>
      </c>
      <c r="L166" s="7">
        <v>741214</v>
      </c>
    </row>
    <row r="167" spans="1:12" ht="28.5">
      <c r="A167" s="3">
        <v>165</v>
      </c>
      <c r="B167" s="4">
        <v>45769</v>
      </c>
      <c r="C167" s="5" t="s">
        <v>18</v>
      </c>
      <c r="D167" s="6">
        <v>22.2</v>
      </c>
      <c r="E167" s="6">
        <v>22.6</v>
      </c>
      <c r="F167" s="6">
        <v>21.8</v>
      </c>
      <c r="G167" s="6">
        <v>22.6</v>
      </c>
      <c r="H167" s="6">
        <v>22.2</v>
      </c>
      <c r="I167" s="6">
        <v>22.6</v>
      </c>
      <c r="J167" s="6">
        <v>516</v>
      </c>
      <c r="K167" s="6">
        <v>21.161000000000001</v>
      </c>
      <c r="L167" s="7">
        <v>956582</v>
      </c>
    </row>
    <row r="168" spans="1:12" ht="28.5">
      <c r="A168" s="3">
        <v>166</v>
      </c>
      <c r="B168" s="4">
        <v>45768</v>
      </c>
      <c r="C168" s="5" t="s">
        <v>18</v>
      </c>
      <c r="D168" s="6">
        <v>22.6</v>
      </c>
      <c r="E168" s="6">
        <v>22.6</v>
      </c>
      <c r="F168" s="6">
        <v>22.5</v>
      </c>
      <c r="G168" s="6">
        <v>22.6</v>
      </c>
      <c r="H168" s="6">
        <v>22.6</v>
      </c>
      <c r="I168" s="6">
        <v>22.6</v>
      </c>
      <c r="J168" s="6">
        <v>298</v>
      </c>
      <c r="K168" s="6">
        <v>18.774000000000001</v>
      </c>
      <c r="L168" s="7">
        <v>832797</v>
      </c>
    </row>
    <row r="169" spans="1:12" ht="28.5">
      <c r="A169" s="3">
        <v>167</v>
      </c>
      <c r="B169" s="4">
        <v>45767</v>
      </c>
      <c r="C169" s="5" t="s">
        <v>18</v>
      </c>
      <c r="D169" s="6">
        <v>22.7</v>
      </c>
      <c r="E169" s="6">
        <v>22.7</v>
      </c>
      <c r="F169" s="6">
        <v>22.5</v>
      </c>
      <c r="G169" s="6">
        <v>22.6</v>
      </c>
      <c r="H169" s="6">
        <v>22.6</v>
      </c>
      <c r="I169" s="6">
        <v>22.6</v>
      </c>
      <c r="J169" s="6">
        <v>174</v>
      </c>
      <c r="K169" s="6">
        <v>4.8319999999999999</v>
      </c>
      <c r="L169" s="7">
        <v>214215</v>
      </c>
    </row>
    <row r="170" spans="1:12" ht="28.5">
      <c r="A170" s="3">
        <v>168</v>
      </c>
      <c r="B170" s="4">
        <v>45764</v>
      </c>
      <c r="C170" s="5" t="s">
        <v>18</v>
      </c>
      <c r="D170" s="6">
        <v>22.6</v>
      </c>
      <c r="E170" s="6">
        <v>22.7</v>
      </c>
      <c r="F170" s="6">
        <v>22.5</v>
      </c>
      <c r="G170" s="6">
        <v>22.6</v>
      </c>
      <c r="H170" s="6">
        <v>22.6</v>
      </c>
      <c r="I170" s="6">
        <v>22.6</v>
      </c>
      <c r="J170" s="6">
        <v>149</v>
      </c>
      <c r="K170" s="6">
        <v>9.5020000000000007</v>
      </c>
      <c r="L170" s="7">
        <v>420746</v>
      </c>
    </row>
    <row r="171" spans="1:12" ht="28.5">
      <c r="A171" s="3">
        <v>169</v>
      </c>
      <c r="B171" s="4">
        <v>45763</v>
      </c>
      <c r="C171" s="5" t="s">
        <v>18</v>
      </c>
      <c r="D171" s="6">
        <v>22.6</v>
      </c>
      <c r="E171" s="6">
        <v>22.7</v>
      </c>
      <c r="F171" s="6">
        <v>22.5</v>
      </c>
      <c r="G171" s="6">
        <v>22.6</v>
      </c>
      <c r="H171" s="6">
        <v>22.6</v>
      </c>
      <c r="I171" s="6">
        <v>22.6</v>
      </c>
      <c r="J171" s="6">
        <v>176</v>
      </c>
      <c r="K171" s="6">
        <v>6.6550000000000002</v>
      </c>
      <c r="L171" s="7">
        <v>294435</v>
      </c>
    </row>
    <row r="172" spans="1:12" ht="28.5">
      <c r="A172" s="3">
        <v>170</v>
      </c>
      <c r="B172" s="4">
        <v>45762</v>
      </c>
      <c r="C172" s="5" t="s">
        <v>18</v>
      </c>
      <c r="D172" s="6">
        <v>22.6</v>
      </c>
      <c r="E172" s="6">
        <v>22.7</v>
      </c>
      <c r="F172" s="6">
        <v>22.5</v>
      </c>
      <c r="G172" s="6">
        <v>22.6</v>
      </c>
      <c r="H172" s="6">
        <v>22.6</v>
      </c>
      <c r="I172" s="6">
        <v>22.6</v>
      </c>
      <c r="J172" s="6">
        <v>212</v>
      </c>
      <c r="K172" s="6">
        <v>8.0340000000000007</v>
      </c>
      <c r="L172" s="7">
        <v>356110</v>
      </c>
    </row>
    <row r="173" spans="1:12" ht="28.5">
      <c r="A173" s="3">
        <v>171</v>
      </c>
      <c r="B173" s="4">
        <v>45760</v>
      </c>
      <c r="C173" s="5" t="s">
        <v>18</v>
      </c>
      <c r="D173" s="6">
        <v>22.6</v>
      </c>
      <c r="E173" s="6">
        <v>22.8</v>
      </c>
      <c r="F173" s="6">
        <v>22.6</v>
      </c>
      <c r="G173" s="6">
        <v>22.8</v>
      </c>
      <c r="H173" s="6">
        <v>22.6</v>
      </c>
      <c r="I173" s="6">
        <v>22.7</v>
      </c>
      <c r="J173" s="6">
        <v>275</v>
      </c>
      <c r="K173" s="6">
        <v>16.190999999999999</v>
      </c>
      <c r="L173" s="7">
        <v>714624</v>
      </c>
    </row>
    <row r="174" spans="1:12" ht="28.5">
      <c r="A174" s="3">
        <v>172</v>
      </c>
      <c r="B174" s="4">
        <v>45757</v>
      </c>
      <c r="C174" s="5" t="s">
        <v>18</v>
      </c>
      <c r="D174" s="6">
        <v>22.7</v>
      </c>
      <c r="E174" s="6">
        <v>22.8</v>
      </c>
      <c r="F174" s="6">
        <v>22.7</v>
      </c>
      <c r="G174" s="6">
        <v>22.8</v>
      </c>
      <c r="H174" s="6">
        <v>22.7</v>
      </c>
      <c r="I174" s="6">
        <v>22.7</v>
      </c>
      <c r="J174" s="6">
        <v>196</v>
      </c>
      <c r="K174" s="6">
        <v>10.944000000000001</v>
      </c>
      <c r="L174" s="7">
        <v>481147</v>
      </c>
    </row>
    <row r="175" spans="1:12" ht="28.5">
      <c r="A175" s="3">
        <v>173</v>
      </c>
      <c r="B175" s="4">
        <v>45756</v>
      </c>
      <c r="C175" s="5" t="s">
        <v>18</v>
      </c>
      <c r="D175" s="6">
        <v>22.7</v>
      </c>
      <c r="E175" s="6">
        <v>23</v>
      </c>
      <c r="F175" s="6">
        <v>22.7</v>
      </c>
      <c r="G175" s="6">
        <v>23</v>
      </c>
      <c r="H175" s="6">
        <v>22.7</v>
      </c>
      <c r="I175" s="6">
        <v>22.9</v>
      </c>
      <c r="J175" s="6">
        <v>288</v>
      </c>
      <c r="K175" s="6">
        <v>29.331</v>
      </c>
      <c r="L175" s="7">
        <v>1285561</v>
      </c>
    </row>
    <row r="176" spans="1:12" ht="28.5">
      <c r="A176" s="3">
        <v>174</v>
      </c>
      <c r="B176" s="4">
        <v>45755</v>
      </c>
      <c r="C176" s="5" t="s">
        <v>18</v>
      </c>
      <c r="D176" s="6">
        <v>22.9</v>
      </c>
      <c r="E176" s="6">
        <v>23</v>
      </c>
      <c r="F176" s="6">
        <v>22.8</v>
      </c>
      <c r="G176" s="6">
        <v>23</v>
      </c>
      <c r="H176" s="6">
        <v>22.9</v>
      </c>
      <c r="I176" s="6">
        <v>23</v>
      </c>
      <c r="J176" s="6">
        <v>174</v>
      </c>
      <c r="K176" s="6">
        <v>12.624000000000001</v>
      </c>
      <c r="L176" s="7">
        <v>550872</v>
      </c>
    </row>
    <row r="177" spans="1:12" ht="28.5">
      <c r="A177" s="3">
        <v>175</v>
      </c>
      <c r="B177" s="4">
        <v>45754</v>
      </c>
      <c r="C177" s="5" t="s">
        <v>18</v>
      </c>
      <c r="D177" s="6">
        <v>23</v>
      </c>
      <c r="E177" s="6">
        <v>23</v>
      </c>
      <c r="F177" s="6">
        <v>22.9</v>
      </c>
      <c r="G177" s="6">
        <v>23</v>
      </c>
      <c r="H177" s="6">
        <v>23</v>
      </c>
      <c r="I177" s="6">
        <v>23</v>
      </c>
      <c r="J177" s="6">
        <v>277</v>
      </c>
      <c r="K177" s="6">
        <v>22.446000000000002</v>
      </c>
      <c r="L177" s="7">
        <v>978004</v>
      </c>
    </row>
    <row r="178" spans="1:12" ht="28.5">
      <c r="A178" s="3">
        <v>176</v>
      </c>
      <c r="B178" s="4">
        <v>45753</v>
      </c>
      <c r="C178" s="5" t="s">
        <v>18</v>
      </c>
      <c r="D178" s="6">
        <v>23</v>
      </c>
      <c r="E178" s="6">
        <v>23.2</v>
      </c>
      <c r="F178" s="6">
        <v>22.8</v>
      </c>
      <c r="G178" s="6">
        <v>22.8</v>
      </c>
      <c r="H178" s="6">
        <v>23</v>
      </c>
      <c r="I178" s="6">
        <v>23</v>
      </c>
      <c r="J178" s="6">
        <v>347</v>
      </c>
      <c r="K178" s="6">
        <v>35.262</v>
      </c>
      <c r="L178" s="7">
        <v>1530874</v>
      </c>
    </row>
    <row r="179" spans="1:12" ht="28.5">
      <c r="A179" s="3">
        <v>177</v>
      </c>
      <c r="B179" s="4">
        <v>45743</v>
      </c>
      <c r="C179" s="5" t="s">
        <v>18</v>
      </c>
      <c r="D179" s="6">
        <v>23</v>
      </c>
      <c r="E179" s="6">
        <v>23.1</v>
      </c>
      <c r="F179" s="6">
        <v>22.9</v>
      </c>
      <c r="G179" s="6">
        <v>23</v>
      </c>
      <c r="H179" s="6">
        <v>23</v>
      </c>
      <c r="I179" s="6">
        <v>22.9</v>
      </c>
      <c r="J179" s="6">
        <v>181</v>
      </c>
      <c r="K179" s="6">
        <v>28.527999999999999</v>
      </c>
      <c r="L179" s="7">
        <v>1240937</v>
      </c>
    </row>
    <row r="180" spans="1:12" ht="28.5">
      <c r="A180" s="3">
        <v>178</v>
      </c>
      <c r="B180" s="4">
        <v>45741</v>
      </c>
      <c r="C180" s="5" t="s">
        <v>18</v>
      </c>
      <c r="D180" s="6">
        <v>22.9</v>
      </c>
      <c r="E180" s="6">
        <v>23</v>
      </c>
      <c r="F180" s="6">
        <v>22.5</v>
      </c>
      <c r="G180" s="6">
        <v>22.5</v>
      </c>
      <c r="H180" s="6">
        <v>22.9</v>
      </c>
      <c r="I180" s="6">
        <v>22.5</v>
      </c>
      <c r="J180" s="6">
        <v>228</v>
      </c>
      <c r="K180" s="6">
        <v>19.576000000000001</v>
      </c>
      <c r="L180" s="7">
        <v>855646</v>
      </c>
    </row>
    <row r="181" spans="1:12" ht="28.5">
      <c r="A181" s="3">
        <v>179</v>
      </c>
      <c r="B181" s="4">
        <v>45740</v>
      </c>
      <c r="C181" s="5" t="s">
        <v>18</v>
      </c>
      <c r="D181" s="6">
        <v>22.5</v>
      </c>
      <c r="E181" s="6">
        <v>22.8</v>
      </c>
      <c r="F181" s="6">
        <v>22.4</v>
      </c>
      <c r="G181" s="6">
        <v>22.6</v>
      </c>
      <c r="H181" s="6">
        <v>22.5</v>
      </c>
      <c r="I181" s="6">
        <v>22.6</v>
      </c>
      <c r="J181" s="6">
        <v>324</v>
      </c>
      <c r="K181" s="6">
        <v>33.055999999999997</v>
      </c>
      <c r="L181" s="7">
        <v>1464210</v>
      </c>
    </row>
    <row r="182" spans="1:12" ht="28.5">
      <c r="A182" s="3">
        <v>180</v>
      </c>
      <c r="B182" s="4">
        <v>45739</v>
      </c>
      <c r="C182" s="5" t="s">
        <v>18</v>
      </c>
      <c r="D182" s="6">
        <v>22.6</v>
      </c>
      <c r="E182" s="6">
        <v>22.8</v>
      </c>
      <c r="F182" s="6">
        <v>22.6</v>
      </c>
      <c r="G182" s="6">
        <v>22.7</v>
      </c>
      <c r="H182" s="6">
        <v>22.6</v>
      </c>
      <c r="I182" s="6">
        <v>22.7</v>
      </c>
      <c r="J182" s="6">
        <v>243</v>
      </c>
      <c r="K182" s="6">
        <v>19.934999999999999</v>
      </c>
      <c r="L182" s="7">
        <v>880136</v>
      </c>
    </row>
    <row r="183" spans="1:12" ht="28.5">
      <c r="A183" s="3">
        <v>181</v>
      </c>
      <c r="B183" s="4">
        <v>45736</v>
      </c>
      <c r="C183" s="5" t="s">
        <v>18</v>
      </c>
      <c r="D183" s="6">
        <v>22.7</v>
      </c>
      <c r="E183" s="6">
        <v>22.9</v>
      </c>
      <c r="F183" s="6">
        <v>22.7</v>
      </c>
      <c r="G183" s="6">
        <v>22.9</v>
      </c>
      <c r="H183" s="6">
        <v>22.7</v>
      </c>
      <c r="I183" s="6">
        <v>22.8</v>
      </c>
      <c r="J183" s="6">
        <v>206</v>
      </c>
      <c r="K183" s="6">
        <v>16.238</v>
      </c>
      <c r="L183" s="7">
        <v>714109</v>
      </c>
    </row>
    <row r="184" spans="1:12" ht="28.5">
      <c r="A184" s="3">
        <v>182</v>
      </c>
      <c r="B184" s="4">
        <v>45735</v>
      </c>
      <c r="C184" s="5" t="s">
        <v>18</v>
      </c>
      <c r="D184" s="6">
        <v>22.8</v>
      </c>
      <c r="E184" s="6">
        <v>22.8</v>
      </c>
      <c r="F184" s="6">
        <v>22.7</v>
      </c>
      <c r="G184" s="6">
        <v>22.8</v>
      </c>
      <c r="H184" s="6">
        <v>22.8</v>
      </c>
      <c r="I184" s="6">
        <v>22.7</v>
      </c>
      <c r="J184" s="6">
        <v>169</v>
      </c>
      <c r="K184" s="6">
        <v>12.164999999999999</v>
      </c>
      <c r="L184" s="7">
        <v>535030</v>
      </c>
    </row>
    <row r="185" spans="1:12" ht="28.5">
      <c r="A185" s="3">
        <v>183</v>
      </c>
      <c r="B185" s="4">
        <v>45734</v>
      </c>
      <c r="C185" s="5" t="s">
        <v>18</v>
      </c>
      <c r="D185" s="6">
        <v>22.7</v>
      </c>
      <c r="E185" s="6">
        <v>22.9</v>
      </c>
      <c r="F185" s="6">
        <v>22.6</v>
      </c>
      <c r="G185" s="6">
        <v>22.9</v>
      </c>
      <c r="H185" s="6">
        <v>22.7</v>
      </c>
      <c r="I185" s="6">
        <v>22.9</v>
      </c>
      <c r="J185" s="6">
        <v>353</v>
      </c>
      <c r="K185" s="6">
        <v>45.155000000000001</v>
      </c>
      <c r="L185" s="7">
        <v>1983981</v>
      </c>
    </row>
    <row r="186" spans="1:12" ht="28.5">
      <c r="A186" s="3">
        <v>184</v>
      </c>
      <c r="B186" s="4">
        <v>45733</v>
      </c>
      <c r="C186" s="5" t="s">
        <v>18</v>
      </c>
      <c r="D186" s="6">
        <v>22.8</v>
      </c>
      <c r="E186" s="6">
        <v>23</v>
      </c>
      <c r="F186" s="6">
        <v>22.8</v>
      </c>
      <c r="G186" s="6">
        <v>23</v>
      </c>
      <c r="H186" s="6">
        <v>22.9</v>
      </c>
      <c r="I186" s="6">
        <v>22.9</v>
      </c>
      <c r="J186" s="6">
        <v>258</v>
      </c>
      <c r="K186" s="6">
        <v>19.457999999999998</v>
      </c>
      <c r="L186" s="7">
        <v>851656</v>
      </c>
    </row>
    <row r="187" spans="1:12" ht="28.5">
      <c r="A187" s="3">
        <v>185</v>
      </c>
      <c r="B187" s="4">
        <v>45732</v>
      </c>
      <c r="C187" s="5" t="s">
        <v>18</v>
      </c>
      <c r="D187" s="6">
        <v>22.9</v>
      </c>
      <c r="E187" s="6">
        <v>23</v>
      </c>
      <c r="F187" s="6">
        <v>22.9</v>
      </c>
      <c r="G187" s="6">
        <v>22.9</v>
      </c>
      <c r="H187" s="6">
        <v>22.9</v>
      </c>
      <c r="I187" s="6">
        <v>22.9</v>
      </c>
      <c r="J187" s="6">
        <v>337</v>
      </c>
      <c r="K187" s="6">
        <v>17.545999999999999</v>
      </c>
      <c r="L187" s="7">
        <v>765958</v>
      </c>
    </row>
    <row r="188" spans="1:12" ht="28.5">
      <c r="A188" s="3">
        <v>186</v>
      </c>
      <c r="B188" s="4">
        <v>45729</v>
      </c>
      <c r="C188" s="5" t="s">
        <v>18</v>
      </c>
      <c r="D188" s="6">
        <v>22.9</v>
      </c>
      <c r="E188" s="6">
        <v>23.1</v>
      </c>
      <c r="F188" s="6">
        <v>22.9</v>
      </c>
      <c r="G188" s="6">
        <v>23</v>
      </c>
      <c r="H188" s="6">
        <v>22.9</v>
      </c>
      <c r="I188" s="6">
        <v>23</v>
      </c>
      <c r="J188" s="6">
        <v>311</v>
      </c>
      <c r="K188" s="6">
        <v>26.064</v>
      </c>
      <c r="L188" s="7">
        <v>1134993</v>
      </c>
    </row>
    <row r="189" spans="1:12" ht="28.5">
      <c r="A189" s="3">
        <v>187</v>
      </c>
      <c r="B189" s="4">
        <v>45728</v>
      </c>
      <c r="C189" s="5" t="s">
        <v>18</v>
      </c>
      <c r="D189" s="6">
        <v>23</v>
      </c>
      <c r="E189" s="6">
        <v>23</v>
      </c>
      <c r="F189" s="6">
        <v>22.8</v>
      </c>
      <c r="G189" s="6">
        <v>22.8</v>
      </c>
      <c r="H189" s="6">
        <v>23</v>
      </c>
      <c r="I189" s="6">
        <v>22.8</v>
      </c>
      <c r="J189" s="6">
        <v>194</v>
      </c>
      <c r="K189" s="6">
        <v>16.587</v>
      </c>
      <c r="L189" s="7">
        <v>722996</v>
      </c>
    </row>
    <row r="190" spans="1:12" ht="28.5">
      <c r="A190" s="3">
        <v>188</v>
      </c>
      <c r="B190" s="4">
        <v>45727</v>
      </c>
      <c r="C190" s="5" t="s">
        <v>18</v>
      </c>
      <c r="D190" s="6">
        <v>22.8</v>
      </c>
      <c r="E190" s="6">
        <v>22.9</v>
      </c>
      <c r="F190" s="6">
        <v>22.7</v>
      </c>
      <c r="G190" s="6">
        <v>22.8</v>
      </c>
      <c r="H190" s="6">
        <v>22.8</v>
      </c>
      <c r="I190" s="6">
        <v>22.8</v>
      </c>
      <c r="J190" s="6">
        <v>211</v>
      </c>
      <c r="K190" s="6">
        <v>17.791</v>
      </c>
      <c r="L190" s="7">
        <v>781978</v>
      </c>
    </row>
    <row r="191" spans="1:12" ht="28.5">
      <c r="A191" s="3">
        <v>189</v>
      </c>
      <c r="B191" s="4">
        <v>45726</v>
      </c>
      <c r="C191" s="5" t="s">
        <v>18</v>
      </c>
      <c r="D191" s="6">
        <v>22.8</v>
      </c>
      <c r="E191" s="6">
        <v>22.9</v>
      </c>
      <c r="F191" s="6">
        <v>22.7</v>
      </c>
      <c r="G191" s="6">
        <v>22.7</v>
      </c>
      <c r="H191" s="6">
        <v>22.8</v>
      </c>
      <c r="I191" s="6">
        <v>22.6</v>
      </c>
      <c r="J191" s="6">
        <v>171</v>
      </c>
      <c r="K191" s="6">
        <v>8.4670000000000005</v>
      </c>
      <c r="L191" s="7">
        <v>371491</v>
      </c>
    </row>
    <row r="192" spans="1:12" ht="28.5">
      <c r="A192" s="3">
        <v>190</v>
      </c>
      <c r="B192" s="4">
        <v>45725</v>
      </c>
      <c r="C192" s="5" t="s">
        <v>18</v>
      </c>
      <c r="D192" s="6">
        <v>22.6</v>
      </c>
      <c r="E192" s="6">
        <v>22.8</v>
      </c>
      <c r="F192" s="6">
        <v>22.6</v>
      </c>
      <c r="G192" s="6">
        <v>22.7</v>
      </c>
      <c r="H192" s="6">
        <v>22.6</v>
      </c>
      <c r="I192" s="6">
        <v>22.7</v>
      </c>
      <c r="J192" s="6">
        <v>191</v>
      </c>
      <c r="K192" s="6">
        <v>17.760000000000002</v>
      </c>
      <c r="L192" s="7">
        <v>784211</v>
      </c>
    </row>
    <row r="193" spans="1:12" ht="28.5">
      <c r="A193" s="3">
        <v>191</v>
      </c>
      <c r="B193" s="4">
        <v>45722</v>
      </c>
      <c r="C193" s="5" t="s">
        <v>18</v>
      </c>
      <c r="D193" s="6">
        <v>22.7</v>
      </c>
      <c r="E193" s="6">
        <v>22.9</v>
      </c>
      <c r="F193" s="6">
        <v>22.7</v>
      </c>
      <c r="G193" s="6">
        <v>22.8</v>
      </c>
      <c r="H193" s="6">
        <v>22.7</v>
      </c>
      <c r="I193" s="6">
        <v>22.7</v>
      </c>
      <c r="J193" s="6">
        <v>124</v>
      </c>
      <c r="K193" s="6">
        <v>11.288</v>
      </c>
      <c r="L193" s="7">
        <v>496504</v>
      </c>
    </row>
    <row r="194" spans="1:12" ht="28.5">
      <c r="A194" s="3">
        <v>192</v>
      </c>
      <c r="B194" s="4">
        <v>45721</v>
      </c>
      <c r="C194" s="5" t="s">
        <v>18</v>
      </c>
      <c r="D194" s="6">
        <v>22.7</v>
      </c>
      <c r="E194" s="6">
        <v>22.9</v>
      </c>
      <c r="F194" s="6">
        <v>22.7</v>
      </c>
      <c r="G194" s="6">
        <v>22.7</v>
      </c>
      <c r="H194" s="6">
        <v>22.7</v>
      </c>
      <c r="I194" s="6">
        <v>22.7</v>
      </c>
      <c r="J194" s="6">
        <v>211</v>
      </c>
      <c r="K194" s="6">
        <v>16.225999999999999</v>
      </c>
      <c r="L194" s="7">
        <v>713390</v>
      </c>
    </row>
    <row r="195" spans="1:12" ht="28.5">
      <c r="A195" s="3">
        <v>193</v>
      </c>
      <c r="B195" s="4">
        <v>45720</v>
      </c>
      <c r="C195" s="5" t="s">
        <v>18</v>
      </c>
      <c r="D195" s="6">
        <v>22.7</v>
      </c>
      <c r="E195" s="6">
        <v>22.8</v>
      </c>
      <c r="F195" s="6">
        <v>22.6</v>
      </c>
      <c r="G195" s="6">
        <v>22.7</v>
      </c>
      <c r="H195" s="6">
        <v>22.7</v>
      </c>
      <c r="I195" s="6">
        <v>22.6</v>
      </c>
      <c r="J195" s="6">
        <v>271</v>
      </c>
      <c r="K195" s="6">
        <v>16.725999999999999</v>
      </c>
      <c r="L195" s="7">
        <v>737185</v>
      </c>
    </row>
    <row r="196" spans="1:12" ht="28.5">
      <c r="A196" s="3">
        <v>194</v>
      </c>
      <c r="B196" s="4">
        <v>45719</v>
      </c>
      <c r="C196" s="5" t="s">
        <v>18</v>
      </c>
      <c r="D196" s="6">
        <v>22.6</v>
      </c>
      <c r="E196" s="6">
        <v>22.8</v>
      </c>
      <c r="F196" s="6">
        <v>22.5</v>
      </c>
      <c r="G196" s="6">
        <v>22.8</v>
      </c>
      <c r="H196" s="6">
        <v>22.6</v>
      </c>
      <c r="I196" s="6">
        <v>22.7</v>
      </c>
      <c r="J196" s="6">
        <v>346</v>
      </c>
      <c r="K196" s="6">
        <v>21.138999999999999</v>
      </c>
      <c r="L196" s="7">
        <v>932332</v>
      </c>
    </row>
    <row r="197" spans="1:12" ht="28.5">
      <c r="A197" s="3">
        <v>195</v>
      </c>
      <c r="B197" s="4">
        <v>45718</v>
      </c>
      <c r="C197" s="5" t="s">
        <v>18</v>
      </c>
      <c r="D197" s="6">
        <v>22.7</v>
      </c>
      <c r="E197" s="6">
        <v>23.1</v>
      </c>
      <c r="F197" s="6">
        <v>22.6</v>
      </c>
      <c r="G197" s="6">
        <v>22.9</v>
      </c>
      <c r="H197" s="6">
        <v>22.7</v>
      </c>
      <c r="I197" s="6">
        <v>22.9</v>
      </c>
      <c r="J197" s="6">
        <v>397</v>
      </c>
      <c r="K197" s="6">
        <v>19.225999999999999</v>
      </c>
      <c r="L197" s="7">
        <v>843496</v>
      </c>
    </row>
    <row r="198" spans="1:12" ht="28.5">
      <c r="A198" s="3">
        <v>196</v>
      </c>
      <c r="B198" s="4">
        <v>45715</v>
      </c>
      <c r="C198" s="5" t="s">
        <v>18</v>
      </c>
      <c r="D198" s="6">
        <v>22.9</v>
      </c>
      <c r="E198" s="6">
        <v>23.1</v>
      </c>
      <c r="F198" s="6">
        <v>22.9</v>
      </c>
      <c r="G198" s="6">
        <v>23</v>
      </c>
      <c r="H198" s="6">
        <v>22.9</v>
      </c>
      <c r="I198" s="6">
        <v>23</v>
      </c>
      <c r="J198" s="6">
        <v>376</v>
      </c>
      <c r="K198" s="6">
        <v>29.248000000000001</v>
      </c>
      <c r="L198" s="7">
        <v>1272653</v>
      </c>
    </row>
    <row r="199" spans="1:12" ht="28.5">
      <c r="A199" s="3">
        <v>197</v>
      </c>
      <c r="B199" s="4">
        <v>45714</v>
      </c>
      <c r="C199" s="5" t="s">
        <v>18</v>
      </c>
      <c r="D199" s="6">
        <v>23</v>
      </c>
      <c r="E199" s="6">
        <v>23.3</v>
      </c>
      <c r="F199" s="6">
        <v>23</v>
      </c>
      <c r="G199" s="6">
        <v>23.1</v>
      </c>
      <c r="H199" s="6">
        <v>23</v>
      </c>
      <c r="I199" s="6">
        <v>23.1</v>
      </c>
      <c r="J199" s="6">
        <v>242</v>
      </c>
      <c r="K199" s="6">
        <v>9.4250000000000007</v>
      </c>
      <c r="L199" s="7">
        <v>408272</v>
      </c>
    </row>
    <row r="200" spans="1:12" ht="28.5">
      <c r="A200" s="3">
        <v>198</v>
      </c>
      <c r="B200" s="4">
        <v>45713</v>
      </c>
      <c r="C200" s="5" t="s">
        <v>18</v>
      </c>
      <c r="D200" s="6">
        <v>23.1</v>
      </c>
      <c r="E200" s="6">
        <v>23.5</v>
      </c>
      <c r="F200" s="6">
        <v>22.8</v>
      </c>
      <c r="G200" s="6">
        <v>23</v>
      </c>
      <c r="H200" s="6">
        <v>23.1</v>
      </c>
      <c r="I200" s="6">
        <v>23</v>
      </c>
      <c r="J200" s="6">
        <v>643</v>
      </c>
      <c r="K200" s="6">
        <v>71.587999999999994</v>
      </c>
      <c r="L200" s="7">
        <v>3088170</v>
      </c>
    </row>
    <row r="201" spans="1:12" ht="28.5">
      <c r="A201" s="3">
        <v>199</v>
      </c>
      <c r="B201" s="4">
        <v>45712</v>
      </c>
      <c r="C201" s="5" t="s">
        <v>18</v>
      </c>
      <c r="D201" s="6">
        <v>23</v>
      </c>
      <c r="E201" s="6">
        <v>23.1</v>
      </c>
      <c r="F201" s="6">
        <v>22.9</v>
      </c>
      <c r="G201" s="6">
        <v>23</v>
      </c>
      <c r="H201" s="6">
        <v>23</v>
      </c>
      <c r="I201" s="6">
        <v>23</v>
      </c>
      <c r="J201" s="6">
        <v>362</v>
      </c>
      <c r="K201" s="6">
        <v>26.492000000000001</v>
      </c>
      <c r="L201" s="7">
        <v>1152498</v>
      </c>
    </row>
    <row r="202" spans="1:12" ht="28.5">
      <c r="A202" s="3">
        <v>200</v>
      </c>
      <c r="B202" s="4">
        <v>45711</v>
      </c>
      <c r="C202" s="5" t="s">
        <v>18</v>
      </c>
      <c r="D202" s="6">
        <v>23</v>
      </c>
      <c r="E202" s="6">
        <v>23.2</v>
      </c>
      <c r="F202" s="6">
        <v>22.9</v>
      </c>
      <c r="G202" s="6">
        <v>23.1</v>
      </c>
      <c r="H202" s="6">
        <v>23</v>
      </c>
      <c r="I202" s="6">
        <v>23.2</v>
      </c>
      <c r="J202" s="6">
        <v>430</v>
      </c>
      <c r="K202" s="6">
        <v>75.41</v>
      </c>
      <c r="L202" s="7">
        <v>3270774</v>
      </c>
    </row>
    <row r="203" spans="1:12" ht="28.5">
      <c r="A203" s="3">
        <v>201</v>
      </c>
      <c r="B203" s="4">
        <v>45708</v>
      </c>
      <c r="C203" s="5" t="s">
        <v>18</v>
      </c>
      <c r="D203" s="6">
        <v>23.2</v>
      </c>
      <c r="E203" s="6">
        <v>23.2</v>
      </c>
      <c r="F203" s="6">
        <v>23</v>
      </c>
      <c r="G203" s="6">
        <v>23.1</v>
      </c>
      <c r="H203" s="6">
        <v>23.2</v>
      </c>
      <c r="I203" s="6">
        <v>23.1</v>
      </c>
      <c r="J203" s="6">
        <v>327</v>
      </c>
      <c r="K203" s="6">
        <v>62.581000000000003</v>
      </c>
      <c r="L203" s="7">
        <v>2707569</v>
      </c>
    </row>
    <row r="204" spans="1:12" ht="28.5">
      <c r="A204" s="3">
        <v>202</v>
      </c>
      <c r="B204" s="4">
        <v>45707</v>
      </c>
      <c r="C204" s="5" t="s">
        <v>18</v>
      </c>
      <c r="D204" s="6">
        <v>23.1</v>
      </c>
      <c r="E204" s="6">
        <v>23.2</v>
      </c>
      <c r="F204" s="6">
        <v>23</v>
      </c>
      <c r="G204" s="6">
        <v>23.2</v>
      </c>
      <c r="H204" s="6">
        <v>23.1</v>
      </c>
      <c r="I204" s="6">
        <v>23.1</v>
      </c>
      <c r="J204" s="6">
        <v>330</v>
      </c>
      <c r="K204" s="6">
        <v>48.289000000000001</v>
      </c>
      <c r="L204" s="7">
        <v>2090386</v>
      </c>
    </row>
    <row r="205" spans="1:12" ht="28.5">
      <c r="A205" s="3">
        <v>203</v>
      </c>
      <c r="B205" s="4">
        <v>45706</v>
      </c>
      <c r="C205" s="5" t="s">
        <v>18</v>
      </c>
      <c r="D205" s="6">
        <v>23.1</v>
      </c>
      <c r="E205" s="6">
        <v>23.1</v>
      </c>
      <c r="F205" s="6">
        <v>22.8</v>
      </c>
      <c r="G205" s="6">
        <v>23</v>
      </c>
      <c r="H205" s="6">
        <v>23.1</v>
      </c>
      <c r="I205" s="6">
        <v>22.9</v>
      </c>
      <c r="J205" s="6">
        <v>519</v>
      </c>
      <c r="K205" s="6">
        <v>74.804000000000002</v>
      </c>
      <c r="L205" s="7">
        <v>3253803</v>
      </c>
    </row>
    <row r="206" spans="1:12" ht="28.5">
      <c r="A206" s="3">
        <v>204</v>
      </c>
      <c r="B206" s="4">
        <v>45705</v>
      </c>
      <c r="C206" s="5" t="s">
        <v>18</v>
      </c>
      <c r="D206" s="6">
        <v>22.9</v>
      </c>
      <c r="E206" s="6">
        <v>23</v>
      </c>
      <c r="F206" s="6">
        <v>22.8</v>
      </c>
      <c r="G206" s="6">
        <v>22.8</v>
      </c>
      <c r="H206" s="6">
        <v>22.9</v>
      </c>
      <c r="I206" s="6">
        <v>22.8</v>
      </c>
      <c r="J206" s="6">
        <v>287</v>
      </c>
      <c r="K206" s="6">
        <v>42.753999999999998</v>
      </c>
      <c r="L206" s="7">
        <v>1867178</v>
      </c>
    </row>
    <row r="207" spans="1:12" ht="28.5">
      <c r="A207" s="3">
        <v>205</v>
      </c>
      <c r="B207" s="4">
        <v>45704</v>
      </c>
      <c r="C207" s="5" t="s">
        <v>18</v>
      </c>
      <c r="D207" s="6">
        <v>22.8</v>
      </c>
      <c r="E207" s="6">
        <v>22.9</v>
      </c>
      <c r="F207" s="6">
        <v>22.7</v>
      </c>
      <c r="G207" s="6">
        <v>22.8</v>
      </c>
      <c r="H207" s="6">
        <v>22.8</v>
      </c>
      <c r="I207" s="6">
        <v>22.8</v>
      </c>
      <c r="J207" s="6">
        <v>337</v>
      </c>
      <c r="K207" s="6">
        <v>39.54</v>
      </c>
      <c r="L207" s="7">
        <v>1733805</v>
      </c>
    </row>
    <row r="208" spans="1:12" ht="28.5">
      <c r="A208" s="3">
        <v>206</v>
      </c>
      <c r="B208" s="4">
        <v>45701</v>
      </c>
      <c r="C208" s="5" t="s">
        <v>18</v>
      </c>
      <c r="D208" s="6">
        <v>22.8</v>
      </c>
      <c r="E208" s="6">
        <v>22.9</v>
      </c>
      <c r="F208" s="6">
        <v>22.7</v>
      </c>
      <c r="G208" s="6">
        <v>22.8</v>
      </c>
      <c r="H208" s="6">
        <v>22.8</v>
      </c>
      <c r="I208" s="6">
        <v>22.8</v>
      </c>
      <c r="J208" s="6">
        <v>178</v>
      </c>
      <c r="K208" s="6">
        <v>31.661999999999999</v>
      </c>
      <c r="L208" s="7">
        <v>1387782</v>
      </c>
    </row>
    <row r="209" spans="1:12" ht="28.5">
      <c r="A209" s="3">
        <v>207</v>
      </c>
      <c r="B209" s="4">
        <v>45700</v>
      </c>
      <c r="C209" s="5" t="s">
        <v>18</v>
      </c>
      <c r="D209" s="6">
        <v>22.8</v>
      </c>
      <c r="E209" s="6">
        <v>22.9</v>
      </c>
      <c r="F209" s="6">
        <v>22.7</v>
      </c>
      <c r="G209" s="6">
        <v>22.8</v>
      </c>
      <c r="H209" s="6">
        <v>22.8</v>
      </c>
      <c r="I209" s="6">
        <v>22.7</v>
      </c>
      <c r="J209" s="6">
        <v>299</v>
      </c>
      <c r="K209" s="6">
        <v>57.627000000000002</v>
      </c>
      <c r="L209" s="7">
        <v>2528543</v>
      </c>
    </row>
    <row r="210" spans="1:12" ht="28.5">
      <c r="A210" s="3">
        <v>208</v>
      </c>
      <c r="B210" s="4">
        <v>45699</v>
      </c>
      <c r="C210" s="5" t="s">
        <v>18</v>
      </c>
      <c r="D210" s="6">
        <v>22.7</v>
      </c>
      <c r="E210" s="6">
        <v>22.9</v>
      </c>
      <c r="F210" s="6">
        <v>22.6</v>
      </c>
      <c r="G210" s="6">
        <v>22.7</v>
      </c>
      <c r="H210" s="6">
        <v>22.7</v>
      </c>
      <c r="I210" s="6">
        <v>22.7</v>
      </c>
      <c r="J210" s="6">
        <v>395</v>
      </c>
      <c r="K210" s="6">
        <v>93.132999999999996</v>
      </c>
      <c r="L210" s="7">
        <v>4090945</v>
      </c>
    </row>
    <row r="211" spans="1:12" ht="28.5">
      <c r="A211" s="3">
        <v>209</v>
      </c>
      <c r="B211" s="4">
        <v>45698</v>
      </c>
      <c r="C211" s="5" t="s">
        <v>18</v>
      </c>
      <c r="D211" s="6">
        <v>22.7</v>
      </c>
      <c r="E211" s="6">
        <v>22.9</v>
      </c>
      <c r="F211" s="6">
        <v>22.7</v>
      </c>
      <c r="G211" s="6">
        <v>22.8</v>
      </c>
      <c r="H211" s="6">
        <v>22.7</v>
      </c>
      <c r="I211" s="6">
        <v>22.8</v>
      </c>
      <c r="J211" s="6">
        <v>336</v>
      </c>
      <c r="K211" s="6">
        <v>52.106000000000002</v>
      </c>
      <c r="L211" s="7">
        <v>2286477</v>
      </c>
    </row>
    <row r="212" spans="1:12" ht="28.5">
      <c r="A212" s="3">
        <v>210</v>
      </c>
      <c r="B212" s="4">
        <v>45697</v>
      </c>
      <c r="C212" s="5" t="s">
        <v>18</v>
      </c>
      <c r="D212" s="6">
        <v>22.8</v>
      </c>
      <c r="E212" s="6">
        <v>23</v>
      </c>
      <c r="F212" s="6">
        <v>22.7</v>
      </c>
      <c r="G212" s="6">
        <v>23</v>
      </c>
      <c r="H212" s="6">
        <v>22.8</v>
      </c>
      <c r="I212" s="6">
        <v>22.9</v>
      </c>
      <c r="J212" s="6">
        <v>324</v>
      </c>
      <c r="K212" s="6">
        <v>64.322000000000003</v>
      </c>
      <c r="L212" s="7">
        <v>2811691</v>
      </c>
    </row>
    <row r="213" spans="1:12" ht="28.5">
      <c r="A213" s="3">
        <v>211</v>
      </c>
      <c r="B213" s="4">
        <v>45694</v>
      </c>
      <c r="C213" s="5" t="s">
        <v>18</v>
      </c>
      <c r="D213" s="6">
        <v>22.9</v>
      </c>
      <c r="E213" s="6">
        <v>23.1</v>
      </c>
      <c r="F213" s="6">
        <v>22.8</v>
      </c>
      <c r="G213" s="6">
        <v>23</v>
      </c>
      <c r="H213" s="6">
        <v>22.9</v>
      </c>
      <c r="I213" s="6">
        <v>22.9</v>
      </c>
      <c r="J213" s="6">
        <v>357</v>
      </c>
      <c r="K213" s="6">
        <v>54.963999999999999</v>
      </c>
      <c r="L213" s="7">
        <v>2392564</v>
      </c>
    </row>
    <row r="214" spans="1:12" ht="28.5">
      <c r="A214" s="3">
        <v>212</v>
      </c>
      <c r="B214" s="4">
        <v>45693</v>
      </c>
      <c r="C214" s="5" t="s">
        <v>18</v>
      </c>
      <c r="D214" s="6">
        <v>22.9</v>
      </c>
      <c r="E214" s="6">
        <v>23</v>
      </c>
      <c r="F214" s="6">
        <v>22.8</v>
      </c>
      <c r="G214" s="6">
        <v>22.8</v>
      </c>
      <c r="H214" s="6">
        <v>22.9</v>
      </c>
      <c r="I214" s="6">
        <v>22.9</v>
      </c>
      <c r="J214" s="6">
        <v>439</v>
      </c>
      <c r="K214" s="6">
        <v>69.55</v>
      </c>
      <c r="L214" s="7">
        <v>3038990</v>
      </c>
    </row>
    <row r="215" spans="1:12" ht="28.5">
      <c r="A215" s="3">
        <v>213</v>
      </c>
      <c r="B215" s="4">
        <v>45692</v>
      </c>
      <c r="C215" s="5" t="s">
        <v>18</v>
      </c>
      <c r="D215" s="6">
        <v>22.9</v>
      </c>
      <c r="E215" s="6">
        <v>23</v>
      </c>
      <c r="F215" s="6">
        <v>22.8</v>
      </c>
      <c r="G215" s="6">
        <v>23</v>
      </c>
      <c r="H215" s="6">
        <v>22.9</v>
      </c>
      <c r="I215" s="6">
        <v>22.8</v>
      </c>
      <c r="J215" s="6">
        <v>470</v>
      </c>
      <c r="K215" s="6">
        <v>61.46</v>
      </c>
      <c r="L215" s="7">
        <v>2683972</v>
      </c>
    </row>
    <row r="216" spans="1:12" ht="28.5">
      <c r="A216" s="3">
        <v>214</v>
      </c>
      <c r="B216" s="4">
        <v>45691</v>
      </c>
      <c r="C216" s="5" t="s">
        <v>18</v>
      </c>
      <c r="D216" s="6">
        <v>23</v>
      </c>
      <c r="E216" s="6">
        <v>23.3</v>
      </c>
      <c r="F216" s="6">
        <v>22.7</v>
      </c>
      <c r="G216" s="6">
        <v>23.2</v>
      </c>
      <c r="H216" s="6">
        <v>22.8</v>
      </c>
      <c r="I216" s="6">
        <v>23.1</v>
      </c>
      <c r="J216" s="6">
        <v>847</v>
      </c>
      <c r="K216" s="6">
        <v>129.39599999999999</v>
      </c>
      <c r="L216" s="7">
        <v>5612080</v>
      </c>
    </row>
    <row r="217" spans="1:12" ht="28.5">
      <c r="A217" s="3">
        <v>215</v>
      </c>
      <c r="B217" s="4">
        <v>45690</v>
      </c>
      <c r="C217" s="5" t="s">
        <v>18</v>
      </c>
      <c r="D217" s="6">
        <v>23.1</v>
      </c>
      <c r="E217" s="6">
        <v>23.2</v>
      </c>
      <c r="F217" s="6">
        <v>22.8</v>
      </c>
      <c r="G217" s="6">
        <v>22.9</v>
      </c>
      <c r="H217" s="6">
        <v>23.1</v>
      </c>
      <c r="I217" s="6">
        <v>22.9</v>
      </c>
      <c r="J217" s="6">
        <v>736</v>
      </c>
      <c r="K217" s="6">
        <v>109.196</v>
      </c>
      <c r="L217" s="7">
        <v>4757464</v>
      </c>
    </row>
    <row r="218" spans="1:12" ht="28.5">
      <c r="A218" s="3">
        <v>216</v>
      </c>
      <c r="B218" s="4">
        <v>45687</v>
      </c>
      <c r="C218" s="5" t="s">
        <v>18</v>
      </c>
      <c r="D218" s="6">
        <v>22.9</v>
      </c>
      <c r="E218" s="6">
        <v>23.1</v>
      </c>
      <c r="F218" s="6">
        <v>22.8</v>
      </c>
      <c r="G218" s="6">
        <v>22.9</v>
      </c>
      <c r="H218" s="6">
        <v>22.9</v>
      </c>
      <c r="I218" s="6">
        <v>22.9</v>
      </c>
      <c r="J218" s="6">
        <v>450</v>
      </c>
      <c r="K218" s="6">
        <v>48.070999999999998</v>
      </c>
      <c r="L218" s="7">
        <v>2095815</v>
      </c>
    </row>
    <row r="219" spans="1:12" ht="28.5">
      <c r="A219" s="3">
        <v>217</v>
      </c>
      <c r="B219" s="4">
        <v>45686</v>
      </c>
      <c r="C219" s="5" t="s">
        <v>18</v>
      </c>
      <c r="D219" s="6">
        <v>22.9</v>
      </c>
      <c r="E219" s="6">
        <v>23</v>
      </c>
      <c r="F219" s="6">
        <v>22.7</v>
      </c>
      <c r="G219" s="6">
        <v>22.9</v>
      </c>
      <c r="H219" s="6">
        <v>22.9</v>
      </c>
      <c r="I219" s="6">
        <v>22.8</v>
      </c>
      <c r="J219" s="6">
        <v>407</v>
      </c>
      <c r="K219" s="6">
        <v>32.182000000000002</v>
      </c>
      <c r="L219" s="7">
        <v>1409749</v>
      </c>
    </row>
    <row r="220" spans="1:12" ht="28.5">
      <c r="A220" s="3">
        <v>218</v>
      </c>
      <c r="B220" s="4">
        <v>45685</v>
      </c>
      <c r="C220" s="5" t="s">
        <v>18</v>
      </c>
      <c r="D220" s="6">
        <v>22.9</v>
      </c>
      <c r="E220" s="6">
        <v>23</v>
      </c>
      <c r="F220" s="6">
        <v>22.6</v>
      </c>
      <c r="G220" s="6">
        <v>22.7</v>
      </c>
      <c r="H220" s="6">
        <v>22.8</v>
      </c>
      <c r="I220" s="6">
        <v>22.7</v>
      </c>
      <c r="J220" s="6">
        <v>270</v>
      </c>
      <c r="K220" s="6">
        <v>42.948</v>
      </c>
      <c r="L220" s="7">
        <v>1880836</v>
      </c>
    </row>
    <row r="221" spans="1:12" ht="28.5">
      <c r="A221" s="3">
        <v>219</v>
      </c>
      <c r="B221" s="4">
        <v>45684</v>
      </c>
      <c r="C221" s="5" t="s">
        <v>18</v>
      </c>
      <c r="D221" s="6">
        <v>22.7</v>
      </c>
      <c r="E221" s="6">
        <v>22.8</v>
      </c>
      <c r="F221" s="6">
        <v>22.6</v>
      </c>
      <c r="G221" s="6">
        <v>22.7</v>
      </c>
      <c r="H221" s="6">
        <v>22.7</v>
      </c>
      <c r="I221" s="6">
        <v>22.7</v>
      </c>
      <c r="J221" s="6">
        <v>242</v>
      </c>
      <c r="K221" s="6">
        <v>23.151</v>
      </c>
      <c r="L221" s="7">
        <v>1019990</v>
      </c>
    </row>
    <row r="222" spans="1:12" ht="28.5">
      <c r="A222" s="3">
        <v>220</v>
      </c>
      <c r="B222" s="4">
        <v>45683</v>
      </c>
      <c r="C222" s="5" t="s">
        <v>18</v>
      </c>
      <c r="D222" s="6">
        <v>22.7</v>
      </c>
      <c r="E222" s="6">
        <v>22.8</v>
      </c>
      <c r="F222" s="6">
        <v>22.5</v>
      </c>
      <c r="G222" s="6">
        <v>22.7</v>
      </c>
      <c r="H222" s="6">
        <v>22.7</v>
      </c>
      <c r="I222" s="6">
        <v>22.7</v>
      </c>
      <c r="J222" s="6">
        <v>257</v>
      </c>
      <c r="K222" s="6">
        <v>19.088999999999999</v>
      </c>
      <c r="L222" s="7">
        <v>841812</v>
      </c>
    </row>
    <row r="223" spans="1:12" ht="28.5">
      <c r="A223" s="3">
        <v>221</v>
      </c>
      <c r="B223" s="4">
        <v>45680</v>
      </c>
      <c r="C223" s="5" t="s">
        <v>18</v>
      </c>
      <c r="D223" s="6">
        <v>22.7</v>
      </c>
      <c r="E223" s="6">
        <v>22.8</v>
      </c>
      <c r="F223" s="6">
        <v>22.6</v>
      </c>
      <c r="G223" s="6">
        <v>22.6</v>
      </c>
      <c r="H223" s="6">
        <v>22.7</v>
      </c>
      <c r="I223" s="6">
        <v>22.6</v>
      </c>
      <c r="J223" s="6">
        <v>292</v>
      </c>
      <c r="K223" s="6">
        <v>24.719000000000001</v>
      </c>
      <c r="L223" s="7">
        <v>1090232</v>
      </c>
    </row>
    <row r="224" spans="1:12" ht="28.5">
      <c r="A224" s="3">
        <v>222</v>
      </c>
      <c r="B224" s="4">
        <v>45679</v>
      </c>
      <c r="C224" s="5" t="s">
        <v>18</v>
      </c>
      <c r="D224" s="6">
        <v>22.6</v>
      </c>
      <c r="E224" s="6">
        <v>22.7</v>
      </c>
      <c r="F224" s="6">
        <v>22.5</v>
      </c>
      <c r="G224" s="6">
        <v>22.6</v>
      </c>
      <c r="H224" s="6">
        <v>22.6</v>
      </c>
      <c r="I224" s="6">
        <v>22.6</v>
      </c>
      <c r="J224" s="6">
        <v>340</v>
      </c>
      <c r="K224" s="6">
        <v>16.61</v>
      </c>
      <c r="L224" s="7">
        <v>734691</v>
      </c>
    </row>
    <row r="225" spans="1:12" ht="28.5">
      <c r="A225" s="3">
        <v>223</v>
      </c>
      <c r="B225" s="4">
        <v>45678</v>
      </c>
      <c r="C225" s="5" t="s">
        <v>18</v>
      </c>
      <c r="D225" s="6">
        <v>22.6</v>
      </c>
      <c r="E225" s="6">
        <v>22.7</v>
      </c>
      <c r="F225" s="6">
        <v>22.5</v>
      </c>
      <c r="G225" s="6">
        <v>22.7</v>
      </c>
      <c r="H225" s="6">
        <v>22.6</v>
      </c>
      <c r="I225" s="6">
        <v>22.6</v>
      </c>
      <c r="J225" s="6">
        <v>626</v>
      </c>
      <c r="K225" s="6">
        <v>48.237000000000002</v>
      </c>
      <c r="L225" s="7">
        <v>2136019</v>
      </c>
    </row>
    <row r="226" spans="1:12" ht="28.5">
      <c r="A226" s="3">
        <v>224</v>
      </c>
      <c r="B226" s="4">
        <v>45677</v>
      </c>
      <c r="C226" s="5" t="s">
        <v>18</v>
      </c>
      <c r="D226" s="6">
        <v>22.6</v>
      </c>
      <c r="E226" s="6">
        <v>22.7</v>
      </c>
      <c r="F226" s="6">
        <v>22.5</v>
      </c>
      <c r="G226" s="6">
        <v>22.6</v>
      </c>
      <c r="H226" s="6">
        <v>22.6</v>
      </c>
      <c r="I226" s="6">
        <v>22.6</v>
      </c>
      <c r="J226" s="6">
        <v>251</v>
      </c>
      <c r="K226" s="6">
        <v>13.654</v>
      </c>
      <c r="L226" s="7">
        <v>604850</v>
      </c>
    </row>
    <row r="227" spans="1:12" ht="28.5">
      <c r="A227" s="3">
        <v>225</v>
      </c>
      <c r="B227" s="4">
        <v>45676</v>
      </c>
      <c r="C227" s="5" t="s">
        <v>18</v>
      </c>
      <c r="D227" s="6">
        <v>22.6</v>
      </c>
      <c r="E227" s="6">
        <v>22.7</v>
      </c>
      <c r="F227" s="6">
        <v>22.3</v>
      </c>
      <c r="G227" s="6">
        <v>22.4</v>
      </c>
      <c r="H227" s="6">
        <v>22.6</v>
      </c>
      <c r="I227" s="6">
        <v>22.4</v>
      </c>
      <c r="J227" s="6">
        <v>300</v>
      </c>
      <c r="K227" s="6">
        <v>20.94</v>
      </c>
      <c r="L227" s="7">
        <v>929902</v>
      </c>
    </row>
    <row r="228" spans="1:12" ht="28.5">
      <c r="A228" s="3">
        <v>226</v>
      </c>
      <c r="B228" s="4">
        <v>45673</v>
      </c>
      <c r="C228" s="5" t="s">
        <v>18</v>
      </c>
      <c r="D228" s="6">
        <v>22.4</v>
      </c>
      <c r="E228" s="6">
        <v>22.6</v>
      </c>
      <c r="F228" s="6">
        <v>22.3</v>
      </c>
      <c r="G228" s="6">
        <v>22.3</v>
      </c>
      <c r="H228" s="6">
        <v>22.4</v>
      </c>
      <c r="I228" s="6">
        <v>22.4</v>
      </c>
      <c r="J228" s="6">
        <v>259</v>
      </c>
      <c r="K228" s="6">
        <v>13.898999999999999</v>
      </c>
      <c r="L228" s="7">
        <v>620587</v>
      </c>
    </row>
    <row r="229" spans="1:12" ht="28.5">
      <c r="A229" s="3">
        <v>227</v>
      </c>
      <c r="B229" s="4">
        <v>45672</v>
      </c>
      <c r="C229" s="5" t="s">
        <v>18</v>
      </c>
      <c r="D229" s="6">
        <v>22.4</v>
      </c>
      <c r="E229" s="6">
        <v>22.5</v>
      </c>
      <c r="F229" s="6">
        <v>22.3</v>
      </c>
      <c r="G229" s="6">
        <v>22.5</v>
      </c>
      <c r="H229" s="6">
        <v>22.4</v>
      </c>
      <c r="I229" s="6">
        <v>22.5</v>
      </c>
      <c r="J229" s="6">
        <v>536</v>
      </c>
      <c r="K229" s="6">
        <v>21.001000000000001</v>
      </c>
      <c r="L229" s="7">
        <v>937815</v>
      </c>
    </row>
    <row r="230" spans="1:12" ht="28.5">
      <c r="A230" s="3">
        <v>228</v>
      </c>
      <c r="B230" s="4">
        <v>45671</v>
      </c>
      <c r="C230" s="5" t="s">
        <v>18</v>
      </c>
      <c r="D230" s="6">
        <v>22.5</v>
      </c>
      <c r="E230" s="6">
        <v>22.7</v>
      </c>
      <c r="F230" s="6">
        <v>22.4</v>
      </c>
      <c r="G230" s="6">
        <v>22.6</v>
      </c>
      <c r="H230" s="6">
        <v>22.5</v>
      </c>
      <c r="I230" s="6">
        <v>22.6</v>
      </c>
      <c r="J230" s="6">
        <v>326</v>
      </c>
      <c r="K230" s="6">
        <v>16.635999999999999</v>
      </c>
      <c r="L230" s="7">
        <v>736985</v>
      </c>
    </row>
    <row r="231" spans="1:12" ht="28.5">
      <c r="A231" s="3">
        <v>229</v>
      </c>
      <c r="B231" s="4">
        <v>45670</v>
      </c>
      <c r="C231" s="5" t="s">
        <v>18</v>
      </c>
      <c r="D231" s="6">
        <v>22.6</v>
      </c>
      <c r="E231" s="6">
        <v>22.7</v>
      </c>
      <c r="F231" s="6">
        <v>22.3</v>
      </c>
      <c r="G231" s="6">
        <v>22.4</v>
      </c>
      <c r="H231" s="6">
        <v>22.6</v>
      </c>
      <c r="I231" s="6">
        <v>22.4</v>
      </c>
      <c r="J231" s="6">
        <v>319</v>
      </c>
      <c r="K231" s="6">
        <v>21.236000000000001</v>
      </c>
      <c r="L231" s="7">
        <v>944154</v>
      </c>
    </row>
    <row r="232" spans="1:12" ht="28.5">
      <c r="A232" s="3">
        <v>230</v>
      </c>
      <c r="B232" s="4">
        <v>45669</v>
      </c>
      <c r="C232" s="5" t="s">
        <v>18</v>
      </c>
      <c r="D232" s="6">
        <v>22.4</v>
      </c>
      <c r="E232" s="6">
        <v>22.7</v>
      </c>
      <c r="F232" s="6">
        <v>22.3</v>
      </c>
      <c r="G232" s="6">
        <v>22.7</v>
      </c>
      <c r="H232" s="6">
        <v>22.4</v>
      </c>
      <c r="I232" s="6">
        <v>22.6</v>
      </c>
      <c r="J232" s="6">
        <v>420</v>
      </c>
      <c r="K232" s="6">
        <v>25.878</v>
      </c>
      <c r="L232" s="7">
        <v>1151190</v>
      </c>
    </row>
    <row r="233" spans="1:12" ht="28.5">
      <c r="A233" s="3">
        <v>231</v>
      </c>
      <c r="B233" s="4">
        <v>45666</v>
      </c>
      <c r="C233" s="5" t="s">
        <v>18</v>
      </c>
      <c r="D233" s="6">
        <v>22.6</v>
      </c>
      <c r="E233" s="6">
        <v>22.7</v>
      </c>
      <c r="F233" s="6">
        <v>22.5</v>
      </c>
      <c r="G233" s="6">
        <v>22.7</v>
      </c>
      <c r="H233" s="6">
        <v>22.6</v>
      </c>
      <c r="I233" s="6">
        <v>22.7</v>
      </c>
      <c r="J233" s="6">
        <v>322</v>
      </c>
      <c r="K233" s="6">
        <v>17.832000000000001</v>
      </c>
      <c r="L233" s="7">
        <v>789053</v>
      </c>
    </row>
    <row r="234" spans="1:12" ht="28.5">
      <c r="A234" s="3">
        <v>232</v>
      </c>
      <c r="B234" s="4">
        <v>45665</v>
      </c>
      <c r="C234" s="5" t="s">
        <v>18</v>
      </c>
      <c r="D234" s="6">
        <v>22.7</v>
      </c>
      <c r="E234" s="6">
        <v>22.8</v>
      </c>
      <c r="F234" s="6">
        <v>22.6</v>
      </c>
      <c r="G234" s="6">
        <v>22.8</v>
      </c>
      <c r="H234" s="6">
        <v>22.7</v>
      </c>
      <c r="I234" s="6">
        <v>22.7</v>
      </c>
      <c r="J234" s="6">
        <v>431</v>
      </c>
      <c r="K234" s="6">
        <v>24.718</v>
      </c>
      <c r="L234" s="7">
        <v>1089272</v>
      </c>
    </row>
    <row r="235" spans="1:12" ht="28.5">
      <c r="A235" s="3">
        <v>233</v>
      </c>
      <c r="B235" s="4">
        <v>45664</v>
      </c>
      <c r="C235" s="5" t="s">
        <v>18</v>
      </c>
      <c r="D235" s="6">
        <v>22.7</v>
      </c>
      <c r="E235" s="6">
        <v>23</v>
      </c>
      <c r="F235" s="6">
        <v>22.6</v>
      </c>
      <c r="G235" s="6">
        <v>22.8</v>
      </c>
      <c r="H235" s="6">
        <v>22.7</v>
      </c>
      <c r="I235" s="6">
        <v>22.8</v>
      </c>
      <c r="J235" s="6">
        <v>505</v>
      </c>
      <c r="K235" s="6">
        <v>39.93</v>
      </c>
      <c r="L235" s="7">
        <v>1752202</v>
      </c>
    </row>
    <row r="236" spans="1:12" ht="28.5">
      <c r="A236" s="3">
        <v>234</v>
      </c>
      <c r="B236" s="4">
        <v>45663</v>
      </c>
      <c r="C236" s="5" t="s">
        <v>18</v>
      </c>
      <c r="D236" s="6">
        <v>22.8</v>
      </c>
      <c r="E236" s="6">
        <v>22.9</v>
      </c>
      <c r="F236" s="6">
        <v>22.6</v>
      </c>
      <c r="G236" s="6">
        <v>22.8</v>
      </c>
      <c r="H236" s="6">
        <v>22.8</v>
      </c>
      <c r="I236" s="6">
        <v>22.8</v>
      </c>
      <c r="J236" s="6">
        <v>495</v>
      </c>
      <c r="K236" s="6">
        <v>51.15</v>
      </c>
      <c r="L236" s="7">
        <v>2249608</v>
      </c>
    </row>
    <row r="237" spans="1:12" ht="28.5">
      <c r="A237" s="3">
        <v>235</v>
      </c>
      <c r="B237" s="4">
        <v>45662</v>
      </c>
      <c r="C237" s="5" t="s">
        <v>18</v>
      </c>
      <c r="D237" s="6">
        <v>22.8</v>
      </c>
      <c r="E237" s="6">
        <v>23.4</v>
      </c>
      <c r="F237" s="6">
        <v>22.6</v>
      </c>
      <c r="G237" s="6">
        <v>23.1</v>
      </c>
      <c r="H237" s="6">
        <v>22.8</v>
      </c>
      <c r="I237" s="6">
        <v>23</v>
      </c>
      <c r="J237" s="6">
        <v>692</v>
      </c>
      <c r="K237" s="6">
        <v>48.981000000000002</v>
      </c>
      <c r="L237" s="7">
        <v>2140513</v>
      </c>
    </row>
    <row r="238" spans="1:12" ht="28.5">
      <c r="A238" s="3">
        <v>236</v>
      </c>
      <c r="B238" s="4">
        <v>45659</v>
      </c>
      <c r="C238" s="5" t="s">
        <v>18</v>
      </c>
      <c r="D238" s="6">
        <v>23</v>
      </c>
      <c r="E238" s="6">
        <v>23.1</v>
      </c>
      <c r="F238" s="6">
        <v>22.6</v>
      </c>
      <c r="G238" s="6">
        <v>22.9</v>
      </c>
      <c r="H238" s="6">
        <v>23</v>
      </c>
      <c r="I238" s="6">
        <v>22.7</v>
      </c>
      <c r="J238" s="6">
        <v>985</v>
      </c>
      <c r="K238" s="6">
        <v>109.364</v>
      </c>
      <c r="L238" s="7">
        <v>4786632</v>
      </c>
    </row>
    <row r="239" spans="1:12" ht="28.5">
      <c r="A239" s="3">
        <v>237</v>
      </c>
      <c r="B239" s="4">
        <v>45658</v>
      </c>
      <c r="C239" s="5" t="s">
        <v>18</v>
      </c>
      <c r="D239" s="6">
        <v>22.7</v>
      </c>
      <c r="E239" s="6">
        <v>23</v>
      </c>
      <c r="F239" s="6">
        <v>22.4</v>
      </c>
      <c r="G239" s="6">
        <v>22.4</v>
      </c>
      <c r="H239" s="6">
        <v>22.7</v>
      </c>
      <c r="I239" s="6">
        <v>22.4</v>
      </c>
      <c r="J239" s="6">
        <v>921</v>
      </c>
      <c r="K239" s="6">
        <v>96.379000000000005</v>
      </c>
      <c r="L239" s="7">
        <v>4253792</v>
      </c>
    </row>
    <row r="240" spans="1:12" ht="28.5">
      <c r="A240" s="3">
        <v>238</v>
      </c>
      <c r="B240" s="4">
        <v>45656</v>
      </c>
      <c r="C240" s="5" t="s">
        <v>18</v>
      </c>
      <c r="D240" s="6">
        <v>22.4</v>
      </c>
      <c r="E240" s="6">
        <v>22.5</v>
      </c>
      <c r="F240" s="6">
        <v>22</v>
      </c>
      <c r="G240" s="6">
        <v>22.1</v>
      </c>
      <c r="H240" s="6">
        <v>22.4</v>
      </c>
      <c r="I240" s="6">
        <v>22.1</v>
      </c>
      <c r="J240" s="6">
        <v>615</v>
      </c>
      <c r="K240" s="6">
        <v>92.513999999999996</v>
      </c>
      <c r="L240" s="7">
        <v>4156812</v>
      </c>
    </row>
    <row r="241" spans="1:12" ht="28.5">
      <c r="A241" s="3">
        <v>239</v>
      </c>
      <c r="B241" s="4">
        <v>45655</v>
      </c>
      <c r="C241" s="5" t="s">
        <v>18</v>
      </c>
      <c r="D241" s="6">
        <v>22.1</v>
      </c>
      <c r="E241" s="6">
        <v>22.3</v>
      </c>
      <c r="F241" s="6">
        <v>21.8</v>
      </c>
      <c r="G241" s="6">
        <v>21.9</v>
      </c>
      <c r="H241" s="6">
        <v>22.1</v>
      </c>
      <c r="I241" s="6">
        <v>21.8</v>
      </c>
      <c r="J241" s="6">
        <v>638</v>
      </c>
      <c r="K241" s="6">
        <v>78.043999999999997</v>
      </c>
      <c r="L241" s="7">
        <v>3537494</v>
      </c>
    </row>
  </sheetData>
  <hyperlinks>
    <hyperlink ref="C3" r:id="rId1" display="https://www.dsebd.org/displayCompany.php?name=CITYBANK" xr:uid="{479FAA6F-B29C-4478-AF1A-B73F4802077C}"/>
    <hyperlink ref="C4" r:id="rId2" display="https://www.dsebd.org/displayCompany.php?name=CITYBANK" xr:uid="{FCBA2226-0A91-44AD-957F-875ECCF64707}"/>
    <hyperlink ref="C5" r:id="rId3" display="https://www.dsebd.org/displayCompany.php?name=CITYBANK" xr:uid="{7025E05F-69A7-4095-A907-A04285C0AA6C}"/>
    <hyperlink ref="C6" r:id="rId4" display="https://www.dsebd.org/displayCompany.php?name=CITYBANK" xr:uid="{8D10A94F-3EEF-4CB3-91D9-63ACDAF4D720}"/>
    <hyperlink ref="C7" r:id="rId5" display="https://www.dsebd.org/displayCompany.php?name=CITYBANK" xr:uid="{0AB4B8B0-529A-43A7-812F-CD174A42D8C9}"/>
    <hyperlink ref="C8" r:id="rId6" display="https://www.dsebd.org/displayCompany.php?name=CITYBANK" xr:uid="{37257A3C-0196-48AA-808C-345A0C24BF13}"/>
    <hyperlink ref="C9" r:id="rId7" display="https://www.dsebd.org/displayCompany.php?name=CITYBANK" xr:uid="{C44A02AC-33D0-47F4-AD10-8E6AEEDEED17}"/>
    <hyperlink ref="C10" r:id="rId8" display="https://www.dsebd.org/displayCompany.php?name=CITYBANK" xr:uid="{70F2FE21-921C-4FAD-876E-90280A3C0C42}"/>
    <hyperlink ref="C11" r:id="rId9" display="https://www.dsebd.org/displayCompany.php?name=CITYBANK" xr:uid="{709E5F5C-595E-404E-BB42-5450B06492BF}"/>
    <hyperlink ref="C12" r:id="rId10" display="https://www.dsebd.org/displayCompany.php?name=CITYBANK" xr:uid="{3A9649C5-F02D-4BF7-9279-EC958F3509A5}"/>
    <hyperlink ref="C13" r:id="rId11" display="https://www.dsebd.org/displayCompany.php?name=CITYBANK" xr:uid="{10654B07-C116-4FF2-B95D-B60501B3C5C0}"/>
    <hyperlink ref="C14" r:id="rId12" display="https://www.dsebd.org/displayCompany.php?name=CITYBANK" xr:uid="{422F33FF-5A49-43AA-83C8-FC7FF47E8D7D}"/>
    <hyperlink ref="C15" r:id="rId13" display="https://www.dsebd.org/displayCompany.php?name=CITYBANK" xr:uid="{D7A70834-40A4-4E0B-BCF4-BB68EE5832AF}"/>
    <hyperlink ref="C16" r:id="rId14" display="https://www.dsebd.org/displayCompany.php?name=CITYBANK" xr:uid="{7FFF6212-E91D-488A-971B-C5594951AFF0}"/>
    <hyperlink ref="C17" r:id="rId15" display="https://www.dsebd.org/displayCompany.php?name=CITYBANK" xr:uid="{AE350B60-9849-463D-A14B-88910FAD8D90}"/>
    <hyperlink ref="C18" r:id="rId16" display="https://www.dsebd.org/displayCompany.php?name=CITYBANK" xr:uid="{8611AC3D-937B-4782-BE0D-317DE57B9436}"/>
    <hyperlink ref="C19" r:id="rId17" display="https://www.dsebd.org/displayCompany.php?name=CITYBANK" xr:uid="{5DE7EF49-4341-4713-812A-AEB87E3BB51C}"/>
    <hyperlink ref="C20" r:id="rId18" display="https://www.dsebd.org/displayCompany.php?name=CITYBANK" xr:uid="{B933BD04-A2E7-4361-B095-B1D3C37DF905}"/>
    <hyperlink ref="C21" r:id="rId19" display="https://www.dsebd.org/displayCompany.php?name=CITYBANK" xr:uid="{85A044E0-56DB-48F3-A2ED-7938F7345496}"/>
    <hyperlink ref="C22" r:id="rId20" display="https://www.dsebd.org/displayCompany.php?name=CITYBANK" xr:uid="{F326CFED-7340-4893-99C6-AD818FC5EC11}"/>
    <hyperlink ref="C23" r:id="rId21" display="https://www.dsebd.org/displayCompany.php?name=CITYBANK" xr:uid="{7E275B42-29AC-4656-A88E-0A2E69C331E4}"/>
    <hyperlink ref="C24" r:id="rId22" display="https://www.dsebd.org/displayCompany.php?name=CITYBANK" xr:uid="{766CD34C-EF0E-4401-8779-F06F4FF10E39}"/>
    <hyperlink ref="C25" r:id="rId23" display="https://www.dsebd.org/displayCompany.php?name=CITYBANK" xr:uid="{4DC1CC81-7CD1-4D6A-8A64-97C8A12AD15E}"/>
    <hyperlink ref="C26" r:id="rId24" display="https://www.dsebd.org/displayCompany.php?name=CITYBANK" xr:uid="{B439DA4E-2EAE-4438-834C-E2DEFAAED50C}"/>
    <hyperlink ref="C27" r:id="rId25" display="https://www.dsebd.org/displayCompany.php?name=CITYBANK" xr:uid="{FE14D110-84C5-48F0-A33E-C658FB968CCD}"/>
    <hyperlink ref="C28" r:id="rId26" display="https://www.dsebd.org/displayCompany.php?name=CITYBANK" xr:uid="{04D7EF42-99A9-4F7A-B72B-08B99AAEFD4E}"/>
    <hyperlink ref="C29" r:id="rId27" display="https://www.dsebd.org/displayCompany.php?name=CITYBANK" xr:uid="{83BFFC0B-AB82-4324-8873-388FD39E0237}"/>
    <hyperlink ref="C30" r:id="rId28" display="https://www.dsebd.org/displayCompany.php?name=CITYBANK" xr:uid="{FCA3A69C-23FE-4268-AD86-5BB3F8448DDE}"/>
    <hyperlink ref="C31" r:id="rId29" display="https://www.dsebd.org/displayCompany.php?name=CITYBANK" xr:uid="{DE38F422-27FF-41CB-B5B8-880A9C10DC7D}"/>
    <hyperlink ref="C32" r:id="rId30" display="https://www.dsebd.org/displayCompany.php?name=CITYBANK" xr:uid="{2BA0130E-6B81-4BE9-B85F-1DA406980107}"/>
    <hyperlink ref="C33" r:id="rId31" display="https://www.dsebd.org/displayCompany.php?name=CITYBANK" xr:uid="{A0ED10A0-E8C6-4E7A-9D46-A2DF2A7E22A7}"/>
    <hyperlink ref="C34" r:id="rId32" display="https://www.dsebd.org/displayCompany.php?name=CITYBANK" xr:uid="{C8AEB954-E99D-42B7-B72A-934DEB0A688E}"/>
    <hyperlink ref="C35" r:id="rId33" display="https://www.dsebd.org/displayCompany.php?name=CITYBANK" xr:uid="{D143478E-B170-4B86-B34E-353A3C0946FB}"/>
    <hyperlink ref="C36" r:id="rId34" display="https://www.dsebd.org/displayCompany.php?name=CITYBANK" xr:uid="{A7C0039B-0A8B-4E11-AF74-B4AEEB520032}"/>
    <hyperlink ref="C37" r:id="rId35" display="https://www.dsebd.org/displayCompany.php?name=CITYBANK" xr:uid="{4C1AA7B7-0CA9-485E-BB55-2FD7E3205103}"/>
    <hyperlink ref="C38" r:id="rId36" display="https://www.dsebd.org/displayCompany.php?name=CITYBANK" xr:uid="{37E6FE78-68ED-4B49-BA19-B230B13509F6}"/>
    <hyperlink ref="C39" r:id="rId37" display="https://www.dsebd.org/displayCompany.php?name=CITYBANK" xr:uid="{0FBBB863-063F-4853-B88E-EBE6213659AA}"/>
    <hyperlink ref="C40" r:id="rId38" display="https://www.dsebd.org/displayCompany.php?name=CITYBANK" xr:uid="{BEAC91B8-1A52-4C5C-991F-BC1ABF7600BE}"/>
    <hyperlink ref="C41" r:id="rId39" display="https://www.dsebd.org/displayCompany.php?name=CITYBANK" xr:uid="{1B1FFAB3-0D00-4C00-89A0-3EB1E50CFE93}"/>
    <hyperlink ref="C42" r:id="rId40" display="https://www.dsebd.org/displayCompany.php?name=CITYBANK" xr:uid="{A7BDF4FC-FA2F-473B-858A-326821CE6E8F}"/>
    <hyperlink ref="C43" r:id="rId41" display="https://www.dsebd.org/displayCompany.php?name=CITYBANK" xr:uid="{8773A98F-EE9D-4787-ABE6-753FC69C9E9C}"/>
    <hyperlink ref="C44" r:id="rId42" display="https://www.dsebd.org/displayCompany.php?name=CITYBANK" xr:uid="{A0A7ACB8-2215-416F-B152-183EA43A65CB}"/>
    <hyperlink ref="C45" r:id="rId43" display="https://www.dsebd.org/displayCompany.php?name=CITYBANK" xr:uid="{628D810C-BC86-4EB5-BDE3-2915F06A420D}"/>
    <hyperlink ref="C46" r:id="rId44" display="https://www.dsebd.org/displayCompany.php?name=CITYBANK" xr:uid="{4EABA1AC-8DA7-4A08-A138-FC54EAFDCFB2}"/>
    <hyperlink ref="C47" r:id="rId45" display="https://www.dsebd.org/displayCompany.php?name=CITYBANK" xr:uid="{AB48D4DF-B25B-4E05-9339-1B51EE27E8DE}"/>
    <hyperlink ref="C48" r:id="rId46" display="https://www.dsebd.org/displayCompany.php?name=CITYBANK" xr:uid="{29F57A11-CB1A-450E-A041-D6AEB3D61840}"/>
    <hyperlink ref="C49" r:id="rId47" display="https://www.dsebd.org/displayCompany.php?name=CITYBANK" xr:uid="{F56641B7-4EF1-41B9-818A-08F2C3D64E03}"/>
    <hyperlink ref="C50" r:id="rId48" display="https://www.dsebd.org/displayCompany.php?name=CITYBANK" xr:uid="{485FE7D1-6DA2-46B0-85EE-C520E0ED5A51}"/>
    <hyperlink ref="C51" r:id="rId49" display="https://www.dsebd.org/displayCompany.php?name=CITYBANK" xr:uid="{366D5235-3C8E-44A7-A4DE-722E55B64C77}"/>
    <hyperlink ref="C52" r:id="rId50" display="https://www.dsebd.org/displayCompany.php?name=CITYBANK" xr:uid="{B53ED22E-32A7-491D-AEC5-69A5F164369D}"/>
    <hyperlink ref="C53" r:id="rId51" display="https://www.dsebd.org/displayCompany.php?name=CITYBANK" xr:uid="{CF98D4D9-DDF0-4F98-BC3C-09626B8DD25F}"/>
    <hyperlink ref="C54" r:id="rId52" display="https://www.dsebd.org/displayCompany.php?name=CITYBANK" xr:uid="{F71AF4BC-0409-47C0-B366-0DF64930F565}"/>
    <hyperlink ref="C55" r:id="rId53" display="https://www.dsebd.org/displayCompany.php?name=CITYBANK" xr:uid="{8AA86FE0-5749-41B3-AA8F-838DFD721D7C}"/>
    <hyperlink ref="C56" r:id="rId54" display="https://www.dsebd.org/displayCompany.php?name=CITYBANK" xr:uid="{0BD6E0B7-B6BA-4BB9-8329-141AD85C955D}"/>
    <hyperlink ref="C57" r:id="rId55" display="https://www.dsebd.org/displayCompany.php?name=CITYBANK" xr:uid="{9FF9FEA4-976C-4D70-89C4-04420562900E}"/>
    <hyperlink ref="C58" r:id="rId56" display="https://www.dsebd.org/displayCompany.php?name=CITYBANK" xr:uid="{2647527E-2A8A-44BB-A5F5-02C8A2841FCD}"/>
    <hyperlink ref="C59" r:id="rId57" display="https://www.dsebd.org/displayCompany.php?name=CITYBANK" xr:uid="{461023DA-B9B2-45AD-A195-69AFA9341607}"/>
    <hyperlink ref="C60" r:id="rId58" display="https://www.dsebd.org/displayCompany.php?name=CITYBANK" xr:uid="{8CF7E35A-C8A3-4327-84E1-A21740FD6B24}"/>
    <hyperlink ref="C61" r:id="rId59" display="https://www.dsebd.org/displayCompany.php?name=CITYBANK" xr:uid="{BA441F92-A345-422B-97B5-A7B312A756D0}"/>
    <hyperlink ref="C62" r:id="rId60" display="https://www.dsebd.org/displayCompany.php?name=CITYBANK" xr:uid="{8839B010-82BC-4055-BF07-9A902CFAA867}"/>
    <hyperlink ref="C63" r:id="rId61" display="https://www.dsebd.org/displayCompany.php?name=CITYBANK" xr:uid="{BE7F60C9-2BAA-42FF-8CAD-8E8A36D87814}"/>
    <hyperlink ref="C64" r:id="rId62" display="https://www.dsebd.org/displayCompany.php?name=CITYBANK" xr:uid="{CFBAD145-DC94-4BFC-98A5-D54322C7912D}"/>
    <hyperlink ref="C65" r:id="rId63" display="https://www.dsebd.org/displayCompany.php?name=CITYBANK" xr:uid="{0BDF9798-46A7-4373-82F6-740C8AFC6C63}"/>
    <hyperlink ref="C66" r:id="rId64" display="https://www.dsebd.org/displayCompany.php?name=CITYBANK" xr:uid="{4FD598D9-7C4A-4E57-912E-C7AA4888A66B}"/>
    <hyperlink ref="C67" r:id="rId65" display="https://www.dsebd.org/displayCompany.php?name=CITYBANK" xr:uid="{230460D8-6107-4B4E-8A55-C120104A192B}"/>
    <hyperlink ref="C68" r:id="rId66" display="https://www.dsebd.org/displayCompany.php?name=CITYBANK" xr:uid="{51A6D933-665A-4C99-83CF-80C49FE14354}"/>
    <hyperlink ref="C69" r:id="rId67" display="https://www.dsebd.org/displayCompany.php?name=CITYBANK" xr:uid="{DD4A9CA7-B8A2-4ECE-A834-13922DB924E9}"/>
    <hyperlink ref="C70" r:id="rId68" display="https://www.dsebd.org/displayCompany.php?name=CITYBANK" xr:uid="{0A8A08EC-C681-48AE-980B-ED32815FCDE6}"/>
    <hyperlink ref="C71" r:id="rId69" display="https://www.dsebd.org/displayCompany.php?name=CITYBANK" xr:uid="{D753016C-2E39-461D-A4EE-8023D6D1EB51}"/>
    <hyperlink ref="C72" r:id="rId70" display="https://www.dsebd.org/displayCompany.php?name=CITYBANK" xr:uid="{E854FD07-3263-4C6B-BEDC-FDC67DFBE329}"/>
    <hyperlink ref="C73" r:id="rId71" display="https://www.dsebd.org/displayCompany.php?name=CITYBANK" xr:uid="{D1CA29F2-2215-4C27-8339-78860FA94D22}"/>
    <hyperlink ref="C74" r:id="rId72" display="https://www.dsebd.org/displayCompany.php?name=CITYBANK" xr:uid="{BB13CD48-74B9-4A1A-BB20-1C1213AAE8B9}"/>
    <hyperlink ref="C75" r:id="rId73" display="https://www.dsebd.org/displayCompany.php?name=CITYBANK" xr:uid="{2A2AC043-9E40-41C7-B566-48CE8E7AE9A0}"/>
    <hyperlink ref="C76" r:id="rId74" display="https://www.dsebd.org/displayCompany.php?name=CITYBANK" xr:uid="{EA193408-39DE-4979-B86A-8F6062120D80}"/>
    <hyperlink ref="C77" r:id="rId75" display="https://www.dsebd.org/displayCompany.php?name=CITYBANK" xr:uid="{97422717-B759-481A-A70D-EE70D51FF70A}"/>
    <hyperlink ref="C78" r:id="rId76" display="https://www.dsebd.org/displayCompany.php?name=CITYBANK" xr:uid="{4F9C2244-E49A-425C-A842-92389FE34112}"/>
    <hyperlink ref="C79" r:id="rId77" display="https://www.dsebd.org/displayCompany.php?name=CITYBANK" xr:uid="{0F03A6C8-BCB0-40C0-9BEB-24DE7334FAC3}"/>
    <hyperlink ref="C80" r:id="rId78" display="https://www.dsebd.org/displayCompany.php?name=CITYBANK" xr:uid="{75A5118B-022F-430D-9BB8-9CAF345B68B6}"/>
    <hyperlink ref="C81" r:id="rId79" display="https://www.dsebd.org/displayCompany.php?name=CITYBANK" xr:uid="{D650AE08-C36D-49AC-B7AB-61C0ED443658}"/>
    <hyperlink ref="C82" r:id="rId80" display="https://www.dsebd.org/displayCompany.php?name=CITYBANK" xr:uid="{2491BD5E-2AE5-4279-9B89-09E432E9EB10}"/>
    <hyperlink ref="C83" r:id="rId81" display="https://www.dsebd.org/displayCompany.php?name=CITYBANK" xr:uid="{C7352235-4359-4F33-B0B9-1CB6282BC579}"/>
    <hyperlink ref="C84" r:id="rId82" display="https://www.dsebd.org/displayCompany.php?name=CITYBANK" xr:uid="{C30DE3BF-7861-4BC7-A91D-7E597191423A}"/>
    <hyperlink ref="C85" r:id="rId83" display="https://www.dsebd.org/displayCompany.php?name=CITYBANK" xr:uid="{747546A6-4AEC-44E7-9622-85C5B5D46EFB}"/>
    <hyperlink ref="C86" r:id="rId84" display="https://www.dsebd.org/displayCompany.php?name=CITYBANK" xr:uid="{78A3BC85-5A77-49D9-8153-5987EF876F3B}"/>
    <hyperlink ref="C87" r:id="rId85" display="https://www.dsebd.org/displayCompany.php?name=CITYBANK" xr:uid="{F1462E5E-F95B-4DF8-AB10-FBBE19326275}"/>
    <hyperlink ref="C88" r:id="rId86" display="https://www.dsebd.org/displayCompany.php?name=CITYBANK" xr:uid="{FAD7261D-1464-407B-9C6C-94C884F9A419}"/>
    <hyperlink ref="C89" r:id="rId87" display="https://www.dsebd.org/displayCompany.php?name=CITYBANK" xr:uid="{AC460CD3-7B65-4C6D-90BB-5ADFE8A0ECD2}"/>
    <hyperlink ref="C90" r:id="rId88" display="https://www.dsebd.org/displayCompany.php?name=CITYBANK" xr:uid="{98356868-3EB2-4AD8-BA74-7D78B2CA5AE3}"/>
    <hyperlink ref="C91" r:id="rId89" display="https://www.dsebd.org/displayCompany.php?name=CITYBANK" xr:uid="{A10236CE-6D85-40D3-B9C3-C75DEF70999A}"/>
    <hyperlink ref="C92" r:id="rId90" display="https://www.dsebd.org/displayCompany.php?name=CITYBANK" xr:uid="{8CB1F9DF-A27D-4447-9AEC-99B90DCCB086}"/>
    <hyperlink ref="C93" r:id="rId91" display="https://www.dsebd.org/displayCompany.php?name=CITYBANK" xr:uid="{CCE4AAE0-64EC-4933-A2EB-35E1BE3817DE}"/>
    <hyperlink ref="C94" r:id="rId92" display="https://www.dsebd.org/displayCompany.php?name=CITYBANK" xr:uid="{C226B45B-CED3-4411-9A4F-4AEF0D46613C}"/>
    <hyperlink ref="C95" r:id="rId93" display="https://www.dsebd.org/displayCompany.php?name=CITYBANK" xr:uid="{B5D1A857-C927-4AFD-95A8-C41D16FD5B32}"/>
    <hyperlink ref="C96" r:id="rId94" display="https://www.dsebd.org/displayCompany.php?name=CITYBANK" xr:uid="{21EFB38D-5439-4A06-AC7F-932725C8152C}"/>
    <hyperlink ref="C97" r:id="rId95" display="https://www.dsebd.org/displayCompany.php?name=CITYBANK" xr:uid="{491EFF31-DC32-4601-97F9-A88589D52C91}"/>
    <hyperlink ref="C98" r:id="rId96" display="https://www.dsebd.org/displayCompany.php?name=CITYBANK" xr:uid="{7399008B-F31A-4FE3-87FD-47E32A862541}"/>
    <hyperlink ref="C99" r:id="rId97" display="https://www.dsebd.org/displayCompany.php?name=CITYBANK" xr:uid="{C75BE18E-FFC4-46FC-BF04-F006CD2718BF}"/>
    <hyperlink ref="C100" r:id="rId98" display="https://www.dsebd.org/displayCompany.php?name=CITYBANK" xr:uid="{716B0163-444D-4F3D-8C99-4D670ACF2E4D}"/>
    <hyperlink ref="C101" r:id="rId99" display="https://www.dsebd.org/displayCompany.php?name=CITYBANK" xr:uid="{4900CD8D-F3BF-4BE3-9C88-99ABC6C6A7BA}"/>
    <hyperlink ref="C102" r:id="rId100" display="https://www.dsebd.org/displayCompany.php?name=CITYBANK" xr:uid="{C0427338-CD0E-4F6B-B4DF-6A1FE1D8F451}"/>
    <hyperlink ref="C103" r:id="rId101" display="https://www.dsebd.org/displayCompany.php?name=CITYBANK" xr:uid="{59DBC4A8-75EB-46D1-BE69-5C291742C70B}"/>
    <hyperlink ref="C104" r:id="rId102" display="https://www.dsebd.org/displayCompany.php?name=CITYBANK" xr:uid="{48142098-C5AF-4679-9CF0-E4442E81BAA3}"/>
    <hyperlink ref="C105" r:id="rId103" display="https://www.dsebd.org/displayCompany.php?name=CITYBANK" xr:uid="{994C8663-6AA5-4050-9AF6-13D29B702EE7}"/>
    <hyperlink ref="C106" r:id="rId104" display="https://www.dsebd.org/displayCompany.php?name=CITYBANK" xr:uid="{4602A7A2-09E4-41C1-B29C-894B516ADE01}"/>
    <hyperlink ref="C107" r:id="rId105" display="https://www.dsebd.org/displayCompany.php?name=CITYBANK" xr:uid="{A5DFC8A0-A19E-4181-87FB-25BE7E3CA77C}"/>
    <hyperlink ref="C108" r:id="rId106" display="https://www.dsebd.org/displayCompany.php?name=CITYBANK" xr:uid="{2671F846-4F5A-436E-8A5E-FD7783A57FBC}"/>
    <hyperlink ref="C109" r:id="rId107" display="https://www.dsebd.org/displayCompany.php?name=CITYBANK" xr:uid="{90D13D24-1065-4297-AA7D-964B02FFBD0C}"/>
    <hyperlink ref="C110" r:id="rId108" display="https://www.dsebd.org/displayCompany.php?name=CITYBANK" xr:uid="{327A34E5-4327-4CFA-A38C-A78A7E2F7CF1}"/>
    <hyperlink ref="C111" r:id="rId109" display="https://www.dsebd.org/displayCompany.php?name=CITYBANK" xr:uid="{24F7776A-0360-43F6-8BFA-0FF41E17355C}"/>
    <hyperlink ref="C112" r:id="rId110" display="https://www.dsebd.org/displayCompany.php?name=CITYBANK" xr:uid="{02388E6B-8448-497D-B6A4-BC3F401F41A7}"/>
    <hyperlink ref="C113" r:id="rId111" display="https://www.dsebd.org/displayCompany.php?name=CITYBANK" xr:uid="{15E9161D-7DA4-4094-8985-5C45959F137C}"/>
    <hyperlink ref="C114" r:id="rId112" display="https://www.dsebd.org/displayCompany.php?name=CITYBANK" xr:uid="{29B53356-438A-406B-8EE9-7A7110749147}"/>
    <hyperlink ref="C115" r:id="rId113" display="https://www.dsebd.org/displayCompany.php?name=CITYBANK" xr:uid="{BBCB8133-1104-4D7C-8833-135188F00C40}"/>
    <hyperlink ref="C116" r:id="rId114" display="https://www.dsebd.org/displayCompany.php?name=CITYBANK" xr:uid="{7CBBA07B-957A-4C5C-8A29-71BE931CCD20}"/>
    <hyperlink ref="C117" r:id="rId115" display="https://www.dsebd.org/displayCompany.php?name=CITYBANK" xr:uid="{E73825EC-CBBB-4AEE-AC9E-F34768BC3E7A}"/>
    <hyperlink ref="C118" r:id="rId116" display="https://www.dsebd.org/displayCompany.php?name=CITYBANK" xr:uid="{C8660DE6-8DFB-4C78-ADD5-F17F529FBECC}"/>
    <hyperlink ref="C119" r:id="rId117" display="https://www.dsebd.org/displayCompany.php?name=CITYBANK" xr:uid="{BE9B3646-1023-40C8-842A-DC69F0A7105B}"/>
    <hyperlink ref="C120" r:id="rId118" display="https://www.dsebd.org/displayCompany.php?name=CITYBANK" xr:uid="{D16F4BD0-1005-4576-B4C5-A45AF3BE1762}"/>
    <hyperlink ref="C121" r:id="rId119" display="https://www.dsebd.org/displayCompany.php?name=CITYBANK" xr:uid="{1EECF537-7DE6-45ED-965B-EEEB733FF414}"/>
    <hyperlink ref="C122" r:id="rId120" display="https://www.dsebd.org/displayCompany.php?name=CITYBANK" xr:uid="{FE241D91-01DD-405B-A169-C5B7017009E6}"/>
    <hyperlink ref="C123" r:id="rId121" display="https://www.dsebd.org/displayCompany.php?name=CITYBANK" xr:uid="{680518C8-A1A9-45E2-A31E-6047E93BC123}"/>
    <hyperlink ref="C124" r:id="rId122" display="https://www.dsebd.org/displayCompany.php?name=CITYBANK" xr:uid="{1FEE206D-F06B-49F3-879D-DE736EF23721}"/>
    <hyperlink ref="C125" r:id="rId123" display="https://www.dsebd.org/displayCompany.php?name=CITYBANK" xr:uid="{5E933E2E-E742-4C48-A0CB-EF8D442A762C}"/>
    <hyperlink ref="C126" r:id="rId124" display="https://www.dsebd.org/displayCompany.php?name=CITYBANK" xr:uid="{F5FAF7DD-B2EC-4C9C-84E1-CD3161CDE474}"/>
    <hyperlink ref="C127" r:id="rId125" display="https://www.dsebd.org/displayCompany.php?name=CITYBANK" xr:uid="{0F665DDF-EB08-4266-A52F-920A0AFB08F6}"/>
    <hyperlink ref="C128" r:id="rId126" display="https://www.dsebd.org/displayCompany.php?name=CITYBANK" xr:uid="{AA87397D-2DED-4BE0-AD7C-798BDF3E6563}"/>
    <hyperlink ref="C129" r:id="rId127" display="https://www.dsebd.org/displayCompany.php?name=CITYBANK" xr:uid="{301B9627-A991-4C25-B18C-6572BD5BF4A2}"/>
    <hyperlink ref="C130" r:id="rId128" display="https://www.dsebd.org/displayCompany.php?name=CITYBANK" xr:uid="{939FAD8B-356E-4171-BD80-EEC49D4F69AB}"/>
    <hyperlink ref="C131" r:id="rId129" display="https://www.dsebd.org/displayCompany.php?name=CITYBANK" xr:uid="{B9BA6FC9-CC36-4958-B288-E40D59203632}"/>
    <hyperlink ref="C132" r:id="rId130" display="https://www.dsebd.org/displayCompany.php?name=CITYBANK" xr:uid="{E9DAD7D9-695B-406C-855D-4BA8BDD78D84}"/>
    <hyperlink ref="C133" r:id="rId131" display="https://www.dsebd.org/displayCompany.php?name=CITYBANK" xr:uid="{316D6908-55F5-4EE8-ABA2-E655DECB4334}"/>
    <hyperlink ref="C134" r:id="rId132" display="https://www.dsebd.org/displayCompany.php?name=CITYBANK" xr:uid="{9329726E-21BC-4DF6-9615-598A00F9042A}"/>
    <hyperlink ref="C135" r:id="rId133" display="https://www.dsebd.org/displayCompany.php?name=CITYBANK" xr:uid="{1F628B4C-DD46-40E3-A587-A3708AAD0D16}"/>
    <hyperlink ref="C136" r:id="rId134" display="https://www.dsebd.org/displayCompany.php?name=CITYBANK" xr:uid="{5712202A-5C67-4461-B7A8-14D1CB9C6370}"/>
    <hyperlink ref="C137" r:id="rId135" display="https://www.dsebd.org/displayCompany.php?name=CITYBANK" xr:uid="{A6D35E07-86F6-4125-A8C2-CA59ACFD2E43}"/>
    <hyperlink ref="C138" r:id="rId136" display="https://www.dsebd.org/displayCompany.php?name=CITYBANK" xr:uid="{0E657055-0323-4F98-82EE-1DD2FFEBE1DC}"/>
    <hyperlink ref="C139" r:id="rId137" display="https://www.dsebd.org/displayCompany.php?name=CITYBANK" xr:uid="{E92BEB0A-2544-4B05-88E4-F11023924542}"/>
    <hyperlink ref="C140" r:id="rId138" display="https://www.dsebd.org/displayCompany.php?name=CITYBANK" xr:uid="{589C947B-1BE8-4209-8BA2-10179E54999C}"/>
    <hyperlink ref="C141" r:id="rId139" display="https://www.dsebd.org/displayCompany.php?name=CITYBANK" xr:uid="{989B03B0-6F07-4277-8EAD-A791C5FCB535}"/>
    <hyperlink ref="C142" r:id="rId140" display="https://www.dsebd.org/displayCompany.php?name=CITYBANK" xr:uid="{30502F53-1191-46E1-9C1B-46EF616687F1}"/>
    <hyperlink ref="C143" r:id="rId141" display="https://www.dsebd.org/displayCompany.php?name=CITYBANK" xr:uid="{023A1C89-0638-4EF1-B884-70D230D38D15}"/>
    <hyperlink ref="C144" r:id="rId142" display="https://www.dsebd.org/displayCompany.php?name=CITYBANK" xr:uid="{EC21FC4E-FB76-46B9-BD81-61EF5F086BF3}"/>
    <hyperlink ref="C145" r:id="rId143" display="https://www.dsebd.org/displayCompany.php?name=CITYBANK" xr:uid="{E4F8A244-1B24-4762-A41E-1AA96F120A59}"/>
    <hyperlink ref="C146" r:id="rId144" display="https://www.dsebd.org/displayCompany.php?name=CITYBANK" xr:uid="{C6E444F2-5E17-47AB-A4A5-FBD848C3D706}"/>
    <hyperlink ref="C147" r:id="rId145" display="https://www.dsebd.org/displayCompany.php?name=CITYBANK" xr:uid="{325FBF44-8ED7-4F6A-AAE6-391625F6DF98}"/>
    <hyperlink ref="C148" r:id="rId146" display="https://www.dsebd.org/displayCompany.php?name=CITYBANK" xr:uid="{E84A30AC-10A7-4AFE-9A47-CD54EC5DD258}"/>
    <hyperlink ref="C149" r:id="rId147" display="https://www.dsebd.org/displayCompany.php?name=CITYBANK" xr:uid="{E1ED02A4-5887-4744-A79C-679363D12FDB}"/>
    <hyperlink ref="C150" r:id="rId148" display="https://www.dsebd.org/displayCompany.php?name=CITYBANK" xr:uid="{0747CDCB-5142-4A8A-A574-8D49743CCEC9}"/>
    <hyperlink ref="C151" r:id="rId149" display="https://www.dsebd.org/displayCompany.php?name=CITYBANK" xr:uid="{AF05BC9B-D308-44C7-AFB6-42494323CB34}"/>
    <hyperlink ref="C152" r:id="rId150" display="https://www.dsebd.org/displayCompany.php?name=CITYBANK" xr:uid="{F34FAE21-7EF4-4999-AE2B-28F205E9C413}"/>
    <hyperlink ref="C153" r:id="rId151" display="https://www.dsebd.org/displayCompany.php?name=CITYBANK" xr:uid="{79937695-F9A7-4586-8951-A0481F83D337}"/>
    <hyperlink ref="C154" r:id="rId152" display="https://www.dsebd.org/displayCompany.php?name=CITYBANK" xr:uid="{B8031E4B-7B65-44A4-9BC7-2E619D024E79}"/>
    <hyperlink ref="C155" r:id="rId153" display="https://www.dsebd.org/displayCompany.php?name=CITYBANK" xr:uid="{B385E2C7-2C46-459F-9732-19D0F743BF01}"/>
    <hyperlink ref="C156" r:id="rId154" display="https://www.dsebd.org/displayCompany.php?name=CITYBANK" xr:uid="{306DF249-21C9-4B61-9BB2-7786B1D1BD97}"/>
    <hyperlink ref="C157" r:id="rId155" display="https://www.dsebd.org/displayCompany.php?name=CITYBANK" xr:uid="{B4A35671-1553-43EA-82FA-AB82518B51B8}"/>
    <hyperlink ref="C158" r:id="rId156" display="https://www.dsebd.org/displayCompany.php?name=CITYBANK" xr:uid="{75BC45CC-115F-4E54-88E7-E0A066438D5E}"/>
    <hyperlink ref="C159" r:id="rId157" display="https://www.dsebd.org/displayCompany.php?name=CITYBANK" xr:uid="{C269B403-09E4-4FDD-94C0-502A97AA23DC}"/>
    <hyperlink ref="C160" r:id="rId158" display="https://www.dsebd.org/displayCompany.php?name=CITYBANK" xr:uid="{AC44EEBD-4A78-47B1-A4DC-8AF038E568CA}"/>
    <hyperlink ref="C161" r:id="rId159" display="https://www.dsebd.org/displayCompany.php?name=CITYBANK" xr:uid="{4EE2E3F9-8B29-4AF5-BBCE-22C1AD49A096}"/>
    <hyperlink ref="C162" r:id="rId160" display="https://www.dsebd.org/displayCompany.php?name=CITYBANK" xr:uid="{E291C809-F116-426B-9320-FCD617BEF206}"/>
    <hyperlink ref="C163" r:id="rId161" display="https://www.dsebd.org/displayCompany.php?name=CITYBANK" xr:uid="{D8F4CE0A-CAD5-47EA-A3D5-04403034D274}"/>
    <hyperlink ref="C164" r:id="rId162" display="https://www.dsebd.org/displayCompany.php?name=CITYBANK" xr:uid="{9DD22CA1-3569-4AA9-95D9-9A87CA20437B}"/>
    <hyperlink ref="C165" r:id="rId163" display="https://www.dsebd.org/displayCompany.php?name=CITYBANK" xr:uid="{1117C1CA-BDDD-4BFE-B1EC-3776ABF5C3B1}"/>
    <hyperlink ref="C166" r:id="rId164" display="https://www.dsebd.org/displayCompany.php?name=CITYBANK" xr:uid="{C7856EB4-5B2A-474B-8EA0-044B3B3BDD59}"/>
    <hyperlink ref="C167" r:id="rId165" display="https://www.dsebd.org/displayCompany.php?name=CITYBANK" xr:uid="{77B2754F-BD0B-4846-96CF-FBB92D7D2A2E}"/>
    <hyperlink ref="C168" r:id="rId166" display="https://www.dsebd.org/displayCompany.php?name=CITYBANK" xr:uid="{51042628-2351-4EAA-AD57-C46B53D4AA69}"/>
    <hyperlink ref="C169" r:id="rId167" display="https://www.dsebd.org/displayCompany.php?name=CITYBANK" xr:uid="{C21EBED9-2369-48C7-BD37-CA6147A57743}"/>
    <hyperlink ref="C170" r:id="rId168" display="https://www.dsebd.org/displayCompany.php?name=CITYBANK" xr:uid="{7AED6A26-0368-4C0D-8B56-0153185A8724}"/>
    <hyperlink ref="C171" r:id="rId169" display="https://www.dsebd.org/displayCompany.php?name=CITYBANK" xr:uid="{6BE4BE0D-427C-416A-8F07-0A3C3067AFAD}"/>
    <hyperlink ref="C172" r:id="rId170" display="https://www.dsebd.org/displayCompany.php?name=CITYBANK" xr:uid="{4A2A7681-C89F-4B3D-9241-C66E87B8269A}"/>
    <hyperlink ref="C173" r:id="rId171" display="https://www.dsebd.org/displayCompany.php?name=CITYBANK" xr:uid="{9F1BEEA4-CAF2-4DF1-AEF5-DF4B3273FAC6}"/>
    <hyperlink ref="C174" r:id="rId172" display="https://www.dsebd.org/displayCompany.php?name=CITYBANK" xr:uid="{24535066-DAC8-4233-837D-C42BA06A9CA6}"/>
    <hyperlink ref="C175" r:id="rId173" display="https://www.dsebd.org/displayCompany.php?name=CITYBANK" xr:uid="{61C749D5-FB8E-4A7E-8673-31AC9ECA8C1D}"/>
    <hyperlink ref="C176" r:id="rId174" display="https://www.dsebd.org/displayCompany.php?name=CITYBANK" xr:uid="{C56200CA-9FBD-4AC0-9450-EE7F041FF349}"/>
    <hyperlink ref="C177" r:id="rId175" display="https://www.dsebd.org/displayCompany.php?name=CITYBANK" xr:uid="{4415A218-EBF5-401F-A564-723A38A52C9B}"/>
    <hyperlink ref="C178" r:id="rId176" display="https://www.dsebd.org/displayCompany.php?name=CITYBANK" xr:uid="{E49BB7E3-85DD-4E55-9377-60DEA639B54D}"/>
    <hyperlink ref="C179" r:id="rId177" display="https://www.dsebd.org/displayCompany.php?name=CITYBANK" xr:uid="{ADEA40BA-E539-480A-AA6A-9CDBC647AD58}"/>
    <hyperlink ref="C180" r:id="rId178" display="https://www.dsebd.org/displayCompany.php?name=CITYBANK" xr:uid="{936AC192-B8E7-4AEA-8431-F055BE9BA3E5}"/>
    <hyperlink ref="C181" r:id="rId179" display="https://www.dsebd.org/displayCompany.php?name=CITYBANK" xr:uid="{57EA341F-F198-42A9-86A3-7FDCEB15E666}"/>
    <hyperlink ref="C182" r:id="rId180" display="https://www.dsebd.org/displayCompany.php?name=CITYBANK" xr:uid="{199F7F1A-9B8A-49C1-85A0-7C64FC46FAE7}"/>
    <hyperlink ref="C183" r:id="rId181" display="https://www.dsebd.org/displayCompany.php?name=CITYBANK" xr:uid="{C5FA7479-989D-4427-ACAA-0030619055F1}"/>
    <hyperlink ref="C184" r:id="rId182" display="https://www.dsebd.org/displayCompany.php?name=CITYBANK" xr:uid="{C83B5E11-6458-48C1-88FE-620CA5DDDC2A}"/>
    <hyperlink ref="C185" r:id="rId183" display="https://www.dsebd.org/displayCompany.php?name=CITYBANK" xr:uid="{875DE3EE-7F85-49CA-AF29-EE5002ABC38F}"/>
    <hyperlink ref="C186" r:id="rId184" display="https://www.dsebd.org/displayCompany.php?name=CITYBANK" xr:uid="{8B2A9D97-E887-4A03-88B5-CB700FD0AD52}"/>
    <hyperlink ref="C187" r:id="rId185" display="https://www.dsebd.org/displayCompany.php?name=CITYBANK" xr:uid="{99FD5C10-69FB-4725-A714-EA40C6E9F83F}"/>
    <hyperlink ref="C188" r:id="rId186" display="https://www.dsebd.org/displayCompany.php?name=CITYBANK" xr:uid="{C04F9B7D-AE6E-4965-A3DC-EDF487A4140F}"/>
    <hyperlink ref="C189" r:id="rId187" display="https://www.dsebd.org/displayCompany.php?name=CITYBANK" xr:uid="{73583812-1AFF-4FD0-9D35-0A635B236FB3}"/>
    <hyperlink ref="C190" r:id="rId188" display="https://www.dsebd.org/displayCompany.php?name=CITYBANK" xr:uid="{337C33B6-5266-4330-8597-D2524451BEA8}"/>
    <hyperlink ref="C191" r:id="rId189" display="https://www.dsebd.org/displayCompany.php?name=CITYBANK" xr:uid="{F88C2E87-8D45-4EDF-9084-5694BD96276F}"/>
    <hyperlink ref="C192" r:id="rId190" display="https://www.dsebd.org/displayCompany.php?name=CITYBANK" xr:uid="{7AD649CC-6185-4DAA-ABF2-CFEDB01C45DA}"/>
    <hyperlink ref="C193" r:id="rId191" display="https://www.dsebd.org/displayCompany.php?name=CITYBANK" xr:uid="{F2550201-D7E6-41A7-A552-3CCDE79D54DE}"/>
    <hyperlink ref="C194" r:id="rId192" display="https://www.dsebd.org/displayCompany.php?name=CITYBANK" xr:uid="{D62EF66A-D35B-477E-A130-EF2138F4350F}"/>
    <hyperlink ref="C195" r:id="rId193" display="https://www.dsebd.org/displayCompany.php?name=CITYBANK" xr:uid="{2F9DA882-0676-4DB6-B166-1C85BC4672AA}"/>
    <hyperlink ref="C196" r:id="rId194" display="https://www.dsebd.org/displayCompany.php?name=CITYBANK" xr:uid="{6A87E3E5-DF8A-488A-B276-677377DD3EAA}"/>
    <hyperlink ref="C197" r:id="rId195" display="https://www.dsebd.org/displayCompany.php?name=CITYBANK" xr:uid="{71E0B66D-4CD0-4D0F-B3F6-8CB9F9E95727}"/>
    <hyperlink ref="C198" r:id="rId196" display="https://www.dsebd.org/displayCompany.php?name=CITYBANK" xr:uid="{B8886F56-8F3B-443F-A178-97AD4B476844}"/>
    <hyperlink ref="C199" r:id="rId197" display="https://www.dsebd.org/displayCompany.php?name=CITYBANK" xr:uid="{A1A985EA-336C-414B-B3B5-431FBF1653E9}"/>
    <hyperlink ref="C200" r:id="rId198" display="https://www.dsebd.org/displayCompany.php?name=CITYBANK" xr:uid="{69411736-BA61-41C7-9520-1356D5A83F98}"/>
    <hyperlink ref="C201" r:id="rId199" display="https://www.dsebd.org/displayCompany.php?name=CITYBANK" xr:uid="{CB73F9BE-CB88-4EF8-B4D9-B8EE0933225F}"/>
    <hyperlink ref="C202" r:id="rId200" display="https://www.dsebd.org/displayCompany.php?name=CITYBANK" xr:uid="{3671E698-8A42-4138-B10A-27888736CCEE}"/>
    <hyperlink ref="C203" r:id="rId201" display="https://www.dsebd.org/displayCompany.php?name=CITYBANK" xr:uid="{90F5DE5C-CFE2-4188-AF48-C880809DC462}"/>
    <hyperlink ref="C204" r:id="rId202" display="https://www.dsebd.org/displayCompany.php?name=CITYBANK" xr:uid="{BE962C32-34A4-4659-BFFD-47E44A500778}"/>
    <hyperlink ref="C205" r:id="rId203" display="https://www.dsebd.org/displayCompany.php?name=CITYBANK" xr:uid="{50DD63CC-F445-4362-B4B8-9B1C6454A1B7}"/>
    <hyperlink ref="C206" r:id="rId204" display="https://www.dsebd.org/displayCompany.php?name=CITYBANK" xr:uid="{D2222F57-9EBA-42EA-876B-5D0935B0151B}"/>
    <hyperlink ref="C207" r:id="rId205" display="https://www.dsebd.org/displayCompany.php?name=CITYBANK" xr:uid="{9FC2E6A3-0712-4F3B-9BB7-EFA73294D5CA}"/>
    <hyperlink ref="C208" r:id="rId206" display="https://www.dsebd.org/displayCompany.php?name=CITYBANK" xr:uid="{780EDB32-05A6-4097-8923-E6B4616921E7}"/>
    <hyperlink ref="C209" r:id="rId207" display="https://www.dsebd.org/displayCompany.php?name=CITYBANK" xr:uid="{BF7B9D6B-C8A1-4CA5-855F-7E7F22DCEC02}"/>
    <hyperlink ref="C210" r:id="rId208" display="https://www.dsebd.org/displayCompany.php?name=CITYBANK" xr:uid="{B443AAF2-2F4D-4322-8DE8-B56332BF585A}"/>
    <hyperlink ref="C211" r:id="rId209" display="https://www.dsebd.org/displayCompany.php?name=CITYBANK" xr:uid="{BF0FDDA9-5850-4011-B73F-BDF6D0789F14}"/>
    <hyperlink ref="C212" r:id="rId210" display="https://www.dsebd.org/displayCompany.php?name=CITYBANK" xr:uid="{ACB4939E-ECAD-49C0-A7B7-495E7C38128D}"/>
    <hyperlink ref="C213" r:id="rId211" display="https://www.dsebd.org/displayCompany.php?name=CITYBANK" xr:uid="{E15F686B-89ED-4079-B741-65FE19B25755}"/>
    <hyperlink ref="C214" r:id="rId212" display="https://www.dsebd.org/displayCompany.php?name=CITYBANK" xr:uid="{19A16DE0-7F0E-49B1-9068-482D30D2ABA8}"/>
    <hyperlink ref="C215" r:id="rId213" display="https://www.dsebd.org/displayCompany.php?name=CITYBANK" xr:uid="{41FA7CC7-B2B1-4728-B050-9F69E1450222}"/>
    <hyperlink ref="C216" r:id="rId214" display="https://www.dsebd.org/displayCompany.php?name=CITYBANK" xr:uid="{621E528F-83C4-4E70-B315-D5DCB903FCBD}"/>
    <hyperlink ref="C217" r:id="rId215" display="https://www.dsebd.org/displayCompany.php?name=CITYBANK" xr:uid="{D86FA78E-6627-4A7F-8ADC-DCA77C8EAE11}"/>
    <hyperlink ref="C218" r:id="rId216" display="https://www.dsebd.org/displayCompany.php?name=CITYBANK" xr:uid="{952CAD5C-BFEE-4589-9080-A73DBC9B90CE}"/>
    <hyperlink ref="C219" r:id="rId217" display="https://www.dsebd.org/displayCompany.php?name=CITYBANK" xr:uid="{8868F822-2C84-4467-82E6-287B9D15776B}"/>
    <hyperlink ref="C220" r:id="rId218" display="https://www.dsebd.org/displayCompany.php?name=CITYBANK" xr:uid="{A0225B5D-68DF-4F5F-8413-1130C649AEAF}"/>
    <hyperlink ref="C221" r:id="rId219" display="https://www.dsebd.org/displayCompany.php?name=CITYBANK" xr:uid="{4999907F-BA93-46FC-9FD7-FCDC554D44BA}"/>
    <hyperlink ref="C222" r:id="rId220" display="https://www.dsebd.org/displayCompany.php?name=CITYBANK" xr:uid="{B9B246D7-0DE7-4B68-B1F0-897F317B771D}"/>
    <hyperlink ref="C223" r:id="rId221" display="https://www.dsebd.org/displayCompany.php?name=CITYBANK" xr:uid="{2F7ECBBE-41AE-4E51-98F4-651A4AA557F9}"/>
    <hyperlink ref="C224" r:id="rId222" display="https://www.dsebd.org/displayCompany.php?name=CITYBANK" xr:uid="{5D625B0C-0117-49B8-AF04-1F34572DA612}"/>
    <hyperlink ref="C225" r:id="rId223" display="https://www.dsebd.org/displayCompany.php?name=CITYBANK" xr:uid="{52F74051-9666-42CA-AD13-AD7DE9D5601A}"/>
    <hyperlink ref="C226" r:id="rId224" display="https://www.dsebd.org/displayCompany.php?name=CITYBANK" xr:uid="{9010F854-8D29-49EA-AD40-9178D503E31B}"/>
    <hyperlink ref="C227" r:id="rId225" display="https://www.dsebd.org/displayCompany.php?name=CITYBANK" xr:uid="{F3E17BD5-D227-4EBE-94C1-99CA6F596976}"/>
    <hyperlink ref="C228" r:id="rId226" display="https://www.dsebd.org/displayCompany.php?name=CITYBANK" xr:uid="{3A09912F-E851-4124-8DF2-4433FF77D173}"/>
    <hyperlink ref="C229" r:id="rId227" display="https://www.dsebd.org/displayCompany.php?name=CITYBANK" xr:uid="{ED2FE3D4-CA30-4E1A-BB64-C4380290B794}"/>
    <hyperlink ref="C230" r:id="rId228" display="https://www.dsebd.org/displayCompany.php?name=CITYBANK" xr:uid="{5E07083B-BEAA-4C6F-8B58-2724E77CF44F}"/>
    <hyperlink ref="C231" r:id="rId229" display="https://www.dsebd.org/displayCompany.php?name=CITYBANK" xr:uid="{355964DC-BBB7-476D-B365-B62F5F4994A5}"/>
    <hyperlink ref="C232" r:id="rId230" display="https://www.dsebd.org/displayCompany.php?name=CITYBANK" xr:uid="{64133E54-5402-4DCB-924F-0BB03207AF62}"/>
    <hyperlink ref="C233" r:id="rId231" display="https://www.dsebd.org/displayCompany.php?name=CITYBANK" xr:uid="{C4B6817F-18A1-4965-BEE5-83CD83D703A2}"/>
    <hyperlink ref="C234" r:id="rId232" display="https://www.dsebd.org/displayCompany.php?name=CITYBANK" xr:uid="{7E322246-1E53-4DEC-A775-6BA84E337753}"/>
    <hyperlink ref="C235" r:id="rId233" display="https://www.dsebd.org/displayCompany.php?name=CITYBANK" xr:uid="{2BF1E323-521B-4B05-BB91-18C2EB801EEC}"/>
    <hyperlink ref="C236" r:id="rId234" display="https://www.dsebd.org/displayCompany.php?name=CITYBANK" xr:uid="{7354C5EA-7F0B-4F8C-811D-2BB77C4F15E2}"/>
    <hyperlink ref="C237" r:id="rId235" display="https://www.dsebd.org/displayCompany.php?name=CITYBANK" xr:uid="{BCAB684E-037F-47EA-90DD-020281D35D20}"/>
    <hyperlink ref="C238" r:id="rId236" display="https://www.dsebd.org/displayCompany.php?name=CITYBANK" xr:uid="{15146A84-D405-4954-A71C-0A2F2E89FE8C}"/>
    <hyperlink ref="C239" r:id="rId237" display="https://www.dsebd.org/displayCompany.php?name=CITYBANK" xr:uid="{67B4F621-41C9-4B8D-B2FF-94F6ED3023B9}"/>
    <hyperlink ref="C240" r:id="rId238" display="https://www.dsebd.org/displayCompany.php?name=CITYBANK" xr:uid="{BF53E4A3-72AD-4194-A8AD-F38D176C8B3F}"/>
    <hyperlink ref="C241" r:id="rId239" display="https://www.dsebd.org/displayCompany.php?name=CITYBANK" xr:uid="{E7522CF7-7658-4EC7-B5E1-D298E74C8D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71F8-09B9-4A63-BDD4-B75204867F80}">
  <dimension ref="A1:L241"/>
  <sheetViews>
    <sheetView topLeftCell="A217" workbookViewId="0">
      <selection activeCell="D3" sqref="D3:D241"/>
    </sheetView>
  </sheetViews>
  <sheetFormatPr defaultRowHeight="14.25"/>
  <sheetData>
    <row r="1" spans="1:12" ht="30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>
        <v>1</v>
      </c>
      <c r="B3" s="4">
        <v>46015</v>
      </c>
      <c r="C3" s="5" t="s">
        <v>19</v>
      </c>
      <c r="D3" s="6">
        <v>249.5</v>
      </c>
      <c r="E3" s="6">
        <v>252</v>
      </c>
      <c r="F3" s="6">
        <v>248</v>
      </c>
      <c r="G3" s="6">
        <v>250.9</v>
      </c>
      <c r="H3" s="6">
        <v>249.5</v>
      </c>
      <c r="I3" s="6">
        <v>249.6</v>
      </c>
      <c r="J3" s="6">
        <v>908</v>
      </c>
      <c r="K3" s="6">
        <v>17.902000000000001</v>
      </c>
      <c r="L3" s="7">
        <v>71495</v>
      </c>
    </row>
    <row r="4" spans="1:12">
      <c r="A4" s="3">
        <v>2</v>
      </c>
      <c r="B4" s="4">
        <v>46014</v>
      </c>
      <c r="C4" s="5" t="s">
        <v>19</v>
      </c>
      <c r="D4" s="6">
        <v>249.6</v>
      </c>
      <c r="E4" s="6">
        <v>252.4</v>
      </c>
      <c r="F4" s="6">
        <v>249.1</v>
      </c>
      <c r="G4" s="6">
        <v>251</v>
      </c>
      <c r="H4" s="6">
        <v>249.6</v>
      </c>
      <c r="I4" s="6">
        <v>249.5</v>
      </c>
      <c r="J4" s="6">
        <v>762</v>
      </c>
      <c r="K4" s="6">
        <v>14.349</v>
      </c>
      <c r="L4" s="7">
        <v>57253</v>
      </c>
    </row>
    <row r="5" spans="1:12">
      <c r="A5" s="3">
        <v>3</v>
      </c>
      <c r="B5" s="4">
        <v>46013</v>
      </c>
      <c r="C5" s="5" t="s">
        <v>19</v>
      </c>
      <c r="D5" s="6">
        <v>249.5</v>
      </c>
      <c r="E5" s="6">
        <v>255</v>
      </c>
      <c r="F5" s="6">
        <v>246</v>
      </c>
      <c r="G5" s="6">
        <v>255</v>
      </c>
      <c r="H5" s="6">
        <v>249.5</v>
      </c>
      <c r="I5" s="6">
        <v>244.8</v>
      </c>
      <c r="J5" s="6">
        <v>648</v>
      </c>
      <c r="K5" s="6">
        <v>9.6449999999999996</v>
      </c>
      <c r="L5" s="7">
        <v>38793</v>
      </c>
    </row>
    <row r="6" spans="1:12">
      <c r="A6" s="3">
        <v>4</v>
      </c>
      <c r="B6" s="4">
        <v>46012</v>
      </c>
      <c r="C6" s="5" t="s">
        <v>19</v>
      </c>
      <c r="D6" s="6">
        <v>244.8</v>
      </c>
      <c r="E6" s="6">
        <v>247.9</v>
      </c>
      <c r="F6" s="6">
        <v>242.8</v>
      </c>
      <c r="G6" s="6">
        <v>247.9</v>
      </c>
      <c r="H6" s="6">
        <v>244.8</v>
      </c>
      <c r="I6" s="6">
        <v>247</v>
      </c>
      <c r="J6" s="6">
        <v>590</v>
      </c>
      <c r="K6" s="6">
        <v>8.98</v>
      </c>
      <c r="L6" s="7">
        <v>36759</v>
      </c>
    </row>
    <row r="7" spans="1:12">
      <c r="A7" s="3">
        <v>5</v>
      </c>
      <c r="B7" s="4">
        <v>46009</v>
      </c>
      <c r="C7" s="5" t="s">
        <v>19</v>
      </c>
      <c r="D7" s="6">
        <v>247</v>
      </c>
      <c r="E7" s="6">
        <v>249</v>
      </c>
      <c r="F7" s="6">
        <v>245</v>
      </c>
      <c r="G7" s="6">
        <v>249</v>
      </c>
      <c r="H7" s="6">
        <v>247</v>
      </c>
      <c r="I7" s="6">
        <v>248.2</v>
      </c>
      <c r="J7" s="6">
        <v>977</v>
      </c>
      <c r="K7" s="6">
        <v>16.683</v>
      </c>
      <c r="L7" s="7">
        <v>67833</v>
      </c>
    </row>
    <row r="8" spans="1:12">
      <c r="A8" s="3">
        <v>6</v>
      </c>
      <c r="B8" s="4">
        <v>46008</v>
      </c>
      <c r="C8" s="5" t="s">
        <v>19</v>
      </c>
      <c r="D8" s="6">
        <v>248.2</v>
      </c>
      <c r="E8" s="6">
        <v>251.3</v>
      </c>
      <c r="F8" s="6">
        <v>247.6</v>
      </c>
      <c r="G8" s="6">
        <v>250.3</v>
      </c>
      <c r="H8" s="6">
        <v>248.2</v>
      </c>
      <c r="I8" s="6">
        <v>250.3</v>
      </c>
      <c r="J8" s="6">
        <v>752</v>
      </c>
      <c r="K8" s="6">
        <v>14.685</v>
      </c>
      <c r="L8" s="7">
        <v>58963</v>
      </c>
    </row>
    <row r="9" spans="1:12">
      <c r="A9" s="3">
        <v>7</v>
      </c>
      <c r="B9" s="4">
        <v>46006</v>
      </c>
      <c r="C9" s="5" t="s">
        <v>19</v>
      </c>
      <c r="D9" s="6">
        <v>250.3</v>
      </c>
      <c r="E9" s="6">
        <v>250.9</v>
      </c>
      <c r="F9" s="6">
        <v>249.8</v>
      </c>
      <c r="G9" s="6">
        <v>250.1</v>
      </c>
      <c r="H9" s="6">
        <v>250.3</v>
      </c>
      <c r="I9" s="6">
        <v>250.8</v>
      </c>
      <c r="J9" s="6">
        <v>499</v>
      </c>
      <c r="K9" s="6">
        <v>9.9930000000000003</v>
      </c>
      <c r="L9" s="7">
        <v>39926</v>
      </c>
    </row>
    <row r="10" spans="1:12">
      <c r="A10" s="3">
        <v>8</v>
      </c>
      <c r="B10" s="4">
        <v>46005</v>
      </c>
      <c r="C10" s="5" t="s">
        <v>19</v>
      </c>
      <c r="D10" s="6">
        <v>250.8</v>
      </c>
      <c r="E10" s="6">
        <v>251.9</v>
      </c>
      <c r="F10" s="6">
        <v>250.2</v>
      </c>
      <c r="G10" s="6">
        <v>251.5</v>
      </c>
      <c r="H10" s="6">
        <v>250.8</v>
      </c>
      <c r="I10" s="6">
        <v>251.2</v>
      </c>
      <c r="J10" s="6">
        <v>611</v>
      </c>
      <c r="K10" s="6">
        <v>10.682</v>
      </c>
      <c r="L10" s="7">
        <v>42584</v>
      </c>
    </row>
    <row r="11" spans="1:12">
      <c r="A11" s="3">
        <v>9</v>
      </c>
      <c r="B11" s="4">
        <v>46002</v>
      </c>
      <c r="C11" s="5" t="s">
        <v>19</v>
      </c>
      <c r="D11" s="6">
        <v>251.2</v>
      </c>
      <c r="E11" s="6">
        <v>252.3</v>
      </c>
      <c r="F11" s="6">
        <v>249.3</v>
      </c>
      <c r="G11" s="6">
        <v>251</v>
      </c>
      <c r="H11" s="6">
        <v>251.2</v>
      </c>
      <c r="I11" s="6">
        <v>250.1</v>
      </c>
      <c r="J11" s="6">
        <v>758</v>
      </c>
      <c r="K11" s="6">
        <v>19.739999999999998</v>
      </c>
      <c r="L11" s="7">
        <v>78712</v>
      </c>
    </row>
    <row r="12" spans="1:12">
      <c r="A12" s="3">
        <v>10</v>
      </c>
      <c r="B12" s="4">
        <v>46001</v>
      </c>
      <c r="C12" s="5" t="s">
        <v>19</v>
      </c>
      <c r="D12" s="6">
        <v>250.1</v>
      </c>
      <c r="E12" s="6">
        <v>252.5</v>
      </c>
      <c r="F12" s="6">
        <v>250</v>
      </c>
      <c r="G12" s="6">
        <v>251</v>
      </c>
      <c r="H12" s="6">
        <v>250.1</v>
      </c>
      <c r="I12" s="6">
        <v>250.9</v>
      </c>
      <c r="J12" s="6">
        <v>783</v>
      </c>
      <c r="K12" s="6">
        <v>19.844999999999999</v>
      </c>
      <c r="L12" s="7">
        <v>79161</v>
      </c>
    </row>
    <row r="13" spans="1:12">
      <c r="A13" s="3">
        <v>11</v>
      </c>
      <c r="B13" s="4">
        <v>46000</v>
      </c>
      <c r="C13" s="5" t="s">
        <v>19</v>
      </c>
      <c r="D13" s="6">
        <v>250.9</v>
      </c>
      <c r="E13" s="6">
        <v>251.8</v>
      </c>
      <c r="F13" s="6">
        <v>248.8</v>
      </c>
      <c r="G13" s="6">
        <v>251.8</v>
      </c>
      <c r="H13" s="6">
        <v>250.9</v>
      </c>
      <c r="I13" s="6">
        <v>249.3</v>
      </c>
      <c r="J13" s="6">
        <v>656</v>
      </c>
      <c r="K13" s="6">
        <v>12.615</v>
      </c>
      <c r="L13" s="7">
        <v>50362</v>
      </c>
    </row>
    <row r="14" spans="1:12">
      <c r="A14" s="3">
        <v>12</v>
      </c>
      <c r="B14" s="4">
        <v>45999</v>
      </c>
      <c r="C14" s="5" t="s">
        <v>19</v>
      </c>
      <c r="D14" s="6">
        <v>249.3</v>
      </c>
      <c r="E14" s="6">
        <v>251</v>
      </c>
      <c r="F14" s="6">
        <v>247.9</v>
      </c>
      <c r="G14" s="6">
        <v>247.9</v>
      </c>
      <c r="H14" s="6">
        <v>249.3</v>
      </c>
      <c r="I14" s="6">
        <v>247.9</v>
      </c>
      <c r="J14" s="6">
        <v>582</v>
      </c>
      <c r="K14" s="6">
        <v>8.1760000000000002</v>
      </c>
      <c r="L14" s="7">
        <v>32808</v>
      </c>
    </row>
    <row r="15" spans="1:12">
      <c r="A15" s="3">
        <v>13</v>
      </c>
      <c r="B15" s="4">
        <v>45998</v>
      </c>
      <c r="C15" s="5" t="s">
        <v>19</v>
      </c>
      <c r="D15" s="6">
        <v>247.9</v>
      </c>
      <c r="E15" s="6">
        <v>249.7</v>
      </c>
      <c r="F15" s="6">
        <v>247</v>
      </c>
      <c r="G15" s="6">
        <v>248.4</v>
      </c>
      <c r="H15" s="6">
        <v>247.9</v>
      </c>
      <c r="I15" s="6">
        <v>249</v>
      </c>
      <c r="J15" s="6">
        <v>796</v>
      </c>
      <c r="K15" s="6">
        <v>12.494999999999999</v>
      </c>
      <c r="L15" s="7">
        <v>50421</v>
      </c>
    </row>
    <row r="16" spans="1:12">
      <c r="A16" s="3">
        <v>14</v>
      </c>
      <c r="B16" s="4">
        <v>45995</v>
      </c>
      <c r="C16" s="5" t="s">
        <v>19</v>
      </c>
      <c r="D16" s="6">
        <v>249</v>
      </c>
      <c r="E16" s="6">
        <v>250.9</v>
      </c>
      <c r="F16" s="6">
        <v>248.2</v>
      </c>
      <c r="G16" s="6">
        <v>249</v>
      </c>
      <c r="H16" s="6">
        <v>249</v>
      </c>
      <c r="I16" s="6">
        <v>249.9</v>
      </c>
      <c r="J16" s="6">
        <v>619</v>
      </c>
      <c r="K16" s="6">
        <v>10.477</v>
      </c>
      <c r="L16" s="7">
        <v>42041</v>
      </c>
    </row>
    <row r="17" spans="1:12">
      <c r="A17" s="3">
        <v>15</v>
      </c>
      <c r="B17" s="4">
        <v>45994</v>
      </c>
      <c r="C17" s="5" t="s">
        <v>19</v>
      </c>
      <c r="D17" s="6">
        <v>249.9</v>
      </c>
      <c r="E17" s="6">
        <v>252.9</v>
      </c>
      <c r="F17" s="6">
        <v>249.7</v>
      </c>
      <c r="G17" s="6">
        <v>252.9</v>
      </c>
      <c r="H17" s="6">
        <v>249.9</v>
      </c>
      <c r="I17" s="6">
        <v>250.9</v>
      </c>
      <c r="J17" s="6">
        <v>612</v>
      </c>
      <c r="K17" s="6">
        <v>9.4120000000000008</v>
      </c>
      <c r="L17" s="7">
        <v>37561</v>
      </c>
    </row>
    <row r="18" spans="1:12">
      <c r="A18" s="3">
        <v>16</v>
      </c>
      <c r="B18" s="4">
        <v>45993</v>
      </c>
      <c r="C18" s="5" t="s">
        <v>19</v>
      </c>
      <c r="D18" s="6">
        <v>250.9</v>
      </c>
      <c r="E18" s="6">
        <v>253.4</v>
      </c>
      <c r="F18" s="6">
        <v>249.1</v>
      </c>
      <c r="G18" s="6">
        <v>253.4</v>
      </c>
      <c r="H18" s="6">
        <v>250.9</v>
      </c>
      <c r="I18" s="6">
        <v>250.2</v>
      </c>
      <c r="J18" s="6">
        <v>998</v>
      </c>
      <c r="K18" s="6">
        <v>15.348000000000001</v>
      </c>
      <c r="L18" s="7">
        <v>61337</v>
      </c>
    </row>
    <row r="19" spans="1:12">
      <c r="A19" s="3">
        <v>17</v>
      </c>
      <c r="B19" s="4">
        <v>45992</v>
      </c>
      <c r="C19" s="5" t="s">
        <v>19</v>
      </c>
      <c r="D19" s="6">
        <v>250.2</v>
      </c>
      <c r="E19" s="6">
        <v>251.4</v>
      </c>
      <c r="F19" s="6">
        <v>249.8</v>
      </c>
      <c r="G19" s="6">
        <v>251</v>
      </c>
      <c r="H19" s="6">
        <v>250.2</v>
      </c>
      <c r="I19" s="6">
        <v>251.2</v>
      </c>
      <c r="J19" s="6">
        <v>835</v>
      </c>
      <c r="K19" s="6">
        <v>12.086</v>
      </c>
      <c r="L19" s="7">
        <v>48258</v>
      </c>
    </row>
    <row r="20" spans="1:12">
      <c r="A20" s="3">
        <v>18</v>
      </c>
      <c r="B20" s="4">
        <v>45991</v>
      </c>
      <c r="C20" s="5" t="s">
        <v>19</v>
      </c>
      <c r="D20" s="6">
        <v>251.2</v>
      </c>
      <c r="E20" s="6">
        <v>256.7</v>
      </c>
      <c r="F20" s="6">
        <v>250.6</v>
      </c>
      <c r="G20" s="6">
        <v>254</v>
      </c>
      <c r="H20" s="6">
        <v>251.2</v>
      </c>
      <c r="I20" s="6">
        <v>254</v>
      </c>
      <c r="J20" s="7">
        <v>1210</v>
      </c>
      <c r="K20" s="6">
        <v>18.64</v>
      </c>
      <c r="L20" s="7">
        <v>73970</v>
      </c>
    </row>
    <row r="21" spans="1:12">
      <c r="A21" s="3">
        <v>19</v>
      </c>
      <c r="B21" s="4">
        <v>45988</v>
      </c>
      <c r="C21" s="5" t="s">
        <v>19</v>
      </c>
      <c r="D21" s="6">
        <v>254</v>
      </c>
      <c r="E21" s="6">
        <v>257.89999999999998</v>
      </c>
      <c r="F21" s="6">
        <v>252.9</v>
      </c>
      <c r="G21" s="6">
        <v>257.89999999999998</v>
      </c>
      <c r="H21" s="6">
        <v>254</v>
      </c>
      <c r="I21" s="6">
        <v>255</v>
      </c>
      <c r="J21" s="7">
        <v>1015</v>
      </c>
      <c r="K21" s="6">
        <v>18.318000000000001</v>
      </c>
      <c r="L21" s="7">
        <v>71951</v>
      </c>
    </row>
    <row r="22" spans="1:12">
      <c r="A22" s="3">
        <v>20</v>
      </c>
      <c r="B22" s="4">
        <v>45987</v>
      </c>
      <c r="C22" s="5" t="s">
        <v>19</v>
      </c>
      <c r="D22" s="6">
        <v>255</v>
      </c>
      <c r="E22" s="6">
        <v>258</v>
      </c>
      <c r="F22" s="6">
        <v>254</v>
      </c>
      <c r="G22" s="6">
        <v>258</v>
      </c>
      <c r="H22" s="6">
        <v>255</v>
      </c>
      <c r="I22" s="6">
        <v>257.5</v>
      </c>
      <c r="J22" s="6">
        <v>986</v>
      </c>
      <c r="K22" s="6">
        <v>16.89</v>
      </c>
      <c r="L22" s="7">
        <v>66056</v>
      </c>
    </row>
    <row r="23" spans="1:12">
      <c r="A23" s="3">
        <v>21</v>
      </c>
      <c r="B23" s="4">
        <v>45986</v>
      </c>
      <c r="C23" s="5" t="s">
        <v>19</v>
      </c>
      <c r="D23" s="6">
        <v>257.5</v>
      </c>
      <c r="E23" s="6">
        <v>261.8</v>
      </c>
      <c r="F23" s="6">
        <v>256.7</v>
      </c>
      <c r="G23" s="6">
        <v>256.7</v>
      </c>
      <c r="H23" s="6">
        <v>257.5</v>
      </c>
      <c r="I23" s="6">
        <v>256.7</v>
      </c>
      <c r="J23" s="7">
        <v>1284</v>
      </c>
      <c r="K23" s="6">
        <v>25.867999999999999</v>
      </c>
      <c r="L23" s="7">
        <v>99920</v>
      </c>
    </row>
    <row r="24" spans="1:12">
      <c r="A24" s="3">
        <v>22</v>
      </c>
      <c r="B24" s="4">
        <v>45985</v>
      </c>
      <c r="C24" s="5" t="s">
        <v>19</v>
      </c>
      <c r="D24" s="6">
        <v>256.7</v>
      </c>
      <c r="E24" s="6">
        <v>257.10000000000002</v>
      </c>
      <c r="F24" s="6">
        <v>249.4</v>
      </c>
      <c r="G24" s="6">
        <v>249.4</v>
      </c>
      <c r="H24" s="6">
        <v>256.7</v>
      </c>
      <c r="I24" s="6">
        <v>249.4</v>
      </c>
      <c r="J24" s="7">
        <v>1366</v>
      </c>
      <c r="K24" s="6">
        <v>27.888000000000002</v>
      </c>
      <c r="L24" s="7">
        <v>109710</v>
      </c>
    </row>
    <row r="25" spans="1:12">
      <c r="A25" s="3">
        <v>23</v>
      </c>
      <c r="B25" s="4">
        <v>45984</v>
      </c>
      <c r="C25" s="5" t="s">
        <v>19</v>
      </c>
      <c r="D25" s="6">
        <v>249.4</v>
      </c>
      <c r="E25" s="6">
        <v>250</v>
      </c>
      <c r="F25" s="6">
        <v>246.8</v>
      </c>
      <c r="G25" s="6">
        <v>249.4</v>
      </c>
      <c r="H25" s="6">
        <v>249.4</v>
      </c>
      <c r="I25" s="6">
        <v>249.4</v>
      </c>
      <c r="J25" s="6">
        <v>713</v>
      </c>
      <c r="K25" s="6">
        <v>9.9090000000000007</v>
      </c>
      <c r="L25" s="7">
        <v>39903</v>
      </c>
    </row>
    <row r="26" spans="1:12">
      <c r="A26" s="3">
        <v>24</v>
      </c>
      <c r="B26" s="4">
        <v>45981</v>
      </c>
      <c r="C26" s="5" t="s">
        <v>19</v>
      </c>
      <c r="D26" s="6">
        <v>249.4</v>
      </c>
      <c r="E26" s="6">
        <v>252.6</v>
      </c>
      <c r="F26" s="6">
        <v>249</v>
      </c>
      <c r="G26" s="6">
        <v>252.1</v>
      </c>
      <c r="H26" s="6">
        <v>249.4</v>
      </c>
      <c r="I26" s="6">
        <v>251.9</v>
      </c>
      <c r="J26" s="7">
        <v>1039</v>
      </c>
      <c r="K26" s="6">
        <v>19.114999999999998</v>
      </c>
      <c r="L26" s="7">
        <v>76301</v>
      </c>
    </row>
    <row r="27" spans="1:12">
      <c r="A27" s="3">
        <v>25</v>
      </c>
      <c r="B27" s="4">
        <v>45980</v>
      </c>
      <c r="C27" s="5" t="s">
        <v>19</v>
      </c>
      <c r="D27" s="6">
        <v>251.9</v>
      </c>
      <c r="E27" s="6">
        <v>255.3</v>
      </c>
      <c r="F27" s="6">
        <v>250</v>
      </c>
      <c r="G27" s="6">
        <v>250.4</v>
      </c>
      <c r="H27" s="6">
        <v>251.9</v>
      </c>
      <c r="I27" s="6">
        <v>250.1</v>
      </c>
      <c r="J27" s="7">
        <v>1588</v>
      </c>
      <c r="K27" s="6">
        <v>32.984000000000002</v>
      </c>
      <c r="L27" s="7">
        <v>130449</v>
      </c>
    </row>
    <row r="28" spans="1:12">
      <c r="A28" s="3">
        <v>26</v>
      </c>
      <c r="B28" s="4">
        <v>45979</v>
      </c>
      <c r="C28" s="5" t="s">
        <v>19</v>
      </c>
      <c r="D28" s="6">
        <v>250.1</v>
      </c>
      <c r="E28" s="6">
        <v>251.5</v>
      </c>
      <c r="F28" s="6">
        <v>245.9</v>
      </c>
      <c r="G28" s="6">
        <v>246</v>
      </c>
      <c r="H28" s="6">
        <v>250.1</v>
      </c>
      <c r="I28" s="6">
        <v>244.4</v>
      </c>
      <c r="J28" s="7">
        <v>1182</v>
      </c>
      <c r="K28" s="6">
        <v>25.925999999999998</v>
      </c>
      <c r="L28" s="7">
        <v>103869</v>
      </c>
    </row>
    <row r="29" spans="1:12">
      <c r="A29" s="3">
        <v>27</v>
      </c>
      <c r="B29" s="4">
        <v>45978</v>
      </c>
      <c r="C29" s="5" t="s">
        <v>19</v>
      </c>
      <c r="D29" s="6">
        <v>244.4</v>
      </c>
      <c r="E29" s="6">
        <v>247</v>
      </c>
      <c r="F29" s="6">
        <v>241.6</v>
      </c>
      <c r="G29" s="6">
        <v>244.8</v>
      </c>
      <c r="H29" s="6">
        <v>244.4</v>
      </c>
      <c r="I29" s="6">
        <v>241.5</v>
      </c>
      <c r="J29" s="7">
        <v>1163</v>
      </c>
      <c r="K29" s="6">
        <v>17.823</v>
      </c>
      <c r="L29" s="7">
        <v>72892</v>
      </c>
    </row>
    <row r="30" spans="1:12">
      <c r="A30" s="3">
        <v>28</v>
      </c>
      <c r="B30" s="4">
        <v>45977</v>
      </c>
      <c r="C30" s="5" t="s">
        <v>19</v>
      </c>
      <c r="D30" s="6">
        <v>241.5</v>
      </c>
      <c r="E30" s="6">
        <v>243</v>
      </c>
      <c r="F30" s="6">
        <v>237</v>
      </c>
      <c r="G30" s="6">
        <v>242.9</v>
      </c>
      <c r="H30" s="6">
        <v>241.5</v>
      </c>
      <c r="I30" s="6">
        <v>240.4</v>
      </c>
      <c r="J30" s="7">
        <v>1243</v>
      </c>
      <c r="K30" s="6">
        <v>19.175000000000001</v>
      </c>
      <c r="L30" s="7">
        <v>80228</v>
      </c>
    </row>
    <row r="31" spans="1:12">
      <c r="A31" s="3">
        <v>29</v>
      </c>
      <c r="B31" s="4">
        <v>45974</v>
      </c>
      <c r="C31" s="5" t="s">
        <v>19</v>
      </c>
      <c r="D31" s="6">
        <v>240.4</v>
      </c>
      <c r="E31" s="6">
        <v>245.9</v>
      </c>
      <c r="F31" s="6">
        <v>239.9</v>
      </c>
      <c r="G31" s="6">
        <v>243.8</v>
      </c>
      <c r="H31" s="6">
        <v>240.4</v>
      </c>
      <c r="I31" s="6">
        <v>243.6</v>
      </c>
      <c r="J31" s="7">
        <v>1572</v>
      </c>
      <c r="K31" s="6">
        <v>25.390999999999998</v>
      </c>
      <c r="L31" s="7">
        <v>105477</v>
      </c>
    </row>
    <row r="32" spans="1:12">
      <c r="A32" s="3">
        <v>30</v>
      </c>
      <c r="B32" s="4">
        <v>45973</v>
      </c>
      <c r="C32" s="5" t="s">
        <v>19</v>
      </c>
      <c r="D32" s="6">
        <v>243.6</v>
      </c>
      <c r="E32" s="6">
        <v>249.3</v>
      </c>
      <c r="F32" s="6">
        <v>242.8</v>
      </c>
      <c r="G32" s="6">
        <v>247.8</v>
      </c>
      <c r="H32" s="6">
        <v>243.6</v>
      </c>
      <c r="I32" s="6">
        <v>247.5</v>
      </c>
      <c r="J32" s="7">
        <v>1696</v>
      </c>
      <c r="K32" s="6">
        <v>20.353000000000002</v>
      </c>
      <c r="L32" s="7">
        <v>82893</v>
      </c>
    </row>
    <row r="33" spans="1:12">
      <c r="A33" s="3">
        <v>31</v>
      </c>
      <c r="B33" s="4">
        <v>45972</v>
      </c>
      <c r="C33" s="5" t="s">
        <v>19</v>
      </c>
      <c r="D33" s="6">
        <v>247.5</v>
      </c>
      <c r="E33" s="6">
        <v>248.8</v>
      </c>
      <c r="F33" s="6">
        <v>246.6</v>
      </c>
      <c r="G33" s="6">
        <v>248.8</v>
      </c>
      <c r="H33" s="6">
        <v>247.5</v>
      </c>
      <c r="I33" s="6">
        <v>247.6</v>
      </c>
      <c r="J33" s="6">
        <v>864</v>
      </c>
      <c r="K33" s="6">
        <v>14.597</v>
      </c>
      <c r="L33" s="7">
        <v>59009</v>
      </c>
    </row>
    <row r="34" spans="1:12">
      <c r="A34" s="3">
        <v>32</v>
      </c>
      <c r="B34" s="4">
        <v>45971</v>
      </c>
      <c r="C34" s="5" t="s">
        <v>19</v>
      </c>
      <c r="D34" s="6">
        <v>247.6</v>
      </c>
      <c r="E34" s="6">
        <v>248.8</v>
      </c>
      <c r="F34" s="6">
        <v>247</v>
      </c>
      <c r="G34" s="6">
        <v>248</v>
      </c>
      <c r="H34" s="6">
        <v>247.6</v>
      </c>
      <c r="I34" s="6">
        <v>247.6</v>
      </c>
      <c r="J34" s="6">
        <v>770</v>
      </c>
      <c r="K34" s="6">
        <v>16.132000000000001</v>
      </c>
      <c r="L34" s="7">
        <v>65128</v>
      </c>
    </row>
    <row r="35" spans="1:12">
      <c r="A35" s="3">
        <v>33</v>
      </c>
      <c r="B35" s="4">
        <v>45970</v>
      </c>
      <c r="C35" s="5" t="s">
        <v>19</v>
      </c>
      <c r="D35" s="6">
        <v>247.6</v>
      </c>
      <c r="E35" s="6">
        <v>251</v>
      </c>
      <c r="F35" s="6">
        <v>247</v>
      </c>
      <c r="G35" s="6">
        <v>248</v>
      </c>
      <c r="H35" s="6">
        <v>247.6</v>
      </c>
      <c r="I35" s="6">
        <v>247.5</v>
      </c>
      <c r="J35" s="7">
        <v>1069</v>
      </c>
      <c r="K35" s="6">
        <v>12.981</v>
      </c>
      <c r="L35" s="7">
        <v>52205</v>
      </c>
    </row>
    <row r="36" spans="1:12">
      <c r="A36" s="3">
        <v>34</v>
      </c>
      <c r="B36" s="4">
        <v>45967</v>
      </c>
      <c r="C36" s="5" t="s">
        <v>19</v>
      </c>
      <c r="D36" s="6">
        <v>247.5</v>
      </c>
      <c r="E36" s="6">
        <v>249</v>
      </c>
      <c r="F36" s="6">
        <v>244.8</v>
      </c>
      <c r="G36" s="6">
        <v>247</v>
      </c>
      <c r="H36" s="6">
        <v>247.5</v>
      </c>
      <c r="I36" s="6">
        <v>246.8</v>
      </c>
      <c r="J36" s="7">
        <v>1238</v>
      </c>
      <c r="K36" s="6">
        <v>24.376000000000001</v>
      </c>
      <c r="L36" s="7">
        <v>99093</v>
      </c>
    </row>
    <row r="37" spans="1:12">
      <c r="A37" s="3">
        <v>35</v>
      </c>
      <c r="B37" s="4">
        <v>45966</v>
      </c>
      <c r="C37" s="5" t="s">
        <v>19</v>
      </c>
      <c r="D37" s="6">
        <v>246.8</v>
      </c>
      <c r="E37" s="6">
        <v>250</v>
      </c>
      <c r="F37" s="6">
        <v>246</v>
      </c>
      <c r="G37" s="6">
        <v>248.9</v>
      </c>
      <c r="H37" s="6">
        <v>246.8</v>
      </c>
      <c r="I37" s="6">
        <v>248.2</v>
      </c>
      <c r="J37" s="7">
        <v>1323</v>
      </c>
      <c r="K37" s="6">
        <v>21.353000000000002</v>
      </c>
      <c r="L37" s="7">
        <v>86256</v>
      </c>
    </row>
    <row r="38" spans="1:12">
      <c r="A38" s="3">
        <v>36</v>
      </c>
      <c r="B38" s="4">
        <v>45965</v>
      </c>
      <c r="C38" s="5" t="s">
        <v>19</v>
      </c>
      <c r="D38" s="6">
        <v>248.2</v>
      </c>
      <c r="E38" s="6">
        <v>253.5</v>
      </c>
      <c r="F38" s="6">
        <v>248</v>
      </c>
      <c r="G38" s="6">
        <v>253.5</v>
      </c>
      <c r="H38" s="6">
        <v>248.2</v>
      </c>
      <c r="I38" s="6">
        <v>252.5</v>
      </c>
      <c r="J38" s="7">
        <v>1844</v>
      </c>
      <c r="K38" s="6">
        <v>33.991</v>
      </c>
      <c r="L38" s="7">
        <v>136155</v>
      </c>
    </row>
    <row r="39" spans="1:12">
      <c r="A39" s="3">
        <v>37</v>
      </c>
      <c r="B39" s="4">
        <v>45964</v>
      </c>
      <c r="C39" s="5" t="s">
        <v>19</v>
      </c>
      <c r="D39" s="6">
        <v>252.5</v>
      </c>
      <c r="E39" s="6">
        <v>254.5</v>
      </c>
      <c r="F39" s="6">
        <v>252.1</v>
      </c>
      <c r="G39" s="6">
        <v>253.5</v>
      </c>
      <c r="H39" s="6">
        <v>252.5</v>
      </c>
      <c r="I39" s="6">
        <v>253.4</v>
      </c>
      <c r="J39" s="7">
        <v>1044</v>
      </c>
      <c r="K39" s="6">
        <v>21.716000000000001</v>
      </c>
      <c r="L39" s="7">
        <v>85876</v>
      </c>
    </row>
    <row r="40" spans="1:12">
      <c r="A40" s="3">
        <v>38</v>
      </c>
      <c r="B40" s="4">
        <v>45963</v>
      </c>
      <c r="C40" s="5" t="s">
        <v>19</v>
      </c>
      <c r="D40" s="6">
        <v>253.4</v>
      </c>
      <c r="E40" s="6">
        <v>254.7</v>
      </c>
      <c r="F40" s="6">
        <v>247.5</v>
      </c>
      <c r="G40" s="6">
        <v>254</v>
      </c>
      <c r="H40" s="6">
        <v>253.4</v>
      </c>
      <c r="I40" s="6">
        <v>254.9</v>
      </c>
      <c r="J40" s="7">
        <v>1945</v>
      </c>
      <c r="K40" s="6">
        <v>41.411000000000001</v>
      </c>
      <c r="L40" s="7">
        <v>163554</v>
      </c>
    </row>
    <row r="41" spans="1:12">
      <c r="A41" s="3">
        <v>39</v>
      </c>
      <c r="B41" s="4">
        <v>45960</v>
      </c>
      <c r="C41" s="5" t="s">
        <v>19</v>
      </c>
      <c r="D41" s="6">
        <v>254.9</v>
      </c>
      <c r="E41" s="6">
        <v>256</v>
      </c>
      <c r="F41" s="6">
        <v>253</v>
      </c>
      <c r="G41" s="6">
        <v>255</v>
      </c>
      <c r="H41" s="6">
        <v>254.9</v>
      </c>
      <c r="I41" s="6">
        <v>254.1</v>
      </c>
      <c r="J41" s="6">
        <v>873</v>
      </c>
      <c r="K41" s="6">
        <v>14.012</v>
      </c>
      <c r="L41" s="7">
        <v>55023</v>
      </c>
    </row>
    <row r="42" spans="1:12">
      <c r="A42" s="3">
        <v>40</v>
      </c>
      <c r="B42" s="4">
        <v>45959</v>
      </c>
      <c r="C42" s="5" t="s">
        <v>19</v>
      </c>
      <c r="D42" s="6">
        <v>254.1</v>
      </c>
      <c r="E42" s="6">
        <v>257.3</v>
      </c>
      <c r="F42" s="6">
        <v>252.5</v>
      </c>
      <c r="G42" s="6">
        <v>256.2</v>
      </c>
      <c r="H42" s="6">
        <v>254.1</v>
      </c>
      <c r="I42" s="6">
        <v>256.2</v>
      </c>
      <c r="J42" s="7">
        <v>1954</v>
      </c>
      <c r="K42" s="6">
        <v>32.491999999999997</v>
      </c>
      <c r="L42" s="7">
        <v>127741</v>
      </c>
    </row>
    <row r="43" spans="1:12">
      <c r="A43" s="3">
        <v>41</v>
      </c>
      <c r="B43" s="4">
        <v>45958</v>
      </c>
      <c r="C43" s="5" t="s">
        <v>19</v>
      </c>
      <c r="D43" s="6">
        <v>256.2</v>
      </c>
      <c r="E43" s="6">
        <v>257.3</v>
      </c>
      <c r="F43" s="6">
        <v>255.8</v>
      </c>
      <c r="G43" s="6">
        <v>257</v>
      </c>
      <c r="H43" s="6">
        <v>256.2</v>
      </c>
      <c r="I43" s="6">
        <v>257</v>
      </c>
      <c r="J43" s="6">
        <v>746</v>
      </c>
      <c r="K43" s="6">
        <v>11.148999999999999</v>
      </c>
      <c r="L43" s="7">
        <v>43474</v>
      </c>
    </row>
    <row r="44" spans="1:12">
      <c r="A44" s="3">
        <v>42</v>
      </c>
      <c r="B44" s="4">
        <v>45957</v>
      </c>
      <c r="C44" s="5" t="s">
        <v>19</v>
      </c>
      <c r="D44" s="6">
        <v>257</v>
      </c>
      <c r="E44" s="6">
        <v>259.89999999999998</v>
      </c>
      <c r="F44" s="6">
        <v>256.2</v>
      </c>
      <c r="G44" s="6">
        <v>259.8</v>
      </c>
      <c r="H44" s="6">
        <v>257</v>
      </c>
      <c r="I44" s="6">
        <v>259</v>
      </c>
      <c r="J44" s="6">
        <v>902</v>
      </c>
      <c r="K44" s="6">
        <v>15.567</v>
      </c>
      <c r="L44" s="7">
        <v>60494</v>
      </c>
    </row>
    <row r="45" spans="1:12">
      <c r="A45" s="3">
        <v>43</v>
      </c>
      <c r="B45" s="4">
        <v>45956</v>
      </c>
      <c r="C45" s="5" t="s">
        <v>19</v>
      </c>
      <c r="D45" s="6">
        <v>259</v>
      </c>
      <c r="E45" s="6">
        <v>262.8</v>
      </c>
      <c r="F45" s="6">
        <v>258</v>
      </c>
      <c r="G45" s="6">
        <v>259.89999999999998</v>
      </c>
      <c r="H45" s="6">
        <v>259</v>
      </c>
      <c r="I45" s="6">
        <v>257.89999999999998</v>
      </c>
      <c r="J45" s="7">
        <v>1079</v>
      </c>
      <c r="K45" s="6">
        <v>19.79</v>
      </c>
      <c r="L45" s="7">
        <v>76126</v>
      </c>
    </row>
    <row r="46" spans="1:12">
      <c r="A46" s="3">
        <v>44</v>
      </c>
      <c r="B46" s="4">
        <v>45953</v>
      </c>
      <c r="C46" s="5" t="s">
        <v>19</v>
      </c>
      <c r="D46" s="6">
        <v>257.89999999999998</v>
      </c>
      <c r="E46" s="6">
        <v>259.89999999999998</v>
      </c>
      <c r="F46" s="6">
        <v>257.10000000000002</v>
      </c>
      <c r="G46" s="6">
        <v>259</v>
      </c>
      <c r="H46" s="6">
        <v>257.89999999999998</v>
      </c>
      <c r="I46" s="6">
        <v>258.10000000000002</v>
      </c>
      <c r="J46" s="7">
        <v>1316</v>
      </c>
      <c r="K46" s="6">
        <v>32.088000000000001</v>
      </c>
      <c r="L46" s="7">
        <v>124371</v>
      </c>
    </row>
    <row r="47" spans="1:12">
      <c r="A47" s="3">
        <v>45</v>
      </c>
      <c r="B47" s="4">
        <v>45952</v>
      </c>
      <c r="C47" s="5" t="s">
        <v>19</v>
      </c>
      <c r="D47" s="6">
        <v>258.10000000000002</v>
      </c>
      <c r="E47" s="6">
        <v>262</v>
      </c>
      <c r="F47" s="6">
        <v>257.5</v>
      </c>
      <c r="G47" s="6">
        <v>261.5</v>
      </c>
      <c r="H47" s="6">
        <v>258.10000000000002</v>
      </c>
      <c r="I47" s="6">
        <v>261.60000000000002</v>
      </c>
      <c r="J47" s="7">
        <v>1799</v>
      </c>
      <c r="K47" s="6">
        <v>43.685000000000002</v>
      </c>
      <c r="L47" s="7">
        <v>168714</v>
      </c>
    </row>
    <row r="48" spans="1:12">
      <c r="A48" s="3">
        <v>46</v>
      </c>
      <c r="B48" s="4">
        <v>45951</v>
      </c>
      <c r="C48" s="5" t="s">
        <v>19</v>
      </c>
      <c r="D48" s="6">
        <v>261.60000000000002</v>
      </c>
      <c r="E48" s="6">
        <v>267.89999999999998</v>
      </c>
      <c r="F48" s="6">
        <v>256</v>
      </c>
      <c r="G48" s="6">
        <v>258.2</v>
      </c>
      <c r="H48" s="6">
        <v>261.60000000000002</v>
      </c>
      <c r="I48" s="6">
        <v>257.89999999999998</v>
      </c>
      <c r="J48" s="7">
        <v>2781</v>
      </c>
      <c r="K48" s="6">
        <v>62.521000000000001</v>
      </c>
      <c r="L48" s="7">
        <v>238871</v>
      </c>
    </row>
    <row r="49" spans="1:12">
      <c r="A49" s="3">
        <v>47</v>
      </c>
      <c r="B49" s="4">
        <v>45950</v>
      </c>
      <c r="C49" s="5" t="s">
        <v>19</v>
      </c>
      <c r="D49" s="6">
        <v>257.89999999999998</v>
      </c>
      <c r="E49" s="6">
        <v>258.60000000000002</v>
      </c>
      <c r="F49" s="6">
        <v>255.6</v>
      </c>
      <c r="G49" s="6">
        <v>256.10000000000002</v>
      </c>
      <c r="H49" s="6">
        <v>257.89999999999998</v>
      </c>
      <c r="I49" s="6">
        <v>256.10000000000002</v>
      </c>
      <c r="J49" s="7">
        <v>1425</v>
      </c>
      <c r="K49" s="6">
        <v>31.555</v>
      </c>
      <c r="L49" s="7">
        <v>122881</v>
      </c>
    </row>
    <row r="50" spans="1:12">
      <c r="A50" s="3">
        <v>48</v>
      </c>
      <c r="B50" s="4">
        <v>45949</v>
      </c>
      <c r="C50" s="5" t="s">
        <v>19</v>
      </c>
      <c r="D50" s="6">
        <v>256.10000000000002</v>
      </c>
      <c r="E50" s="6">
        <v>257</v>
      </c>
      <c r="F50" s="6">
        <v>255</v>
      </c>
      <c r="G50" s="6">
        <v>255</v>
      </c>
      <c r="H50" s="6">
        <v>256.10000000000002</v>
      </c>
      <c r="I50" s="6">
        <v>254.4</v>
      </c>
      <c r="J50" s="7">
        <v>1216</v>
      </c>
      <c r="K50" s="6">
        <v>25.419</v>
      </c>
      <c r="L50" s="7">
        <v>99200</v>
      </c>
    </row>
    <row r="51" spans="1:12">
      <c r="A51" s="3">
        <v>49</v>
      </c>
      <c r="B51" s="4">
        <v>45946</v>
      </c>
      <c r="C51" s="5" t="s">
        <v>19</v>
      </c>
      <c r="D51" s="6">
        <v>254.4</v>
      </c>
      <c r="E51" s="6">
        <v>257.60000000000002</v>
      </c>
      <c r="F51" s="6">
        <v>252.5</v>
      </c>
      <c r="G51" s="6">
        <v>252.5</v>
      </c>
      <c r="H51" s="6">
        <v>254.4</v>
      </c>
      <c r="I51" s="6">
        <v>252.8</v>
      </c>
      <c r="J51" s="7">
        <v>1000</v>
      </c>
      <c r="K51" s="6">
        <v>17.809999999999999</v>
      </c>
      <c r="L51" s="7">
        <v>70131</v>
      </c>
    </row>
    <row r="52" spans="1:12">
      <c r="A52" s="3">
        <v>50</v>
      </c>
      <c r="B52" s="4">
        <v>45945</v>
      </c>
      <c r="C52" s="5" t="s">
        <v>19</v>
      </c>
      <c r="D52" s="6">
        <v>252.8</v>
      </c>
      <c r="E52" s="6">
        <v>257.10000000000002</v>
      </c>
      <c r="F52" s="6">
        <v>252</v>
      </c>
      <c r="G52" s="6">
        <v>256.10000000000002</v>
      </c>
      <c r="H52" s="6">
        <v>252.8</v>
      </c>
      <c r="I52" s="6">
        <v>256</v>
      </c>
      <c r="J52" s="7">
        <v>1845</v>
      </c>
      <c r="K52" s="6">
        <v>41.738999999999997</v>
      </c>
      <c r="L52" s="7">
        <v>164756</v>
      </c>
    </row>
    <row r="53" spans="1:12">
      <c r="A53" s="3">
        <v>51</v>
      </c>
      <c r="B53" s="4">
        <v>45944</v>
      </c>
      <c r="C53" s="5" t="s">
        <v>19</v>
      </c>
      <c r="D53" s="6">
        <v>256</v>
      </c>
      <c r="E53" s="6">
        <v>262.8</v>
      </c>
      <c r="F53" s="6">
        <v>255.2</v>
      </c>
      <c r="G53" s="6">
        <v>262.8</v>
      </c>
      <c r="H53" s="6">
        <v>256</v>
      </c>
      <c r="I53" s="6">
        <v>259.7</v>
      </c>
      <c r="J53" s="7">
        <v>2242</v>
      </c>
      <c r="K53" s="6">
        <v>42.963000000000001</v>
      </c>
      <c r="L53" s="7">
        <v>166722</v>
      </c>
    </row>
    <row r="54" spans="1:12">
      <c r="A54" s="3">
        <v>52</v>
      </c>
      <c r="B54" s="4">
        <v>45943</v>
      </c>
      <c r="C54" s="5" t="s">
        <v>19</v>
      </c>
      <c r="D54" s="6">
        <v>259.7</v>
      </c>
      <c r="E54" s="6">
        <v>262.7</v>
      </c>
      <c r="F54" s="6">
        <v>259.5</v>
      </c>
      <c r="G54" s="6">
        <v>260</v>
      </c>
      <c r="H54" s="6">
        <v>259.7</v>
      </c>
      <c r="I54" s="6">
        <v>259.8</v>
      </c>
      <c r="J54" s="7">
        <v>1651</v>
      </c>
      <c r="K54" s="6">
        <v>37.411000000000001</v>
      </c>
      <c r="L54" s="7">
        <v>143837</v>
      </c>
    </row>
    <row r="55" spans="1:12">
      <c r="A55" s="3">
        <v>53</v>
      </c>
      <c r="B55" s="4">
        <v>45942</v>
      </c>
      <c r="C55" s="5" t="s">
        <v>19</v>
      </c>
      <c r="D55" s="6">
        <v>259.8</v>
      </c>
      <c r="E55" s="6">
        <v>267.89999999999998</v>
      </c>
      <c r="F55" s="6">
        <v>258</v>
      </c>
      <c r="G55" s="6">
        <v>267.89999999999998</v>
      </c>
      <c r="H55" s="6">
        <v>259.8</v>
      </c>
      <c r="I55" s="6">
        <v>265.2</v>
      </c>
      <c r="J55" s="7">
        <v>1862</v>
      </c>
      <c r="K55" s="6">
        <v>40.15</v>
      </c>
      <c r="L55" s="7">
        <v>153805</v>
      </c>
    </row>
    <row r="56" spans="1:12">
      <c r="A56" s="3">
        <v>54</v>
      </c>
      <c r="B56" s="4">
        <v>45939</v>
      </c>
      <c r="C56" s="5" t="s">
        <v>19</v>
      </c>
      <c r="D56" s="6">
        <v>265.2</v>
      </c>
      <c r="E56" s="6">
        <v>268.8</v>
      </c>
      <c r="F56" s="6">
        <v>264.89999999999998</v>
      </c>
      <c r="G56" s="6">
        <v>268.5</v>
      </c>
      <c r="H56" s="6">
        <v>265.2</v>
      </c>
      <c r="I56" s="6">
        <v>268.8</v>
      </c>
      <c r="J56" s="7">
        <v>2234</v>
      </c>
      <c r="K56" s="6">
        <v>40.268000000000001</v>
      </c>
      <c r="L56" s="7">
        <v>151383</v>
      </c>
    </row>
    <row r="57" spans="1:12">
      <c r="A57" s="3">
        <v>55</v>
      </c>
      <c r="B57" s="4">
        <v>45938</v>
      </c>
      <c r="C57" s="5" t="s">
        <v>19</v>
      </c>
      <c r="D57" s="6">
        <v>268.8</v>
      </c>
      <c r="E57" s="6">
        <v>272</v>
      </c>
      <c r="F57" s="6">
        <v>266</v>
      </c>
      <c r="G57" s="6">
        <v>272</v>
      </c>
      <c r="H57" s="6">
        <v>268.8</v>
      </c>
      <c r="I57" s="6">
        <v>269.89999999999998</v>
      </c>
      <c r="J57" s="7">
        <v>1503</v>
      </c>
      <c r="K57" s="6">
        <v>27.966000000000001</v>
      </c>
      <c r="L57" s="7">
        <v>104417</v>
      </c>
    </row>
    <row r="58" spans="1:12">
      <c r="A58" s="3">
        <v>56</v>
      </c>
      <c r="B58" s="4">
        <v>45937</v>
      </c>
      <c r="C58" s="5" t="s">
        <v>19</v>
      </c>
      <c r="D58" s="6">
        <v>269.89999999999998</v>
      </c>
      <c r="E58" s="6">
        <v>275</v>
      </c>
      <c r="F58" s="6">
        <v>268</v>
      </c>
      <c r="G58" s="6">
        <v>275</v>
      </c>
      <c r="H58" s="6">
        <v>269.89999999999998</v>
      </c>
      <c r="I58" s="6">
        <v>274.89999999999998</v>
      </c>
      <c r="J58" s="7">
        <v>2705</v>
      </c>
      <c r="K58" s="6">
        <v>43.725000000000001</v>
      </c>
      <c r="L58" s="7">
        <v>160867</v>
      </c>
    </row>
    <row r="59" spans="1:12">
      <c r="A59" s="3">
        <v>57</v>
      </c>
      <c r="B59" s="4">
        <v>45936</v>
      </c>
      <c r="C59" s="5" t="s">
        <v>19</v>
      </c>
      <c r="D59" s="6">
        <v>274.89999999999998</v>
      </c>
      <c r="E59" s="6">
        <v>277.60000000000002</v>
      </c>
      <c r="F59" s="6">
        <v>274.7</v>
      </c>
      <c r="G59" s="6">
        <v>277.60000000000002</v>
      </c>
      <c r="H59" s="6">
        <v>274.89999999999998</v>
      </c>
      <c r="I59" s="6">
        <v>277.60000000000002</v>
      </c>
      <c r="J59" s="7">
        <v>2129</v>
      </c>
      <c r="K59" s="6">
        <v>41.881999999999998</v>
      </c>
      <c r="L59" s="7">
        <v>152211</v>
      </c>
    </row>
    <row r="60" spans="1:12">
      <c r="A60" s="3">
        <v>58</v>
      </c>
      <c r="B60" s="4">
        <v>45935</v>
      </c>
      <c r="C60" s="5" t="s">
        <v>19</v>
      </c>
      <c r="D60" s="6">
        <v>277.60000000000002</v>
      </c>
      <c r="E60" s="6">
        <v>278</v>
      </c>
      <c r="F60" s="6">
        <v>275.5</v>
      </c>
      <c r="G60" s="6">
        <v>276.89999999999998</v>
      </c>
      <c r="H60" s="6">
        <v>277.60000000000002</v>
      </c>
      <c r="I60" s="6">
        <v>275.7</v>
      </c>
      <c r="J60" s="6">
        <v>933</v>
      </c>
      <c r="K60" s="6">
        <v>13.561999999999999</v>
      </c>
      <c r="L60" s="7">
        <v>49009</v>
      </c>
    </row>
    <row r="61" spans="1:12">
      <c r="A61" s="3">
        <v>59</v>
      </c>
      <c r="B61" s="4">
        <v>45930</v>
      </c>
      <c r="C61" s="5" t="s">
        <v>19</v>
      </c>
      <c r="D61" s="6">
        <v>275.7</v>
      </c>
      <c r="E61" s="6">
        <v>278.10000000000002</v>
      </c>
      <c r="F61" s="6">
        <v>274.2</v>
      </c>
      <c r="G61" s="6">
        <v>277.60000000000002</v>
      </c>
      <c r="H61" s="6">
        <v>275.7</v>
      </c>
      <c r="I61" s="6">
        <v>278.10000000000002</v>
      </c>
      <c r="J61" s="7">
        <v>2582</v>
      </c>
      <c r="K61" s="6">
        <v>45.423000000000002</v>
      </c>
      <c r="L61" s="7">
        <v>164722</v>
      </c>
    </row>
    <row r="62" spans="1:12">
      <c r="A62" s="3">
        <v>60</v>
      </c>
      <c r="B62" s="4">
        <v>45929</v>
      </c>
      <c r="C62" s="5" t="s">
        <v>19</v>
      </c>
      <c r="D62" s="6">
        <v>278.10000000000002</v>
      </c>
      <c r="E62" s="6">
        <v>280.2</v>
      </c>
      <c r="F62" s="6">
        <v>277</v>
      </c>
      <c r="G62" s="6">
        <v>280</v>
      </c>
      <c r="H62" s="6">
        <v>278.10000000000002</v>
      </c>
      <c r="I62" s="6">
        <v>279.60000000000002</v>
      </c>
      <c r="J62" s="7">
        <v>1099</v>
      </c>
      <c r="K62" s="6">
        <v>17.2</v>
      </c>
      <c r="L62" s="7">
        <v>61743</v>
      </c>
    </row>
    <row r="63" spans="1:12">
      <c r="A63" s="3">
        <v>61</v>
      </c>
      <c r="B63" s="4">
        <v>45928</v>
      </c>
      <c r="C63" s="5" t="s">
        <v>19</v>
      </c>
      <c r="D63" s="6">
        <v>279.60000000000002</v>
      </c>
      <c r="E63" s="6">
        <v>282.10000000000002</v>
      </c>
      <c r="F63" s="6">
        <v>279.10000000000002</v>
      </c>
      <c r="G63" s="6">
        <v>282</v>
      </c>
      <c r="H63" s="6">
        <v>279.60000000000002</v>
      </c>
      <c r="I63" s="6">
        <v>280</v>
      </c>
      <c r="J63" s="6">
        <v>850</v>
      </c>
      <c r="K63" s="6">
        <v>15.483000000000001</v>
      </c>
      <c r="L63" s="7">
        <v>55187</v>
      </c>
    </row>
    <row r="64" spans="1:12">
      <c r="A64" s="3">
        <v>62</v>
      </c>
      <c r="B64" s="4">
        <v>45925</v>
      </c>
      <c r="C64" s="5" t="s">
        <v>19</v>
      </c>
      <c r="D64" s="6">
        <v>280</v>
      </c>
      <c r="E64" s="6">
        <v>281.60000000000002</v>
      </c>
      <c r="F64" s="6">
        <v>276.60000000000002</v>
      </c>
      <c r="G64" s="6">
        <v>280</v>
      </c>
      <c r="H64" s="6">
        <v>280</v>
      </c>
      <c r="I64" s="6">
        <v>279.39999999999998</v>
      </c>
      <c r="J64" s="7">
        <v>1901</v>
      </c>
      <c r="K64" s="6">
        <v>39.93</v>
      </c>
      <c r="L64" s="7">
        <v>143046</v>
      </c>
    </row>
    <row r="65" spans="1:12">
      <c r="A65" s="3">
        <v>63</v>
      </c>
      <c r="B65" s="4">
        <v>45924</v>
      </c>
      <c r="C65" s="5" t="s">
        <v>19</v>
      </c>
      <c r="D65" s="6">
        <v>279.39999999999998</v>
      </c>
      <c r="E65" s="6">
        <v>282</v>
      </c>
      <c r="F65" s="6">
        <v>275</v>
      </c>
      <c r="G65" s="6">
        <v>278.7</v>
      </c>
      <c r="H65" s="6">
        <v>279.39999999999998</v>
      </c>
      <c r="I65" s="6">
        <v>278.7</v>
      </c>
      <c r="J65" s="7">
        <v>1759</v>
      </c>
      <c r="K65" s="6">
        <v>31.774999999999999</v>
      </c>
      <c r="L65" s="7">
        <v>114812</v>
      </c>
    </row>
    <row r="66" spans="1:12">
      <c r="A66" s="3">
        <v>64</v>
      </c>
      <c r="B66" s="4">
        <v>45923</v>
      </c>
      <c r="C66" s="5" t="s">
        <v>19</v>
      </c>
      <c r="D66" s="6">
        <v>278.7</v>
      </c>
      <c r="E66" s="6">
        <v>280</v>
      </c>
      <c r="F66" s="6">
        <v>277.60000000000002</v>
      </c>
      <c r="G66" s="6">
        <v>279</v>
      </c>
      <c r="H66" s="6">
        <v>278.7</v>
      </c>
      <c r="I66" s="6">
        <v>279.2</v>
      </c>
      <c r="J66" s="7">
        <v>1267</v>
      </c>
      <c r="K66" s="6">
        <v>18.832999999999998</v>
      </c>
      <c r="L66" s="7">
        <v>67624</v>
      </c>
    </row>
    <row r="67" spans="1:12">
      <c r="A67" s="3">
        <v>65</v>
      </c>
      <c r="B67" s="4">
        <v>45922</v>
      </c>
      <c r="C67" s="5" t="s">
        <v>19</v>
      </c>
      <c r="D67" s="6">
        <v>279.2</v>
      </c>
      <c r="E67" s="6">
        <v>282.5</v>
      </c>
      <c r="F67" s="6">
        <v>279</v>
      </c>
      <c r="G67" s="6">
        <v>282.5</v>
      </c>
      <c r="H67" s="6">
        <v>279.2</v>
      </c>
      <c r="I67" s="6">
        <v>281</v>
      </c>
      <c r="J67" s="7">
        <v>1433</v>
      </c>
      <c r="K67" s="6">
        <v>29.422000000000001</v>
      </c>
      <c r="L67" s="7">
        <v>105152</v>
      </c>
    </row>
    <row r="68" spans="1:12">
      <c r="A68" s="3">
        <v>66</v>
      </c>
      <c r="B68" s="4">
        <v>45921</v>
      </c>
      <c r="C68" s="5" t="s">
        <v>19</v>
      </c>
      <c r="D68" s="6">
        <v>281</v>
      </c>
      <c r="E68" s="6">
        <v>284</v>
      </c>
      <c r="F68" s="6">
        <v>280</v>
      </c>
      <c r="G68" s="6">
        <v>284</v>
      </c>
      <c r="H68" s="6">
        <v>281</v>
      </c>
      <c r="I68" s="6">
        <v>283.2</v>
      </c>
      <c r="J68" s="7">
        <v>1181</v>
      </c>
      <c r="K68" s="6">
        <v>21.54</v>
      </c>
      <c r="L68" s="7">
        <v>76378</v>
      </c>
    </row>
    <row r="69" spans="1:12">
      <c r="A69" s="3">
        <v>67</v>
      </c>
      <c r="B69" s="4">
        <v>45918</v>
      </c>
      <c r="C69" s="5" t="s">
        <v>19</v>
      </c>
      <c r="D69" s="6">
        <v>283.2</v>
      </c>
      <c r="E69" s="6">
        <v>284</v>
      </c>
      <c r="F69" s="6">
        <v>283</v>
      </c>
      <c r="G69" s="6">
        <v>283.8</v>
      </c>
      <c r="H69" s="6">
        <v>283.2</v>
      </c>
      <c r="I69" s="6">
        <v>283.8</v>
      </c>
      <c r="J69" s="6">
        <v>938</v>
      </c>
      <c r="K69" s="6">
        <v>16.52</v>
      </c>
      <c r="L69" s="7">
        <v>58284</v>
      </c>
    </row>
    <row r="70" spans="1:12">
      <c r="A70" s="3">
        <v>68</v>
      </c>
      <c r="B70" s="4">
        <v>45917</v>
      </c>
      <c r="C70" s="5" t="s">
        <v>19</v>
      </c>
      <c r="D70" s="6">
        <v>283.8</v>
      </c>
      <c r="E70" s="6">
        <v>284.5</v>
      </c>
      <c r="F70" s="6">
        <v>283.5</v>
      </c>
      <c r="G70" s="6">
        <v>284.10000000000002</v>
      </c>
      <c r="H70" s="6">
        <v>283.8</v>
      </c>
      <c r="I70" s="6">
        <v>284.2</v>
      </c>
      <c r="J70" s="7">
        <v>1260</v>
      </c>
      <c r="K70" s="6">
        <v>16.454000000000001</v>
      </c>
      <c r="L70" s="7">
        <v>57965</v>
      </c>
    </row>
    <row r="71" spans="1:12">
      <c r="A71" s="3">
        <v>69</v>
      </c>
      <c r="B71" s="4">
        <v>45916</v>
      </c>
      <c r="C71" s="5" t="s">
        <v>19</v>
      </c>
      <c r="D71" s="6">
        <v>284.2</v>
      </c>
      <c r="E71" s="6">
        <v>286.60000000000002</v>
      </c>
      <c r="F71" s="6">
        <v>283.5</v>
      </c>
      <c r="G71" s="6">
        <v>285</v>
      </c>
      <c r="H71" s="6">
        <v>284.2</v>
      </c>
      <c r="I71" s="6">
        <v>285</v>
      </c>
      <c r="J71" s="7">
        <v>1657</v>
      </c>
      <c r="K71" s="6">
        <v>30.032</v>
      </c>
      <c r="L71" s="7">
        <v>105461</v>
      </c>
    </row>
    <row r="72" spans="1:12">
      <c r="A72" s="3">
        <v>70</v>
      </c>
      <c r="B72" s="4">
        <v>45915</v>
      </c>
      <c r="C72" s="5" t="s">
        <v>19</v>
      </c>
      <c r="D72" s="6">
        <v>285</v>
      </c>
      <c r="E72" s="6">
        <v>285.60000000000002</v>
      </c>
      <c r="F72" s="6">
        <v>284.60000000000002</v>
      </c>
      <c r="G72" s="6">
        <v>285.39999999999998</v>
      </c>
      <c r="H72" s="6">
        <v>285</v>
      </c>
      <c r="I72" s="6">
        <v>285.39999999999998</v>
      </c>
      <c r="J72" s="7">
        <v>1327</v>
      </c>
      <c r="K72" s="6">
        <v>20.675999999999998</v>
      </c>
      <c r="L72" s="7">
        <v>72528</v>
      </c>
    </row>
    <row r="73" spans="1:12">
      <c r="A73" s="3">
        <v>71</v>
      </c>
      <c r="B73" s="4">
        <v>45914</v>
      </c>
      <c r="C73" s="5" t="s">
        <v>19</v>
      </c>
      <c r="D73" s="6">
        <v>285.39999999999998</v>
      </c>
      <c r="E73" s="6">
        <v>289.89999999999998</v>
      </c>
      <c r="F73" s="6">
        <v>285</v>
      </c>
      <c r="G73" s="6">
        <v>287.39999999999998</v>
      </c>
      <c r="H73" s="6">
        <v>285.39999999999998</v>
      </c>
      <c r="I73" s="6">
        <v>287.39999999999998</v>
      </c>
      <c r="J73" s="7">
        <v>1774</v>
      </c>
      <c r="K73" s="6">
        <v>31.491</v>
      </c>
      <c r="L73" s="7">
        <v>110212</v>
      </c>
    </row>
    <row r="74" spans="1:12">
      <c r="A74" s="3">
        <v>72</v>
      </c>
      <c r="B74" s="4">
        <v>45911</v>
      </c>
      <c r="C74" s="5" t="s">
        <v>19</v>
      </c>
      <c r="D74" s="6">
        <v>287.39999999999998</v>
      </c>
      <c r="E74" s="6">
        <v>288.10000000000002</v>
      </c>
      <c r="F74" s="6">
        <v>286.10000000000002</v>
      </c>
      <c r="G74" s="6">
        <v>287.89999999999998</v>
      </c>
      <c r="H74" s="6">
        <v>287.39999999999998</v>
      </c>
      <c r="I74" s="6">
        <v>286.89999999999998</v>
      </c>
      <c r="J74" s="6">
        <v>905</v>
      </c>
      <c r="K74" s="6">
        <v>17.783999999999999</v>
      </c>
      <c r="L74" s="7">
        <v>61953</v>
      </c>
    </row>
    <row r="75" spans="1:12">
      <c r="A75" s="3">
        <v>73</v>
      </c>
      <c r="B75" s="4">
        <v>45910</v>
      </c>
      <c r="C75" s="5" t="s">
        <v>19</v>
      </c>
      <c r="D75" s="6">
        <v>286.89999999999998</v>
      </c>
      <c r="E75" s="6">
        <v>290.89999999999998</v>
      </c>
      <c r="F75" s="6">
        <v>286.39999999999998</v>
      </c>
      <c r="G75" s="6">
        <v>289</v>
      </c>
      <c r="H75" s="6">
        <v>286.89999999999998</v>
      </c>
      <c r="I75" s="6">
        <v>288.89999999999998</v>
      </c>
      <c r="J75" s="7">
        <v>1445</v>
      </c>
      <c r="K75" s="6">
        <v>25.253</v>
      </c>
      <c r="L75" s="7">
        <v>87781</v>
      </c>
    </row>
    <row r="76" spans="1:12">
      <c r="A76" s="3">
        <v>74</v>
      </c>
      <c r="B76" s="4">
        <v>45909</v>
      </c>
      <c r="C76" s="5" t="s">
        <v>19</v>
      </c>
      <c r="D76" s="6">
        <v>288.89999999999998</v>
      </c>
      <c r="E76" s="6">
        <v>293.10000000000002</v>
      </c>
      <c r="F76" s="6">
        <v>288.2</v>
      </c>
      <c r="G76" s="6">
        <v>293</v>
      </c>
      <c r="H76" s="6">
        <v>288.89999999999998</v>
      </c>
      <c r="I76" s="6">
        <v>292.3</v>
      </c>
      <c r="J76" s="7">
        <v>2265</v>
      </c>
      <c r="K76" s="6">
        <v>43.241</v>
      </c>
      <c r="L76" s="7">
        <v>149190</v>
      </c>
    </row>
    <row r="77" spans="1:12">
      <c r="A77" s="3">
        <v>75</v>
      </c>
      <c r="B77" s="4">
        <v>45908</v>
      </c>
      <c r="C77" s="5" t="s">
        <v>19</v>
      </c>
      <c r="D77" s="6">
        <v>292.3</v>
      </c>
      <c r="E77" s="6">
        <v>293.7</v>
      </c>
      <c r="F77" s="6">
        <v>292</v>
      </c>
      <c r="G77" s="6">
        <v>293</v>
      </c>
      <c r="H77" s="6">
        <v>292.3</v>
      </c>
      <c r="I77" s="6">
        <v>292.39999999999998</v>
      </c>
      <c r="J77" s="7">
        <v>1438</v>
      </c>
      <c r="K77" s="6">
        <v>36.613999999999997</v>
      </c>
      <c r="L77" s="7">
        <v>125051</v>
      </c>
    </row>
    <row r="78" spans="1:12">
      <c r="A78" s="3">
        <v>76</v>
      </c>
      <c r="B78" s="4">
        <v>45907</v>
      </c>
      <c r="C78" s="5" t="s">
        <v>19</v>
      </c>
      <c r="D78" s="6">
        <v>292.39999999999998</v>
      </c>
      <c r="E78" s="6">
        <v>294</v>
      </c>
      <c r="F78" s="6">
        <v>291.8</v>
      </c>
      <c r="G78" s="6">
        <v>292.10000000000002</v>
      </c>
      <c r="H78" s="6">
        <v>292.39999999999998</v>
      </c>
      <c r="I78" s="6">
        <v>291.89999999999998</v>
      </c>
      <c r="J78" s="7">
        <v>1559</v>
      </c>
      <c r="K78" s="6">
        <v>36.401000000000003</v>
      </c>
      <c r="L78" s="7">
        <v>124412</v>
      </c>
    </row>
    <row r="79" spans="1:12">
      <c r="A79" s="3">
        <v>77</v>
      </c>
      <c r="B79" s="4">
        <v>45904</v>
      </c>
      <c r="C79" s="5" t="s">
        <v>19</v>
      </c>
      <c r="D79" s="6">
        <v>291.89999999999998</v>
      </c>
      <c r="E79" s="6">
        <v>294</v>
      </c>
      <c r="F79" s="6">
        <v>291.2</v>
      </c>
      <c r="G79" s="6">
        <v>292.7</v>
      </c>
      <c r="H79" s="6">
        <v>291.89999999999998</v>
      </c>
      <c r="I79" s="6">
        <v>292.60000000000002</v>
      </c>
      <c r="J79" s="7">
        <v>1673</v>
      </c>
      <c r="K79" s="6">
        <v>37.222999999999999</v>
      </c>
      <c r="L79" s="7">
        <v>127387</v>
      </c>
    </row>
    <row r="80" spans="1:12">
      <c r="A80" s="3">
        <v>78</v>
      </c>
      <c r="B80" s="4">
        <v>45903</v>
      </c>
      <c r="C80" s="5" t="s">
        <v>19</v>
      </c>
      <c r="D80" s="6">
        <v>292.60000000000002</v>
      </c>
      <c r="E80" s="6">
        <v>295</v>
      </c>
      <c r="F80" s="6">
        <v>292.10000000000002</v>
      </c>
      <c r="G80" s="6">
        <v>294.10000000000002</v>
      </c>
      <c r="H80" s="6">
        <v>292.60000000000002</v>
      </c>
      <c r="I80" s="6">
        <v>293.2</v>
      </c>
      <c r="J80" s="7">
        <v>1617</v>
      </c>
      <c r="K80" s="6">
        <v>38.776000000000003</v>
      </c>
      <c r="L80" s="7">
        <v>132318</v>
      </c>
    </row>
    <row r="81" spans="1:12">
      <c r="A81" s="3">
        <v>79</v>
      </c>
      <c r="B81" s="4">
        <v>45902</v>
      </c>
      <c r="C81" s="5" t="s">
        <v>19</v>
      </c>
      <c r="D81" s="6">
        <v>293.2</v>
      </c>
      <c r="E81" s="6">
        <v>294.5</v>
      </c>
      <c r="F81" s="6">
        <v>292.5</v>
      </c>
      <c r="G81" s="6">
        <v>294.5</v>
      </c>
      <c r="H81" s="6">
        <v>293.2</v>
      </c>
      <c r="I81" s="6">
        <v>294.5</v>
      </c>
      <c r="J81" s="7">
        <v>1548</v>
      </c>
      <c r="K81" s="6">
        <v>42.326000000000001</v>
      </c>
      <c r="L81" s="7">
        <v>144382</v>
      </c>
    </row>
    <row r="82" spans="1:12">
      <c r="A82" s="3">
        <v>80</v>
      </c>
      <c r="B82" s="4">
        <v>45901</v>
      </c>
      <c r="C82" s="5" t="s">
        <v>19</v>
      </c>
      <c r="D82" s="6">
        <v>294.5</v>
      </c>
      <c r="E82" s="6">
        <v>302</v>
      </c>
      <c r="F82" s="6">
        <v>293.8</v>
      </c>
      <c r="G82" s="6">
        <v>298</v>
      </c>
      <c r="H82" s="6">
        <v>294.5</v>
      </c>
      <c r="I82" s="6">
        <v>297.7</v>
      </c>
      <c r="J82" s="7">
        <v>2632</v>
      </c>
      <c r="K82" s="6">
        <v>70.844999999999999</v>
      </c>
      <c r="L82" s="7">
        <v>238719</v>
      </c>
    </row>
    <row r="83" spans="1:12">
      <c r="A83" s="3">
        <v>81</v>
      </c>
      <c r="B83" s="4">
        <v>45900</v>
      </c>
      <c r="C83" s="5" t="s">
        <v>19</v>
      </c>
      <c r="D83" s="6">
        <v>297.7</v>
      </c>
      <c r="E83" s="6">
        <v>298.39999999999998</v>
      </c>
      <c r="F83" s="6">
        <v>291.5</v>
      </c>
      <c r="G83" s="6">
        <v>292</v>
      </c>
      <c r="H83" s="6">
        <v>297.7</v>
      </c>
      <c r="I83" s="6">
        <v>290.10000000000002</v>
      </c>
      <c r="J83" s="7">
        <v>2856</v>
      </c>
      <c r="K83" s="6">
        <v>75.59</v>
      </c>
      <c r="L83" s="7">
        <v>255523</v>
      </c>
    </row>
    <row r="84" spans="1:12">
      <c r="A84" s="3">
        <v>82</v>
      </c>
      <c r="B84" s="4">
        <v>45897</v>
      </c>
      <c r="C84" s="5" t="s">
        <v>19</v>
      </c>
      <c r="D84" s="6">
        <v>290.10000000000002</v>
      </c>
      <c r="E84" s="6">
        <v>291.39999999999998</v>
      </c>
      <c r="F84" s="6">
        <v>285.39999999999998</v>
      </c>
      <c r="G84" s="6">
        <v>286</v>
      </c>
      <c r="H84" s="6">
        <v>290.10000000000002</v>
      </c>
      <c r="I84" s="6">
        <v>285.39999999999998</v>
      </c>
      <c r="J84" s="7">
        <v>2113</v>
      </c>
      <c r="K84" s="6">
        <v>50.225000000000001</v>
      </c>
      <c r="L84" s="7">
        <v>173674</v>
      </c>
    </row>
    <row r="85" spans="1:12">
      <c r="A85" s="3">
        <v>83</v>
      </c>
      <c r="B85" s="4">
        <v>45896</v>
      </c>
      <c r="C85" s="5" t="s">
        <v>19</v>
      </c>
      <c r="D85" s="6">
        <v>285.39999999999998</v>
      </c>
      <c r="E85" s="6">
        <v>287</v>
      </c>
      <c r="F85" s="6">
        <v>285</v>
      </c>
      <c r="G85" s="6">
        <v>286.10000000000002</v>
      </c>
      <c r="H85" s="6">
        <v>285.39999999999998</v>
      </c>
      <c r="I85" s="6">
        <v>286.5</v>
      </c>
      <c r="J85" s="7">
        <v>1566</v>
      </c>
      <c r="K85" s="6">
        <v>31.786000000000001</v>
      </c>
      <c r="L85" s="7">
        <v>111231</v>
      </c>
    </row>
    <row r="86" spans="1:12">
      <c r="A86" s="3">
        <v>84</v>
      </c>
      <c r="B86" s="4">
        <v>45895</v>
      </c>
      <c r="C86" s="5" t="s">
        <v>19</v>
      </c>
      <c r="D86" s="6">
        <v>286.5</v>
      </c>
      <c r="E86" s="6">
        <v>291</v>
      </c>
      <c r="F86" s="6">
        <v>285.10000000000002</v>
      </c>
      <c r="G86" s="6">
        <v>290.89999999999998</v>
      </c>
      <c r="H86" s="6">
        <v>286.5</v>
      </c>
      <c r="I86" s="6">
        <v>289.3</v>
      </c>
      <c r="J86" s="7">
        <v>2202</v>
      </c>
      <c r="K86" s="6">
        <v>51.313000000000002</v>
      </c>
      <c r="L86" s="7">
        <v>177979</v>
      </c>
    </row>
    <row r="87" spans="1:12">
      <c r="A87" s="3">
        <v>85</v>
      </c>
      <c r="B87" s="4">
        <v>45894</v>
      </c>
      <c r="C87" s="5" t="s">
        <v>19</v>
      </c>
      <c r="D87" s="6">
        <v>289.3</v>
      </c>
      <c r="E87" s="6">
        <v>290.5</v>
      </c>
      <c r="F87" s="6">
        <v>286</v>
      </c>
      <c r="G87" s="6">
        <v>289.8</v>
      </c>
      <c r="H87" s="6">
        <v>289.3</v>
      </c>
      <c r="I87" s="6">
        <v>287</v>
      </c>
      <c r="J87" s="7">
        <v>1862</v>
      </c>
      <c r="K87" s="6">
        <v>49.427</v>
      </c>
      <c r="L87" s="7">
        <v>171150</v>
      </c>
    </row>
    <row r="88" spans="1:12">
      <c r="A88" s="3">
        <v>86</v>
      </c>
      <c r="B88" s="4">
        <v>45893</v>
      </c>
      <c r="C88" s="5" t="s">
        <v>19</v>
      </c>
      <c r="D88" s="6">
        <v>287</v>
      </c>
      <c r="E88" s="6">
        <v>290</v>
      </c>
      <c r="F88" s="6">
        <v>286</v>
      </c>
      <c r="G88" s="6">
        <v>287</v>
      </c>
      <c r="H88" s="6">
        <v>287</v>
      </c>
      <c r="I88" s="6">
        <v>286.2</v>
      </c>
      <c r="J88" s="7">
        <v>1264</v>
      </c>
      <c r="K88" s="6">
        <v>27.876000000000001</v>
      </c>
      <c r="L88" s="7">
        <v>97072</v>
      </c>
    </row>
    <row r="89" spans="1:12">
      <c r="A89" s="3">
        <v>87</v>
      </c>
      <c r="B89" s="4">
        <v>45890</v>
      </c>
      <c r="C89" s="5" t="s">
        <v>19</v>
      </c>
      <c r="D89" s="6">
        <v>286.2</v>
      </c>
      <c r="E89" s="6">
        <v>288.2</v>
      </c>
      <c r="F89" s="6">
        <v>285</v>
      </c>
      <c r="G89" s="6">
        <v>287.10000000000002</v>
      </c>
      <c r="H89" s="6">
        <v>286.2</v>
      </c>
      <c r="I89" s="6">
        <v>286.60000000000002</v>
      </c>
      <c r="J89" s="7">
        <v>1555</v>
      </c>
      <c r="K89" s="6">
        <v>32.453000000000003</v>
      </c>
      <c r="L89" s="7">
        <v>113371</v>
      </c>
    </row>
    <row r="90" spans="1:12">
      <c r="A90" s="3">
        <v>88</v>
      </c>
      <c r="B90" s="4">
        <v>45889</v>
      </c>
      <c r="C90" s="5" t="s">
        <v>19</v>
      </c>
      <c r="D90" s="6">
        <v>286.60000000000002</v>
      </c>
      <c r="E90" s="6">
        <v>288.5</v>
      </c>
      <c r="F90" s="6">
        <v>286.10000000000002</v>
      </c>
      <c r="G90" s="6">
        <v>288.5</v>
      </c>
      <c r="H90" s="6">
        <v>286.60000000000002</v>
      </c>
      <c r="I90" s="6">
        <v>288.39999999999998</v>
      </c>
      <c r="J90" s="7">
        <v>2152</v>
      </c>
      <c r="K90" s="6">
        <v>44.417000000000002</v>
      </c>
      <c r="L90" s="7">
        <v>154595</v>
      </c>
    </row>
    <row r="91" spans="1:12">
      <c r="A91" s="3">
        <v>89</v>
      </c>
      <c r="B91" s="4">
        <v>45888</v>
      </c>
      <c r="C91" s="5" t="s">
        <v>19</v>
      </c>
      <c r="D91" s="6">
        <v>288.39999999999998</v>
      </c>
      <c r="E91" s="6">
        <v>290.5</v>
      </c>
      <c r="F91" s="6">
        <v>288.10000000000002</v>
      </c>
      <c r="G91" s="6">
        <v>290</v>
      </c>
      <c r="H91" s="6">
        <v>288.39999999999998</v>
      </c>
      <c r="I91" s="6">
        <v>289.60000000000002</v>
      </c>
      <c r="J91" s="7">
        <v>1943</v>
      </c>
      <c r="K91" s="6">
        <v>50.088000000000001</v>
      </c>
      <c r="L91" s="7">
        <v>173441</v>
      </c>
    </row>
    <row r="92" spans="1:12">
      <c r="A92" s="3">
        <v>90</v>
      </c>
      <c r="B92" s="4">
        <v>45887</v>
      </c>
      <c r="C92" s="5" t="s">
        <v>19</v>
      </c>
      <c r="D92" s="6">
        <v>289.60000000000002</v>
      </c>
      <c r="E92" s="6">
        <v>291.5</v>
      </c>
      <c r="F92" s="6">
        <v>289.10000000000002</v>
      </c>
      <c r="G92" s="6">
        <v>291</v>
      </c>
      <c r="H92" s="6">
        <v>289.60000000000002</v>
      </c>
      <c r="I92" s="6">
        <v>290.10000000000002</v>
      </c>
      <c r="J92" s="7">
        <v>2065</v>
      </c>
      <c r="K92" s="6">
        <v>55.655999999999999</v>
      </c>
      <c r="L92" s="7">
        <v>192020</v>
      </c>
    </row>
    <row r="93" spans="1:12">
      <c r="A93" s="3">
        <v>91</v>
      </c>
      <c r="B93" s="4">
        <v>45886</v>
      </c>
      <c r="C93" s="5" t="s">
        <v>19</v>
      </c>
      <c r="D93" s="6">
        <v>290.10000000000002</v>
      </c>
      <c r="E93" s="6">
        <v>293</v>
      </c>
      <c r="F93" s="6">
        <v>289.3</v>
      </c>
      <c r="G93" s="6">
        <v>292.89999999999998</v>
      </c>
      <c r="H93" s="6">
        <v>290.10000000000002</v>
      </c>
      <c r="I93" s="6">
        <v>292.60000000000002</v>
      </c>
      <c r="J93" s="7">
        <v>1895</v>
      </c>
      <c r="K93" s="6">
        <v>44.298000000000002</v>
      </c>
      <c r="L93" s="7">
        <v>152620</v>
      </c>
    </row>
    <row r="94" spans="1:12">
      <c r="A94" s="3">
        <v>92</v>
      </c>
      <c r="B94" s="4">
        <v>45883</v>
      </c>
      <c r="C94" s="5" t="s">
        <v>19</v>
      </c>
      <c r="D94" s="6">
        <v>292.60000000000002</v>
      </c>
      <c r="E94" s="6">
        <v>295.3</v>
      </c>
      <c r="F94" s="6">
        <v>291.5</v>
      </c>
      <c r="G94" s="6">
        <v>292.2</v>
      </c>
      <c r="H94" s="6">
        <v>292.60000000000002</v>
      </c>
      <c r="I94" s="6">
        <v>290.60000000000002</v>
      </c>
      <c r="J94" s="7">
        <v>1516</v>
      </c>
      <c r="K94" s="6">
        <v>41.91</v>
      </c>
      <c r="L94" s="7">
        <v>142880</v>
      </c>
    </row>
    <row r="95" spans="1:12">
      <c r="A95" s="3">
        <v>93</v>
      </c>
      <c r="B95" s="4">
        <v>45882</v>
      </c>
      <c r="C95" s="5" t="s">
        <v>19</v>
      </c>
      <c r="D95" s="6">
        <v>290.60000000000002</v>
      </c>
      <c r="E95" s="6">
        <v>292.8</v>
      </c>
      <c r="F95" s="6">
        <v>287</v>
      </c>
      <c r="G95" s="6">
        <v>288.60000000000002</v>
      </c>
      <c r="H95" s="6">
        <v>290.60000000000002</v>
      </c>
      <c r="I95" s="6">
        <v>288.60000000000002</v>
      </c>
      <c r="J95" s="6">
        <v>947</v>
      </c>
      <c r="K95" s="6">
        <v>23.716999999999999</v>
      </c>
      <c r="L95" s="7">
        <v>81679</v>
      </c>
    </row>
    <row r="96" spans="1:12">
      <c r="A96" s="3">
        <v>94</v>
      </c>
      <c r="B96" s="4">
        <v>45881</v>
      </c>
      <c r="C96" s="5" t="s">
        <v>19</v>
      </c>
      <c r="D96" s="6">
        <v>288.60000000000002</v>
      </c>
      <c r="E96" s="6">
        <v>295.2</v>
      </c>
      <c r="F96" s="6">
        <v>288</v>
      </c>
      <c r="G96" s="6">
        <v>295.2</v>
      </c>
      <c r="H96" s="6">
        <v>288.60000000000002</v>
      </c>
      <c r="I96" s="6">
        <v>291.10000000000002</v>
      </c>
      <c r="J96" s="7">
        <v>2291</v>
      </c>
      <c r="K96" s="6">
        <v>45.088999999999999</v>
      </c>
      <c r="L96" s="7">
        <v>155173</v>
      </c>
    </row>
    <row r="97" spans="1:12">
      <c r="A97" s="3">
        <v>95</v>
      </c>
      <c r="B97" s="4">
        <v>45880</v>
      </c>
      <c r="C97" s="5" t="s">
        <v>19</v>
      </c>
      <c r="D97" s="6">
        <v>291.10000000000002</v>
      </c>
      <c r="E97" s="6">
        <v>297</v>
      </c>
      <c r="F97" s="6">
        <v>290.3</v>
      </c>
      <c r="G97" s="6">
        <v>294.39999999999998</v>
      </c>
      <c r="H97" s="6">
        <v>291.10000000000002</v>
      </c>
      <c r="I97" s="6">
        <v>294.39999999999998</v>
      </c>
      <c r="J97" s="7">
        <v>1886</v>
      </c>
      <c r="K97" s="6">
        <v>44.015999999999998</v>
      </c>
      <c r="L97" s="7">
        <v>150090</v>
      </c>
    </row>
    <row r="98" spans="1:12">
      <c r="A98" s="3">
        <v>96</v>
      </c>
      <c r="B98" s="4">
        <v>45879</v>
      </c>
      <c r="C98" s="5" t="s">
        <v>19</v>
      </c>
      <c r="D98" s="6">
        <v>294.39999999999998</v>
      </c>
      <c r="E98" s="6">
        <v>298</v>
      </c>
      <c r="F98" s="6">
        <v>293.60000000000002</v>
      </c>
      <c r="G98" s="6">
        <v>297.10000000000002</v>
      </c>
      <c r="H98" s="6">
        <v>294.39999999999998</v>
      </c>
      <c r="I98" s="6">
        <v>297</v>
      </c>
      <c r="J98" s="7">
        <v>1614</v>
      </c>
      <c r="K98" s="6">
        <v>36.505000000000003</v>
      </c>
      <c r="L98" s="7">
        <v>123664</v>
      </c>
    </row>
    <row r="99" spans="1:12">
      <c r="A99" s="3">
        <v>97</v>
      </c>
      <c r="B99" s="4">
        <v>45876</v>
      </c>
      <c r="C99" s="5" t="s">
        <v>19</v>
      </c>
      <c r="D99" s="6">
        <v>297</v>
      </c>
      <c r="E99" s="6">
        <v>302.5</v>
      </c>
      <c r="F99" s="6">
        <v>295</v>
      </c>
      <c r="G99" s="6">
        <v>299.2</v>
      </c>
      <c r="H99" s="6">
        <v>297</v>
      </c>
      <c r="I99" s="6">
        <v>299.2</v>
      </c>
      <c r="J99" s="7">
        <v>1742</v>
      </c>
      <c r="K99" s="6">
        <v>43.241</v>
      </c>
      <c r="L99" s="7">
        <v>145290</v>
      </c>
    </row>
    <row r="100" spans="1:12">
      <c r="A100" s="3">
        <v>98</v>
      </c>
      <c r="B100" s="4">
        <v>45875</v>
      </c>
      <c r="C100" s="5" t="s">
        <v>19</v>
      </c>
      <c r="D100" s="6">
        <v>299.2</v>
      </c>
      <c r="E100" s="6">
        <v>304</v>
      </c>
      <c r="F100" s="6">
        <v>298.10000000000002</v>
      </c>
      <c r="G100" s="6">
        <v>304</v>
      </c>
      <c r="H100" s="6">
        <v>299.2</v>
      </c>
      <c r="I100" s="6">
        <v>300</v>
      </c>
      <c r="J100" s="7">
        <v>1751</v>
      </c>
      <c r="K100" s="6">
        <v>55.774999999999999</v>
      </c>
      <c r="L100" s="7">
        <v>185573</v>
      </c>
    </row>
    <row r="101" spans="1:12">
      <c r="A101" s="3">
        <v>99</v>
      </c>
      <c r="B101" s="4">
        <v>45873</v>
      </c>
      <c r="C101" s="5" t="s">
        <v>19</v>
      </c>
      <c r="D101" s="6">
        <v>300</v>
      </c>
      <c r="E101" s="6">
        <v>307</v>
      </c>
      <c r="F101" s="6">
        <v>299.7</v>
      </c>
      <c r="G101" s="6">
        <v>307</v>
      </c>
      <c r="H101" s="6">
        <v>300</v>
      </c>
      <c r="I101" s="6">
        <v>306.60000000000002</v>
      </c>
      <c r="J101" s="7">
        <v>3223</v>
      </c>
      <c r="K101" s="6">
        <v>100.432</v>
      </c>
      <c r="L101" s="7">
        <v>332578</v>
      </c>
    </row>
    <row r="102" spans="1:12">
      <c r="A102" s="3">
        <v>100</v>
      </c>
      <c r="B102" s="4">
        <v>45872</v>
      </c>
      <c r="C102" s="5" t="s">
        <v>19</v>
      </c>
      <c r="D102" s="6">
        <v>306.60000000000002</v>
      </c>
      <c r="E102" s="6">
        <v>309.7</v>
      </c>
      <c r="F102" s="6">
        <v>303</v>
      </c>
      <c r="G102" s="6">
        <v>303</v>
      </c>
      <c r="H102" s="6">
        <v>306.60000000000002</v>
      </c>
      <c r="I102" s="6">
        <v>302.3</v>
      </c>
      <c r="J102" s="7">
        <v>2723</v>
      </c>
      <c r="K102" s="6">
        <v>122.31100000000001</v>
      </c>
      <c r="L102" s="7">
        <v>398499</v>
      </c>
    </row>
    <row r="103" spans="1:12">
      <c r="A103" s="3">
        <v>101</v>
      </c>
      <c r="B103" s="4">
        <v>45869</v>
      </c>
      <c r="C103" s="5" t="s">
        <v>19</v>
      </c>
      <c r="D103" s="6">
        <v>302.3</v>
      </c>
      <c r="E103" s="6">
        <v>306</v>
      </c>
      <c r="F103" s="6">
        <v>288.10000000000002</v>
      </c>
      <c r="G103" s="6">
        <v>289.89999999999998</v>
      </c>
      <c r="H103" s="6">
        <v>302.3</v>
      </c>
      <c r="I103" s="6">
        <v>287.89999999999998</v>
      </c>
      <c r="J103" s="7">
        <v>5566</v>
      </c>
      <c r="K103" s="6">
        <v>361.94400000000002</v>
      </c>
      <c r="L103" s="7">
        <v>1217969</v>
      </c>
    </row>
    <row r="104" spans="1:12">
      <c r="A104" s="3">
        <v>102</v>
      </c>
      <c r="B104" s="4">
        <v>45868</v>
      </c>
      <c r="C104" s="5" t="s">
        <v>19</v>
      </c>
      <c r="D104" s="6">
        <v>287.89999999999998</v>
      </c>
      <c r="E104" s="6">
        <v>292.7</v>
      </c>
      <c r="F104" s="6">
        <v>285.7</v>
      </c>
      <c r="G104" s="6">
        <v>285.7</v>
      </c>
      <c r="H104" s="6">
        <v>287.89999999999998</v>
      </c>
      <c r="I104" s="6">
        <v>285.7</v>
      </c>
      <c r="J104" s="7">
        <v>2960</v>
      </c>
      <c r="K104" s="6">
        <v>86.504999999999995</v>
      </c>
      <c r="L104" s="7">
        <v>299066</v>
      </c>
    </row>
    <row r="105" spans="1:12">
      <c r="A105" s="3">
        <v>103</v>
      </c>
      <c r="B105" s="4">
        <v>45867</v>
      </c>
      <c r="C105" s="5" t="s">
        <v>19</v>
      </c>
      <c r="D105" s="6">
        <v>285.7</v>
      </c>
      <c r="E105" s="6">
        <v>290.89999999999998</v>
      </c>
      <c r="F105" s="6">
        <v>285.10000000000002</v>
      </c>
      <c r="G105" s="6">
        <v>290</v>
      </c>
      <c r="H105" s="6">
        <v>285.7</v>
      </c>
      <c r="I105" s="6">
        <v>289.8</v>
      </c>
      <c r="J105" s="7">
        <v>3777</v>
      </c>
      <c r="K105" s="6">
        <v>107.91800000000001</v>
      </c>
      <c r="L105" s="7">
        <v>376915</v>
      </c>
    </row>
    <row r="106" spans="1:12">
      <c r="A106" s="3">
        <v>104</v>
      </c>
      <c r="B106" s="4">
        <v>45866</v>
      </c>
      <c r="C106" s="5" t="s">
        <v>19</v>
      </c>
      <c r="D106" s="6">
        <v>289.8</v>
      </c>
      <c r="E106" s="6">
        <v>299</v>
      </c>
      <c r="F106" s="6">
        <v>288</v>
      </c>
      <c r="G106" s="6">
        <v>297.5</v>
      </c>
      <c r="H106" s="6">
        <v>289.8</v>
      </c>
      <c r="I106" s="6">
        <v>296.2</v>
      </c>
      <c r="J106" s="7">
        <v>4141</v>
      </c>
      <c r="K106" s="6">
        <v>106.29</v>
      </c>
      <c r="L106" s="7">
        <v>363444</v>
      </c>
    </row>
    <row r="107" spans="1:12">
      <c r="A107" s="3">
        <v>105</v>
      </c>
      <c r="B107" s="4">
        <v>45865</v>
      </c>
      <c r="C107" s="5" t="s">
        <v>19</v>
      </c>
      <c r="D107" s="6">
        <v>296.2</v>
      </c>
      <c r="E107" s="6">
        <v>305</v>
      </c>
      <c r="F107" s="6">
        <v>293.7</v>
      </c>
      <c r="G107" s="6">
        <v>301</v>
      </c>
      <c r="H107" s="6">
        <v>296.2</v>
      </c>
      <c r="I107" s="6">
        <v>321.8</v>
      </c>
      <c r="J107" s="7">
        <v>7863</v>
      </c>
      <c r="K107" s="6">
        <v>393.399</v>
      </c>
      <c r="L107" s="7">
        <v>1329294</v>
      </c>
    </row>
    <row r="108" spans="1:12">
      <c r="A108" s="3">
        <v>106</v>
      </c>
      <c r="B108" s="4">
        <v>45862</v>
      </c>
      <c r="C108" s="5" t="s">
        <v>19</v>
      </c>
      <c r="D108" s="6">
        <v>321.8</v>
      </c>
      <c r="E108" s="6">
        <v>331</v>
      </c>
      <c r="F108" s="6">
        <v>318.39999999999998</v>
      </c>
      <c r="G108" s="6">
        <v>329.9</v>
      </c>
      <c r="H108" s="6">
        <v>321.8</v>
      </c>
      <c r="I108" s="6">
        <v>328.6</v>
      </c>
      <c r="J108" s="7">
        <v>5198</v>
      </c>
      <c r="K108" s="6">
        <v>273.666</v>
      </c>
      <c r="L108" s="7">
        <v>841930</v>
      </c>
    </row>
    <row r="109" spans="1:12">
      <c r="A109" s="3">
        <v>107</v>
      </c>
      <c r="B109" s="4">
        <v>45861</v>
      </c>
      <c r="C109" s="5" t="s">
        <v>19</v>
      </c>
      <c r="D109" s="6">
        <v>328.6</v>
      </c>
      <c r="E109" s="6">
        <v>338.9</v>
      </c>
      <c r="F109" s="6">
        <v>313.2</v>
      </c>
      <c r="G109" s="6">
        <v>314</v>
      </c>
      <c r="H109" s="6">
        <v>328.6</v>
      </c>
      <c r="I109" s="6">
        <v>312.7</v>
      </c>
      <c r="J109" s="7">
        <v>7556</v>
      </c>
      <c r="K109" s="6">
        <v>356.00700000000001</v>
      </c>
      <c r="L109" s="7">
        <v>1090144</v>
      </c>
    </row>
    <row r="110" spans="1:12">
      <c r="A110" s="3">
        <v>108</v>
      </c>
      <c r="B110" s="4">
        <v>45860</v>
      </c>
      <c r="C110" s="5" t="s">
        <v>19</v>
      </c>
      <c r="D110" s="6">
        <v>312.7</v>
      </c>
      <c r="E110" s="6">
        <v>314.10000000000002</v>
      </c>
      <c r="F110" s="6">
        <v>299.7</v>
      </c>
      <c r="G110" s="6">
        <v>304</v>
      </c>
      <c r="H110" s="6">
        <v>312.7</v>
      </c>
      <c r="I110" s="6">
        <v>300</v>
      </c>
      <c r="J110" s="7">
        <v>4042</v>
      </c>
      <c r="K110" s="6">
        <v>152.589</v>
      </c>
      <c r="L110" s="7">
        <v>500105</v>
      </c>
    </row>
    <row r="111" spans="1:12">
      <c r="A111" s="3">
        <v>109</v>
      </c>
      <c r="B111" s="4">
        <v>45859</v>
      </c>
      <c r="C111" s="5" t="s">
        <v>19</v>
      </c>
      <c r="D111" s="6">
        <v>300</v>
      </c>
      <c r="E111" s="6">
        <v>305.39999999999998</v>
      </c>
      <c r="F111" s="6">
        <v>291</v>
      </c>
      <c r="G111" s="6">
        <v>291</v>
      </c>
      <c r="H111" s="6">
        <v>300</v>
      </c>
      <c r="I111" s="6">
        <v>290.10000000000002</v>
      </c>
      <c r="J111" s="7">
        <v>4831</v>
      </c>
      <c r="K111" s="6">
        <v>176.053</v>
      </c>
      <c r="L111" s="7">
        <v>588074</v>
      </c>
    </row>
    <row r="112" spans="1:12">
      <c r="A112" s="3">
        <v>110</v>
      </c>
      <c r="B112" s="4">
        <v>45858</v>
      </c>
      <c r="C112" s="5" t="s">
        <v>19</v>
      </c>
      <c r="D112" s="6">
        <v>290.10000000000002</v>
      </c>
      <c r="E112" s="6">
        <v>291</v>
      </c>
      <c r="F112" s="6">
        <v>285.3</v>
      </c>
      <c r="G112" s="6">
        <v>285.5</v>
      </c>
      <c r="H112" s="6">
        <v>290.10000000000002</v>
      </c>
      <c r="I112" s="6">
        <v>284.8</v>
      </c>
      <c r="J112" s="7">
        <v>3001</v>
      </c>
      <c r="K112" s="6">
        <v>87.313000000000002</v>
      </c>
      <c r="L112" s="7">
        <v>301918</v>
      </c>
    </row>
    <row r="113" spans="1:12">
      <c r="A113" s="3">
        <v>111</v>
      </c>
      <c r="B113" s="4">
        <v>45855</v>
      </c>
      <c r="C113" s="5" t="s">
        <v>19</v>
      </c>
      <c r="D113" s="6">
        <v>284.8</v>
      </c>
      <c r="E113" s="6">
        <v>286.8</v>
      </c>
      <c r="F113" s="6">
        <v>282.89999999999998</v>
      </c>
      <c r="G113" s="6">
        <v>285.10000000000002</v>
      </c>
      <c r="H113" s="6">
        <v>284.8</v>
      </c>
      <c r="I113" s="6">
        <v>283.7</v>
      </c>
      <c r="J113" s="7">
        <v>2778</v>
      </c>
      <c r="K113" s="6">
        <v>106.65300000000001</v>
      </c>
      <c r="L113" s="7">
        <v>375505</v>
      </c>
    </row>
    <row r="114" spans="1:12">
      <c r="A114" s="3">
        <v>112</v>
      </c>
      <c r="B114" s="4">
        <v>45854</v>
      </c>
      <c r="C114" s="5" t="s">
        <v>19</v>
      </c>
      <c r="D114" s="6">
        <v>283.7</v>
      </c>
      <c r="E114" s="6">
        <v>285</v>
      </c>
      <c r="F114" s="6">
        <v>280</v>
      </c>
      <c r="G114" s="6">
        <v>281</v>
      </c>
      <c r="H114" s="6">
        <v>283.7</v>
      </c>
      <c r="I114" s="6">
        <v>280.2</v>
      </c>
      <c r="J114" s="7">
        <v>1543</v>
      </c>
      <c r="K114" s="6">
        <v>44.764000000000003</v>
      </c>
      <c r="L114" s="7">
        <v>159008</v>
      </c>
    </row>
    <row r="115" spans="1:12">
      <c r="A115" s="3">
        <v>113</v>
      </c>
      <c r="B115" s="4">
        <v>45853</v>
      </c>
      <c r="C115" s="5" t="s">
        <v>19</v>
      </c>
      <c r="D115" s="6">
        <v>280.2</v>
      </c>
      <c r="E115" s="6">
        <v>282.5</v>
      </c>
      <c r="F115" s="6">
        <v>280</v>
      </c>
      <c r="G115" s="6">
        <v>281.8</v>
      </c>
      <c r="H115" s="6">
        <v>280.2</v>
      </c>
      <c r="I115" s="6">
        <v>282</v>
      </c>
      <c r="J115" s="7">
        <v>2634</v>
      </c>
      <c r="K115" s="6">
        <v>78.123999999999995</v>
      </c>
      <c r="L115" s="7">
        <v>278195</v>
      </c>
    </row>
    <row r="116" spans="1:12">
      <c r="A116" s="3">
        <v>114</v>
      </c>
      <c r="B116" s="4">
        <v>45852</v>
      </c>
      <c r="C116" s="5" t="s">
        <v>19</v>
      </c>
      <c r="D116" s="6">
        <v>282</v>
      </c>
      <c r="E116" s="6">
        <v>287</v>
      </c>
      <c r="F116" s="6">
        <v>280.5</v>
      </c>
      <c r="G116" s="6">
        <v>287</v>
      </c>
      <c r="H116" s="6">
        <v>282</v>
      </c>
      <c r="I116" s="6">
        <v>286.8</v>
      </c>
      <c r="J116" s="7">
        <v>2413</v>
      </c>
      <c r="K116" s="6">
        <v>91.247</v>
      </c>
      <c r="L116" s="7">
        <v>322067</v>
      </c>
    </row>
    <row r="117" spans="1:12">
      <c r="A117" s="3">
        <v>115</v>
      </c>
      <c r="B117" s="4">
        <v>45851</v>
      </c>
      <c r="C117" s="5" t="s">
        <v>19</v>
      </c>
      <c r="D117" s="6">
        <v>286.8</v>
      </c>
      <c r="E117" s="6">
        <v>288.10000000000002</v>
      </c>
      <c r="F117" s="6">
        <v>282</v>
      </c>
      <c r="G117" s="6">
        <v>283.5</v>
      </c>
      <c r="H117" s="6">
        <v>286.8</v>
      </c>
      <c r="I117" s="6">
        <v>282.5</v>
      </c>
      <c r="J117" s="7">
        <v>1729</v>
      </c>
      <c r="K117" s="6">
        <v>42.652999999999999</v>
      </c>
      <c r="L117" s="7">
        <v>149694</v>
      </c>
    </row>
    <row r="118" spans="1:12">
      <c r="A118" s="3">
        <v>116</v>
      </c>
      <c r="B118" s="4">
        <v>45848</v>
      </c>
      <c r="C118" s="5" t="s">
        <v>19</v>
      </c>
      <c r="D118" s="6">
        <v>282.5</v>
      </c>
      <c r="E118" s="6">
        <v>284.39999999999998</v>
      </c>
      <c r="F118" s="6">
        <v>281</v>
      </c>
      <c r="G118" s="6">
        <v>283.7</v>
      </c>
      <c r="H118" s="6">
        <v>282.5</v>
      </c>
      <c r="I118" s="6">
        <v>283.7</v>
      </c>
      <c r="J118" s="7">
        <v>1939</v>
      </c>
      <c r="K118" s="6">
        <v>51.988999999999997</v>
      </c>
      <c r="L118" s="7">
        <v>184137</v>
      </c>
    </row>
    <row r="119" spans="1:12">
      <c r="A119" s="3">
        <v>117</v>
      </c>
      <c r="B119" s="4">
        <v>45847</v>
      </c>
      <c r="C119" s="5" t="s">
        <v>19</v>
      </c>
      <c r="D119" s="6">
        <v>283.7</v>
      </c>
      <c r="E119" s="6">
        <v>284.39999999999998</v>
      </c>
      <c r="F119" s="6">
        <v>279.2</v>
      </c>
      <c r="G119" s="6">
        <v>280</v>
      </c>
      <c r="H119" s="6">
        <v>283.7</v>
      </c>
      <c r="I119" s="6">
        <v>280</v>
      </c>
      <c r="J119" s="7">
        <v>1463</v>
      </c>
      <c r="K119" s="6">
        <v>36.020000000000003</v>
      </c>
      <c r="L119" s="7">
        <v>127772</v>
      </c>
    </row>
    <row r="120" spans="1:12">
      <c r="A120" s="3">
        <v>118</v>
      </c>
      <c r="B120" s="4">
        <v>45846</v>
      </c>
      <c r="C120" s="5" t="s">
        <v>19</v>
      </c>
      <c r="D120" s="6">
        <v>280</v>
      </c>
      <c r="E120" s="6">
        <v>281.3</v>
      </c>
      <c r="F120" s="6">
        <v>278.8</v>
      </c>
      <c r="G120" s="6">
        <v>281.3</v>
      </c>
      <c r="H120" s="6">
        <v>280</v>
      </c>
      <c r="I120" s="6">
        <v>281.3</v>
      </c>
      <c r="J120" s="7">
        <v>1353</v>
      </c>
      <c r="K120" s="6">
        <v>28.056000000000001</v>
      </c>
      <c r="L120" s="7">
        <v>100270</v>
      </c>
    </row>
    <row r="121" spans="1:12">
      <c r="A121" s="3">
        <v>119</v>
      </c>
      <c r="B121" s="4">
        <v>45845</v>
      </c>
      <c r="C121" s="5" t="s">
        <v>19</v>
      </c>
      <c r="D121" s="6">
        <v>281.3</v>
      </c>
      <c r="E121" s="6">
        <v>285</v>
      </c>
      <c r="F121" s="6">
        <v>280.89999999999998</v>
      </c>
      <c r="G121" s="6">
        <v>285</v>
      </c>
      <c r="H121" s="6">
        <v>281.3</v>
      </c>
      <c r="I121" s="6">
        <v>280.89999999999998</v>
      </c>
      <c r="J121" s="7">
        <v>1475</v>
      </c>
      <c r="K121" s="6">
        <v>46.26</v>
      </c>
      <c r="L121" s="7">
        <v>164163</v>
      </c>
    </row>
    <row r="122" spans="1:12">
      <c r="A122" s="3">
        <v>120</v>
      </c>
      <c r="B122" s="4">
        <v>45841</v>
      </c>
      <c r="C122" s="5" t="s">
        <v>19</v>
      </c>
      <c r="D122" s="6">
        <v>280.89999999999998</v>
      </c>
      <c r="E122" s="6">
        <v>283</v>
      </c>
      <c r="F122" s="6">
        <v>279.5</v>
      </c>
      <c r="G122" s="6">
        <v>281.5</v>
      </c>
      <c r="H122" s="6">
        <v>280.89999999999998</v>
      </c>
      <c r="I122" s="6">
        <v>281.39999999999998</v>
      </c>
      <c r="J122" s="6">
        <v>923</v>
      </c>
      <c r="K122" s="6">
        <v>18.984000000000002</v>
      </c>
      <c r="L122" s="7">
        <v>67515</v>
      </c>
    </row>
    <row r="123" spans="1:12">
      <c r="A123" s="3">
        <v>121</v>
      </c>
      <c r="B123" s="4">
        <v>45840</v>
      </c>
      <c r="C123" s="5" t="s">
        <v>19</v>
      </c>
      <c r="D123" s="6">
        <v>281.39999999999998</v>
      </c>
      <c r="E123" s="6">
        <v>283</v>
      </c>
      <c r="F123" s="6">
        <v>280</v>
      </c>
      <c r="G123" s="6">
        <v>281</v>
      </c>
      <c r="H123" s="6">
        <v>281.39999999999998</v>
      </c>
      <c r="I123" s="6">
        <v>280.5</v>
      </c>
      <c r="J123" s="7">
        <v>1081</v>
      </c>
      <c r="K123" s="6">
        <v>18.934000000000001</v>
      </c>
      <c r="L123" s="7">
        <v>67394</v>
      </c>
    </row>
    <row r="124" spans="1:12">
      <c r="A124" s="3">
        <v>122</v>
      </c>
      <c r="B124" s="4">
        <v>45838</v>
      </c>
      <c r="C124" s="5" t="s">
        <v>19</v>
      </c>
      <c r="D124" s="6">
        <v>280.5</v>
      </c>
      <c r="E124" s="6">
        <v>285.5</v>
      </c>
      <c r="F124" s="6">
        <v>279.10000000000002</v>
      </c>
      <c r="G124" s="6">
        <v>285.2</v>
      </c>
      <c r="H124" s="6">
        <v>280.5</v>
      </c>
      <c r="I124" s="6">
        <v>285.2</v>
      </c>
      <c r="J124" s="7">
        <v>1989</v>
      </c>
      <c r="K124" s="6">
        <v>56.811</v>
      </c>
      <c r="L124" s="7">
        <v>202196</v>
      </c>
    </row>
    <row r="125" spans="1:12">
      <c r="A125" s="3">
        <v>123</v>
      </c>
      <c r="B125" s="4">
        <v>45837</v>
      </c>
      <c r="C125" s="5" t="s">
        <v>19</v>
      </c>
      <c r="D125" s="6">
        <v>285.2</v>
      </c>
      <c r="E125" s="6">
        <v>287.5</v>
      </c>
      <c r="F125" s="6">
        <v>281.5</v>
      </c>
      <c r="G125" s="6">
        <v>285</v>
      </c>
      <c r="H125" s="6">
        <v>285.2</v>
      </c>
      <c r="I125" s="6">
        <v>280.3</v>
      </c>
      <c r="J125" s="7">
        <v>2201</v>
      </c>
      <c r="K125" s="6">
        <v>64.884</v>
      </c>
      <c r="L125" s="7">
        <v>227418</v>
      </c>
    </row>
    <row r="126" spans="1:12">
      <c r="A126" s="3">
        <v>124</v>
      </c>
      <c r="B126" s="4">
        <v>45834</v>
      </c>
      <c r="C126" s="5" t="s">
        <v>19</v>
      </c>
      <c r="D126" s="6">
        <v>280.3</v>
      </c>
      <c r="E126" s="6">
        <v>281.10000000000002</v>
      </c>
      <c r="F126" s="6">
        <v>271.5</v>
      </c>
      <c r="G126" s="6">
        <v>274.39999999999998</v>
      </c>
      <c r="H126" s="6">
        <v>280.3</v>
      </c>
      <c r="I126" s="6">
        <v>272.60000000000002</v>
      </c>
      <c r="J126" s="7">
        <v>2795</v>
      </c>
      <c r="K126" s="6">
        <v>83.153000000000006</v>
      </c>
      <c r="L126" s="7">
        <v>302537</v>
      </c>
    </row>
    <row r="127" spans="1:12">
      <c r="A127" s="3">
        <v>125</v>
      </c>
      <c r="B127" s="4">
        <v>45833</v>
      </c>
      <c r="C127" s="5" t="s">
        <v>19</v>
      </c>
      <c r="D127" s="6">
        <v>273.89999999999998</v>
      </c>
      <c r="E127" s="6">
        <v>274.7</v>
      </c>
      <c r="F127" s="6">
        <v>271.39999999999998</v>
      </c>
      <c r="G127" s="6">
        <v>273.10000000000002</v>
      </c>
      <c r="H127" s="6">
        <v>272.60000000000002</v>
      </c>
      <c r="I127" s="6">
        <v>272.10000000000002</v>
      </c>
      <c r="J127" s="7">
        <v>1727</v>
      </c>
      <c r="K127" s="6">
        <v>66.552999999999997</v>
      </c>
      <c r="L127" s="7">
        <v>244433</v>
      </c>
    </row>
    <row r="128" spans="1:12">
      <c r="A128" s="3">
        <v>126</v>
      </c>
      <c r="B128" s="4">
        <v>45832</v>
      </c>
      <c r="C128" s="5" t="s">
        <v>19</v>
      </c>
      <c r="D128" s="6">
        <v>272.10000000000002</v>
      </c>
      <c r="E128" s="6">
        <v>274.5</v>
      </c>
      <c r="F128" s="6">
        <v>270.8</v>
      </c>
      <c r="G128" s="6">
        <v>272.3</v>
      </c>
      <c r="H128" s="6">
        <v>272.10000000000002</v>
      </c>
      <c r="I128" s="6">
        <v>271.89999999999998</v>
      </c>
      <c r="J128" s="7">
        <v>1310</v>
      </c>
      <c r="K128" s="6">
        <v>38.188000000000002</v>
      </c>
      <c r="L128" s="7">
        <v>140046</v>
      </c>
    </row>
    <row r="129" spans="1:12">
      <c r="A129" s="3">
        <v>127</v>
      </c>
      <c r="B129" s="4">
        <v>45831</v>
      </c>
      <c r="C129" s="5" t="s">
        <v>19</v>
      </c>
      <c r="D129" s="6">
        <v>271.89999999999998</v>
      </c>
      <c r="E129" s="6">
        <v>275.5</v>
      </c>
      <c r="F129" s="6">
        <v>270</v>
      </c>
      <c r="G129" s="6">
        <v>275.5</v>
      </c>
      <c r="H129" s="6">
        <v>271.89999999999998</v>
      </c>
      <c r="I129" s="6">
        <v>275.5</v>
      </c>
      <c r="J129" s="7">
        <v>2103</v>
      </c>
      <c r="K129" s="6">
        <v>50.439</v>
      </c>
      <c r="L129" s="7">
        <v>185370</v>
      </c>
    </row>
    <row r="130" spans="1:12">
      <c r="A130" s="3">
        <v>128</v>
      </c>
      <c r="B130" s="4">
        <v>45830</v>
      </c>
      <c r="C130" s="5" t="s">
        <v>19</v>
      </c>
      <c r="D130" s="6">
        <v>275.5</v>
      </c>
      <c r="E130" s="6">
        <v>283.89999999999998</v>
      </c>
      <c r="F130" s="6">
        <v>274.8</v>
      </c>
      <c r="G130" s="6">
        <v>283.89999999999998</v>
      </c>
      <c r="H130" s="6">
        <v>275.5</v>
      </c>
      <c r="I130" s="6">
        <v>283.89999999999998</v>
      </c>
      <c r="J130" s="7">
        <v>1843</v>
      </c>
      <c r="K130" s="6">
        <v>39.28</v>
      </c>
      <c r="L130" s="7">
        <v>142057</v>
      </c>
    </row>
    <row r="131" spans="1:12">
      <c r="A131" s="3">
        <v>129</v>
      </c>
      <c r="B131" s="4">
        <v>45827</v>
      </c>
      <c r="C131" s="5" t="s">
        <v>19</v>
      </c>
      <c r="D131" s="6">
        <v>283.89999999999998</v>
      </c>
      <c r="E131" s="6">
        <v>290.39999999999998</v>
      </c>
      <c r="F131" s="6">
        <v>283.2</v>
      </c>
      <c r="G131" s="6">
        <v>283.5</v>
      </c>
      <c r="H131" s="6">
        <v>283.89999999999998</v>
      </c>
      <c r="I131" s="6">
        <v>286.89999999999998</v>
      </c>
      <c r="J131" s="7">
        <v>2100</v>
      </c>
      <c r="K131" s="6">
        <v>48.881999999999998</v>
      </c>
      <c r="L131" s="7">
        <v>171052</v>
      </c>
    </row>
    <row r="132" spans="1:12">
      <c r="A132" s="3">
        <v>130</v>
      </c>
      <c r="B132" s="4">
        <v>45826</v>
      </c>
      <c r="C132" s="5" t="s">
        <v>19</v>
      </c>
      <c r="D132" s="6">
        <v>286.89999999999998</v>
      </c>
      <c r="E132" s="6">
        <v>289</v>
      </c>
      <c r="F132" s="6">
        <v>273.5</v>
      </c>
      <c r="G132" s="6">
        <v>279</v>
      </c>
      <c r="H132" s="6">
        <v>286.89999999999998</v>
      </c>
      <c r="I132" s="6">
        <v>277.5</v>
      </c>
      <c r="J132" s="7">
        <v>2035</v>
      </c>
      <c r="K132" s="6">
        <v>50.511000000000003</v>
      </c>
      <c r="L132" s="7">
        <v>178076</v>
      </c>
    </row>
    <row r="133" spans="1:12">
      <c r="A133" s="3">
        <v>131</v>
      </c>
      <c r="B133" s="4">
        <v>45825</v>
      </c>
      <c r="C133" s="5" t="s">
        <v>19</v>
      </c>
      <c r="D133" s="6">
        <v>277.5</v>
      </c>
      <c r="E133" s="6">
        <v>282</v>
      </c>
      <c r="F133" s="6">
        <v>276</v>
      </c>
      <c r="G133" s="6">
        <v>282</v>
      </c>
      <c r="H133" s="6">
        <v>277.5</v>
      </c>
      <c r="I133" s="6">
        <v>281.2</v>
      </c>
      <c r="J133" s="7">
        <v>1632</v>
      </c>
      <c r="K133" s="6">
        <v>43.988</v>
      </c>
      <c r="L133" s="7">
        <v>157551</v>
      </c>
    </row>
    <row r="134" spans="1:12">
      <c r="A134" s="3">
        <v>132</v>
      </c>
      <c r="B134" s="4">
        <v>45824</v>
      </c>
      <c r="C134" s="5" t="s">
        <v>19</v>
      </c>
      <c r="D134" s="6">
        <v>281.2</v>
      </c>
      <c r="E134" s="6">
        <v>282.5</v>
      </c>
      <c r="F134" s="6">
        <v>275</v>
      </c>
      <c r="G134" s="6">
        <v>275.5</v>
      </c>
      <c r="H134" s="6">
        <v>281.2</v>
      </c>
      <c r="I134" s="6">
        <v>275.5</v>
      </c>
      <c r="J134" s="7">
        <v>2410</v>
      </c>
      <c r="K134" s="6">
        <v>55.273000000000003</v>
      </c>
      <c r="L134" s="7">
        <v>198392</v>
      </c>
    </row>
    <row r="135" spans="1:12">
      <c r="A135" s="3">
        <v>133</v>
      </c>
      <c r="B135" s="4">
        <v>45823</v>
      </c>
      <c r="C135" s="5" t="s">
        <v>19</v>
      </c>
      <c r="D135" s="6">
        <v>275.5</v>
      </c>
      <c r="E135" s="6">
        <v>276.5</v>
      </c>
      <c r="F135" s="6">
        <v>264</v>
      </c>
      <c r="G135" s="6">
        <v>267</v>
      </c>
      <c r="H135" s="6">
        <v>275.5</v>
      </c>
      <c r="I135" s="6">
        <v>267</v>
      </c>
      <c r="J135" s="7">
        <v>1771</v>
      </c>
      <c r="K135" s="6">
        <v>31.562999999999999</v>
      </c>
      <c r="L135" s="7">
        <v>115521</v>
      </c>
    </row>
    <row r="136" spans="1:12">
      <c r="A136" s="3">
        <v>134</v>
      </c>
      <c r="B136" s="4">
        <v>45812</v>
      </c>
      <c r="C136" s="5" t="s">
        <v>19</v>
      </c>
      <c r="D136" s="6">
        <v>267</v>
      </c>
      <c r="E136" s="6">
        <v>269.60000000000002</v>
      </c>
      <c r="F136" s="6">
        <v>265.5</v>
      </c>
      <c r="G136" s="6">
        <v>269.60000000000002</v>
      </c>
      <c r="H136" s="6">
        <v>267</v>
      </c>
      <c r="I136" s="6">
        <v>264.8</v>
      </c>
      <c r="J136" s="7">
        <v>1068</v>
      </c>
      <c r="K136" s="6">
        <v>35.718000000000004</v>
      </c>
      <c r="L136" s="7">
        <v>133900</v>
      </c>
    </row>
    <row r="137" spans="1:12">
      <c r="A137" s="3">
        <v>135</v>
      </c>
      <c r="B137" s="4">
        <v>45811</v>
      </c>
      <c r="C137" s="5" t="s">
        <v>19</v>
      </c>
      <c r="D137" s="6">
        <v>264.8</v>
      </c>
      <c r="E137" s="6">
        <v>270.7</v>
      </c>
      <c r="F137" s="6">
        <v>264</v>
      </c>
      <c r="G137" s="6">
        <v>268</v>
      </c>
      <c r="H137" s="6">
        <v>264.8</v>
      </c>
      <c r="I137" s="6">
        <v>270.39999999999998</v>
      </c>
      <c r="J137" s="7">
        <v>1319</v>
      </c>
      <c r="K137" s="6">
        <v>23.88</v>
      </c>
      <c r="L137" s="7">
        <v>89607</v>
      </c>
    </row>
    <row r="138" spans="1:12">
      <c r="A138" s="3">
        <v>136</v>
      </c>
      <c r="B138" s="4">
        <v>45810</v>
      </c>
      <c r="C138" s="5" t="s">
        <v>19</v>
      </c>
      <c r="D138" s="6">
        <v>270.39999999999998</v>
      </c>
      <c r="E138" s="6">
        <v>273.2</v>
      </c>
      <c r="F138" s="6">
        <v>268</v>
      </c>
      <c r="G138" s="6">
        <v>273.2</v>
      </c>
      <c r="H138" s="6">
        <v>270.39999999999998</v>
      </c>
      <c r="I138" s="6">
        <v>273.2</v>
      </c>
      <c r="J138" s="7">
        <v>1443</v>
      </c>
      <c r="K138" s="6">
        <v>28.827999999999999</v>
      </c>
      <c r="L138" s="7">
        <v>106846</v>
      </c>
    </row>
    <row r="139" spans="1:12">
      <c r="A139" s="3">
        <v>137</v>
      </c>
      <c r="B139" s="4">
        <v>45809</v>
      </c>
      <c r="C139" s="5" t="s">
        <v>19</v>
      </c>
      <c r="D139" s="6">
        <v>273.2</v>
      </c>
      <c r="E139" s="6">
        <v>275</v>
      </c>
      <c r="F139" s="6">
        <v>255</v>
      </c>
      <c r="G139" s="6">
        <v>268</v>
      </c>
      <c r="H139" s="6">
        <v>273.2</v>
      </c>
      <c r="I139" s="6">
        <v>268</v>
      </c>
      <c r="J139" s="7">
        <v>1771</v>
      </c>
      <c r="K139" s="6">
        <v>31.184999999999999</v>
      </c>
      <c r="L139" s="7">
        <v>116071</v>
      </c>
    </row>
    <row r="140" spans="1:12">
      <c r="A140" s="3">
        <v>138</v>
      </c>
      <c r="B140" s="4">
        <v>45806</v>
      </c>
      <c r="C140" s="5" t="s">
        <v>19</v>
      </c>
      <c r="D140" s="6">
        <v>268</v>
      </c>
      <c r="E140" s="6">
        <v>275</v>
      </c>
      <c r="F140" s="6">
        <v>247.2</v>
      </c>
      <c r="G140" s="6">
        <v>255</v>
      </c>
      <c r="H140" s="6">
        <v>268</v>
      </c>
      <c r="I140" s="6">
        <v>252.9</v>
      </c>
      <c r="J140" s="7">
        <v>3940</v>
      </c>
      <c r="K140" s="6">
        <v>83.801000000000002</v>
      </c>
      <c r="L140" s="7">
        <v>318701</v>
      </c>
    </row>
    <row r="141" spans="1:12">
      <c r="A141" s="3">
        <v>139</v>
      </c>
      <c r="B141" s="4">
        <v>45805</v>
      </c>
      <c r="C141" s="5" t="s">
        <v>19</v>
      </c>
      <c r="D141" s="6">
        <v>252.9</v>
      </c>
      <c r="E141" s="6">
        <v>261</v>
      </c>
      <c r="F141" s="6">
        <v>252</v>
      </c>
      <c r="G141" s="6">
        <v>261</v>
      </c>
      <c r="H141" s="6">
        <v>252.9</v>
      </c>
      <c r="I141" s="6">
        <v>260.3</v>
      </c>
      <c r="J141" s="7">
        <v>2957</v>
      </c>
      <c r="K141" s="6">
        <v>49.381</v>
      </c>
      <c r="L141" s="7">
        <v>194535</v>
      </c>
    </row>
    <row r="142" spans="1:12">
      <c r="A142" s="3">
        <v>140</v>
      </c>
      <c r="B142" s="4">
        <v>45804</v>
      </c>
      <c r="C142" s="5" t="s">
        <v>19</v>
      </c>
      <c r="D142" s="6">
        <v>260.3</v>
      </c>
      <c r="E142" s="6">
        <v>268.5</v>
      </c>
      <c r="F142" s="6">
        <v>259.8</v>
      </c>
      <c r="G142" s="6">
        <v>268.5</v>
      </c>
      <c r="H142" s="6">
        <v>260.3</v>
      </c>
      <c r="I142" s="6">
        <v>267.60000000000002</v>
      </c>
      <c r="J142" s="7">
        <v>2871</v>
      </c>
      <c r="K142" s="6">
        <v>46.640999999999998</v>
      </c>
      <c r="L142" s="7">
        <v>178147</v>
      </c>
    </row>
    <row r="143" spans="1:12">
      <c r="A143" s="3">
        <v>141</v>
      </c>
      <c r="B143" s="4">
        <v>45803</v>
      </c>
      <c r="C143" s="5" t="s">
        <v>19</v>
      </c>
      <c r="D143" s="6">
        <v>267.60000000000002</v>
      </c>
      <c r="E143" s="6">
        <v>272.3</v>
      </c>
      <c r="F143" s="6">
        <v>265.89999999999998</v>
      </c>
      <c r="G143" s="6">
        <v>272</v>
      </c>
      <c r="H143" s="6">
        <v>267.60000000000002</v>
      </c>
      <c r="I143" s="6">
        <v>272.10000000000002</v>
      </c>
      <c r="J143" s="7">
        <v>1529</v>
      </c>
      <c r="K143" s="6">
        <v>21.890999999999998</v>
      </c>
      <c r="L143" s="7">
        <v>81198</v>
      </c>
    </row>
    <row r="144" spans="1:12">
      <c r="A144" s="3">
        <v>142</v>
      </c>
      <c r="B144" s="4">
        <v>45802</v>
      </c>
      <c r="C144" s="5" t="s">
        <v>19</v>
      </c>
      <c r="D144" s="6">
        <v>272.10000000000002</v>
      </c>
      <c r="E144" s="6">
        <v>276</v>
      </c>
      <c r="F144" s="6">
        <v>270.5</v>
      </c>
      <c r="G144" s="6">
        <v>276</v>
      </c>
      <c r="H144" s="6">
        <v>272.10000000000002</v>
      </c>
      <c r="I144" s="6">
        <v>274.5</v>
      </c>
      <c r="J144" s="7">
        <v>1066</v>
      </c>
      <c r="K144" s="6">
        <v>18.513999999999999</v>
      </c>
      <c r="L144" s="7">
        <v>67997</v>
      </c>
    </row>
    <row r="145" spans="1:12">
      <c r="A145" s="3">
        <v>143</v>
      </c>
      <c r="B145" s="4">
        <v>45801</v>
      </c>
      <c r="C145" s="5" t="s">
        <v>19</v>
      </c>
      <c r="D145" s="6">
        <v>274.5</v>
      </c>
      <c r="E145" s="6">
        <v>281.60000000000002</v>
      </c>
      <c r="F145" s="6">
        <v>273.60000000000002</v>
      </c>
      <c r="G145" s="6">
        <v>279.8</v>
      </c>
      <c r="H145" s="6">
        <v>274.5</v>
      </c>
      <c r="I145" s="6">
        <v>279.60000000000002</v>
      </c>
      <c r="J145" s="7">
        <v>1102</v>
      </c>
      <c r="K145" s="6">
        <v>21.079000000000001</v>
      </c>
      <c r="L145" s="7">
        <v>76367</v>
      </c>
    </row>
    <row r="146" spans="1:12">
      <c r="A146" s="3">
        <v>144</v>
      </c>
      <c r="B146" s="4">
        <v>45799</v>
      </c>
      <c r="C146" s="5" t="s">
        <v>19</v>
      </c>
      <c r="D146" s="6">
        <v>279.60000000000002</v>
      </c>
      <c r="E146" s="6">
        <v>284</v>
      </c>
      <c r="F146" s="6">
        <v>278.8</v>
      </c>
      <c r="G146" s="6">
        <v>283.8</v>
      </c>
      <c r="H146" s="6">
        <v>279.60000000000002</v>
      </c>
      <c r="I146" s="6">
        <v>282.39999999999998</v>
      </c>
      <c r="J146" s="7">
        <v>1302</v>
      </c>
      <c r="K146" s="6">
        <v>28.274999999999999</v>
      </c>
      <c r="L146" s="7">
        <v>100623</v>
      </c>
    </row>
    <row r="147" spans="1:12">
      <c r="A147" s="3">
        <v>145</v>
      </c>
      <c r="B147" s="4">
        <v>45798</v>
      </c>
      <c r="C147" s="5" t="s">
        <v>19</v>
      </c>
      <c r="D147" s="6">
        <v>282.39999999999998</v>
      </c>
      <c r="E147" s="6">
        <v>284.7</v>
      </c>
      <c r="F147" s="6">
        <v>281.60000000000002</v>
      </c>
      <c r="G147" s="6">
        <v>281.60000000000002</v>
      </c>
      <c r="H147" s="6">
        <v>282.39999999999998</v>
      </c>
      <c r="I147" s="6">
        <v>282.8</v>
      </c>
      <c r="J147" s="6">
        <v>719</v>
      </c>
      <c r="K147" s="6">
        <v>11.627000000000001</v>
      </c>
      <c r="L147" s="7">
        <v>41058</v>
      </c>
    </row>
    <row r="148" spans="1:12">
      <c r="A148" s="3">
        <v>146</v>
      </c>
      <c r="B148" s="4">
        <v>45797</v>
      </c>
      <c r="C148" s="5" t="s">
        <v>19</v>
      </c>
      <c r="D148" s="6">
        <v>282.8</v>
      </c>
      <c r="E148" s="6">
        <v>284.10000000000002</v>
      </c>
      <c r="F148" s="6">
        <v>280</v>
      </c>
      <c r="G148" s="6">
        <v>284</v>
      </c>
      <c r="H148" s="6">
        <v>282.8</v>
      </c>
      <c r="I148" s="6">
        <v>284.8</v>
      </c>
      <c r="J148" s="7">
        <v>1602</v>
      </c>
      <c r="K148" s="6">
        <v>23.780999999999999</v>
      </c>
      <c r="L148" s="7">
        <v>84593</v>
      </c>
    </row>
    <row r="149" spans="1:12">
      <c r="A149" s="3">
        <v>147</v>
      </c>
      <c r="B149" s="4">
        <v>45796</v>
      </c>
      <c r="C149" s="5" t="s">
        <v>19</v>
      </c>
      <c r="D149" s="6">
        <v>284.8</v>
      </c>
      <c r="E149" s="6">
        <v>293</v>
      </c>
      <c r="F149" s="6">
        <v>281.7</v>
      </c>
      <c r="G149" s="6">
        <v>293</v>
      </c>
      <c r="H149" s="6">
        <v>284.8</v>
      </c>
      <c r="I149" s="6">
        <v>291.5</v>
      </c>
      <c r="J149" s="7">
        <v>2204</v>
      </c>
      <c r="K149" s="6">
        <v>34.494</v>
      </c>
      <c r="L149" s="7">
        <v>120684</v>
      </c>
    </row>
    <row r="150" spans="1:12">
      <c r="A150" s="3">
        <v>148</v>
      </c>
      <c r="B150" s="4">
        <v>45795</v>
      </c>
      <c r="C150" s="5" t="s">
        <v>19</v>
      </c>
      <c r="D150" s="6">
        <v>291.5</v>
      </c>
      <c r="E150" s="6">
        <v>295</v>
      </c>
      <c r="F150" s="6">
        <v>290</v>
      </c>
      <c r="G150" s="6">
        <v>290</v>
      </c>
      <c r="H150" s="6">
        <v>291.5</v>
      </c>
      <c r="I150" s="6">
        <v>292.7</v>
      </c>
      <c r="J150" s="6">
        <v>951</v>
      </c>
      <c r="K150" s="6">
        <v>20.748000000000001</v>
      </c>
      <c r="L150" s="7">
        <v>71036</v>
      </c>
    </row>
    <row r="151" spans="1:12">
      <c r="A151" s="3">
        <v>149</v>
      </c>
      <c r="B151" s="4">
        <v>45794</v>
      </c>
      <c r="C151" s="5" t="s">
        <v>19</v>
      </c>
      <c r="D151" s="6">
        <v>292.7</v>
      </c>
      <c r="E151" s="6">
        <v>296</v>
      </c>
      <c r="F151" s="6">
        <v>289.5</v>
      </c>
      <c r="G151" s="6">
        <v>296</v>
      </c>
      <c r="H151" s="6">
        <v>292.7</v>
      </c>
      <c r="I151" s="6">
        <v>295.89999999999998</v>
      </c>
      <c r="J151" s="7">
        <v>1713</v>
      </c>
      <c r="K151" s="6">
        <v>36.027000000000001</v>
      </c>
      <c r="L151" s="7">
        <v>123446</v>
      </c>
    </row>
    <row r="152" spans="1:12">
      <c r="A152" s="3">
        <v>150</v>
      </c>
      <c r="B152" s="4">
        <v>45792</v>
      </c>
      <c r="C152" s="5" t="s">
        <v>19</v>
      </c>
      <c r="D152" s="6">
        <v>295.89999999999998</v>
      </c>
      <c r="E152" s="6">
        <v>304.89999999999998</v>
      </c>
      <c r="F152" s="6">
        <v>295</v>
      </c>
      <c r="G152" s="6">
        <v>304.89999999999998</v>
      </c>
      <c r="H152" s="6">
        <v>295.89999999999998</v>
      </c>
      <c r="I152" s="6">
        <v>302.3</v>
      </c>
      <c r="J152" s="7">
        <v>1340</v>
      </c>
      <c r="K152" s="6">
        <v>26.442</v>
      </c>
      <c r="L152" s="7">
        <v>88555</v>
      </c>
    </row>
    <row r="153" spans="1:12">
      <c r="A153" s="3">
        <v>151</v>
      </c>
      <c r="B153" s="4">
        <v>45791</v>
      </c>
      <c r="C153" s="5" t="s">
        <v>19</v>
      </c>
      <c r="D153" s="6">
        <v>302.60000000000002</v>
      </c>
      <c r="E153" s="6">
        <v>305</v>
      </c>
      <c r="F153" s="6">
        <v>301.89999999999998</v>
      </c>
      <c r="G153" s="6">
        <v>304</v>
      </c>
      <c r="H153" s="6">
        <v>302.3</v>
      </c>
      <c r="I153" s="6">
        <v>304.39999999999998</v>
      </c>
      <c r="J153" s="6">
        <v>795</v>
      </c>
      <c r="K153" s="6">
        <v>15.502000000000001</v>
      </c>
      <c r="L153" s="7">
        <v>51248</v>
      </c>
    </row>
    <row r="154" spans="1:12">
      <c r="A154" s="3">
        <v>152</v>
      </c>
      <c r="B154" s="4">
        <v>45790</v>
      </c>
      <c r="C154" s="5" t="s">
        <v>19</v>
      </c>
      <c r="D154" s="6">
        <v>304.39999999999998</v>
      </c>
      <c r="E154" s="6">
        <v>308.89999999999998</v>
      </c>
      <c r="F154" s="6">
        <v>304</v>
      </c>
      <c r="G154" s="6">
        <v>308.89999999999998</v>
      </c>
      <c r="H154" s="6">
        <v>304.39999999999998</v>
      </c>
      <c r="I154" s="6">
        <v>307.89999999999998</v>
      </c>
      <c r="J154" s="7">
        <v>1018</v>
      </c>
      <c r="K154" s="6">
        <v>30.402000000000001</v>
      </c>
      <c r="L154" s="7">
        <v>99713</v>
      </c>
    </row>
    <row r="155" spans="1:12">
      <c r="A155" s="3">
        <v>153</v>
      </c>
      <c r="B155" s="4">
        <v>45789</v>
      </c>
      <c r="C155" s="5" t="s">
        <v>19</v>
      </c>
      <c r="D155" s="6">
        <v>307.89999999999998</v>
      </c>
      <c r="E155" s="6">
        <v>310</v>
      </c>
      <c r="F155" s="6">
        <v>302.7</v>
      </c>
      <c r="G155" s="6">
        <v>309.39999999999998</v>
      </c>
      <c r="H155" s="6">
        <v>307.89999999999998</v>
      </c>
      <c r="I155" s="6">
        <v>309.39999999999998</v>
      </c>
      <c r="J155" s="7">
        <v>1084</v>
      </c>
      <c r="K155" s="6">
        <v>28.253</v>
      </c>
      <c r="L155" s="7">
        <v>92542</v>
      </c>
    </row>
    <row r="156" spans="1:12">
      <c r="A156" s="3">
        <v>154</v>
      </c>
      <c r="B156" s="4">
        <v>45785</v>
      </c>
      <c r="C156" s="5" t="s">
        <v>19</v>
      </c>
      <c r="D156" s="6">
        <v>309.39999999999998</v>
      </c>
      <c r="E156" s="6">
        <v>310</v>
      </c>
      <c r="F156" s="6">
        <v>307.89999999999998</v>
      </c>
      <c r="G156" s="6">
        <v>309.89999999999998</v>
      </c>
      <c r="H156" s="6">
        <v>309.39999999999998</v>
      </c>
      <c r="I156" s="6">
        <v>306.8</v>
      </c>
      <c r="J156" s="6">
        <v>702</v>
      </c>
      <c r="K156" s="6">
        <v>15.532999999999999</v>
      </c>
      <c r="L156" s="7">
        <v>50278</v>
      </c>
    </row>
    <row r="157" spans="1:12">
      <c r="A157" s="3">
        <v>155</v>
      </c>
      <c r="B157" s="4">
        <v>45784</v>
      </c>
      <c r="C157" s="5" t="s">
        <v>19</v>
      </c>
      <c r="D157" s="6">
        <v>306.8</v>
      </c>
      <c r="E157" s="6">
        <v>312</v>
      </c>
      <c r="F157" s="6">
        <v>306</v>
      </c>
      <c r="G157" s="6">
        <v>310</v>
      </c>
      <c r="H157" s="6">
        <v>306.8</v>
      </c>
      <c r="I157" s="6">
        <v>313.60000000000002</v>
      </c>
      <c r="J157" s="7">
        <v>1590</v>
      </c>
      <c r="K157" s="6">
        <v>36.11</v>
      </c>
      <c r="L157" s="7">
        <v>117160</v>
      </c>
    </row>
    <row r="158" spans="1:12">
      <c r="A158" s="3">
        <v>156</v>
      </c>
      <c r="B158" s="4">
        <v>45783</v>
      </c>
      <c r="C158" s="5" t="s">
        <v>19</v>
      </c>
      <c r="D158" s="6">
        <v>313.60000000000002</v>
      </c>
      <c r="E158" s="6">
        <v>317</v>
      </c>
      <c r="F158" s="6">
        <v>311.3</v>
      </c>
      <c r="G158" s="6">
        <v>317</v>
      </c>
      <c r="H158" s="6">
        <v>313.60000000000002</v>
      </c>
      <c r="I158" s="6">
        <v>315.39999999999998</v>
      </c>
      <c r="J158" s="6">
        <v>975</v>
      </c>
      <c r="K158" s="6">
        <v>27.727</v>
      </c>
      <c r="L158" s="7">
        <v>88480</v>
      </c>
    </row>
    <row r="159" spans="1:12">
      <c r="A159" s="3">
        <v>157</v>
      </c>
      <c r="B159" s="4">
        <v>45782</v>
      </c>
      <c r="C159" s="5" t="s">
        <v>19</v>
      </c>
      <c r="D159" s="6">
        <v>315.39999999999998</v>
      </c>
      <c r="E159" s="6">
        <v>316.89999999999998</v>
      </c>
      <c r="F159" s="6">
        <v>307.89999999999998</v>
      </c>
      <c r="G159" s="6">
        <v>307.89999999999998</v>
      </c>
      <c r="H159" s="6">
        <v>315.39999999999998</v>
      </c>
      <c r="I159" s="6">
        <v>307</v>
      </c>
      <c r="J159" s="7">
        <v>1279</v>
      </c>
      <c r="K159" s="6">
        <v>22.544</v>
      </c>
      <c r="L159" s="7">
        <v>72119</v>
      </c>
    </row>
    <row r="160" spans="1:12">
      <c r="A160" s="3">
        <v>158</v>
      </c>
      <c r="B160" s="4">
        <v>45781</v>
      </c>
      <c r="C160" s="5" t="s">
        <v>19</v>
      </c>
      <c r="D160" s="6">
        <v>307</v>
      </c>
      <c r="E160" s="6">
        <v>312.89999999999998</v>
      </c>
      <c r="F160" s="6">
        <v>304.2</v>
      </c>
      <c r="G160" s="6">
        <v>310.39999999999998</v>
      </c>
      <c r="H160" s="6">
        <v>307</v>
      </c>
      <c r="I160" s="6">
        <v>310.39999999999998</v>
      </c>
      <c r="J160" s="7">
        <v>1604</v>
      </c>
      <c r="K160" s="6">
        <v>23.952999999999999</v>
      </c>
      <c r="L160" s="7">
        <v>78082</v>
      </c>
    </row>
    <row r="161" spans="1:12">
      <c r="A161" s="3">
        <v>159</v>
      </c>
      <c r="B161" s="4">
        <v>45777</v>
      </c>
      <c r="C161" s="5" t="s">
        <v>19</v>
      </c>
      <c r="D161" s="6">
        <v>310.39999999999998</v>
      </c>
      <c r="E161" s="6">
        <v>315</v>
      </c>
      <c r="F161" s="6">
        <v>309</v>
      </c>
      <c r="G161" s="6">
        <v>312.60000000000002</v>
      </c>
      <c r="H161" s="6">
        <v>310.39999999999998</v>
      </c>
      <c r="I161" s="6">
        <v>314.7</v>
      </c>
      <c r="J161" s="7">
        <v>1479</v>
      </c>
      <c r="K161" s="6">
        <v>23.645</v>
      </c>
      <c r="L161" s="7">
        <v>75965</v>
      </c>
    </row>
    <row r="162" spans="1:12">
      <c r="A162" s="3">
        <v>160</v>
      </c>
      <c r="B162" s="4">
        <v>45776</v>
      </c>
      <c r="C162" s="5" t="s">
        <v>19</v>
      </c>
      <c r="D162" s="6">
        <v>314.7</v>
      </c>
      <c r="E162" s="6">
        <v>317</v>
      </c>
      <c r="F162" s="6">
        <v>314.2</v>
      </c>
      <c r="G162" s="6">
        <v>316.2</v>
      </c>
      <c r="H162" s="6">
        <v>314.7</v>
      </c>
      <c r="I162" s="6">
        <v>316.2</v>
      </c>
      <c r="J162" s="6">
        <v>899</v>
      </c>
      <c r="K162" s="6">
        <v>16.492000000000001</v>
      </c>
      <c r="L162" s="7">
        <v>52356</v>
      </c>
    </row>
    <row r="163" spans="1:12">
      <c r="A163" s="3">
        <v>161</v>
      </c>
      <c r="B163" s="4">
        <v>45775</v>
      </c>
      <c r="C163" s="5" t="s">
        <v>19</v>
      </c>
      <c r="D163" s="6">
        <v>316.2</v>
      </c>
      <c r="E163" s="6">
        <v>318.5</v>
      </c>
      <c r="F163" s="6">
        <v>316</v>
      </c>
      <c r="G163" s="6">
        <v>318.10000000000002</v>
      </c>
      <c r="H163" s="6">
        <v>316.2</v>
      </c>
      <c r="I163" s="6">
        <v>318.10000000000002</v>
      </c>
      <c r="J163" s="7">
        <v>1092</v>
      </c>
      <c r="K163" s="6">
        <v>25.83</v>
      </c>
      <c r="L163" s="7">
        <v>81429</v>
      </c>
    </row>
    <row r="164" spans="1:12">
      <c r="A164" s="3">
        <v>162</v>
      </c>
      <c r="B164" s="4">
        <v>45774</v>
      </c>
      <c r="C164" s="5" t="s">
        <v>19</v>
      </c>
      <c r="D164" s="6">
        <v>318.10000000000002</v>
      </c>
      <c r="E164" s="6">
        <v>320.3</v>
      </c>
      <c r="F164" s="6">
        <v>315.7</v>
      </c>
      <c r="G164" s="6">
        <v>320</v>
      </c>
      <c r="H164" s="6">
        <v>318.10000000000002</v>
      </c>
      <c r="I164" s="6">
        <v>320.7</v>
      </c>
      <c r="J164" s="7">
        <v>1147</v>
      </c>
      <c r="K164" s="6">
        <v>22.297000000000001</v>
      </c>
      <c r="L164" s="7">
        <v>70140</v>
      </c>
    </row>
    <row r="165" spans="1:12">
      <c r="A165" s="3">
        <v>163</v>
      </c>
      <c r="B165" s="4">
        <v>45771</v>
      </c>
      <c r="C165" s="5" t="s">
        <v>19</v>
      </c>
      <c r="D165" s="6">
        <v>320.7</v>
      </c>
      <c r="E165" s="6">
        <v>323.7</v>
      </c>
      <c r="F165" s="6">
        <v>320.2</v>
      </c>
      <c r="G165" s="6">
        <v>323</v>
      </c>
      <c r="H165" s="6">
        <v>320.7</v>
      </c>
      <c r="I165" s="6">
        <v>323</v>
      </c>
      <c r="J165" s="7">
        <v>1117</v>
      </c>
      <c r="K165" s="6">
        <v>28.824999999999999</v>
      </c>
      <c r="L165" s="7">
        <v>89724</v>
      </c>
    </row>
    <row r="166" spans="1:12">
      <c r="A166" s="3">
        <v>164</v>
      </c>
      <c r="B166" s="4">
        <v>45770</v>
      </c>
      <c r="C166" s="5" t="s">
        <v>19</v>
      </c>
      <c r="D166" s="6">
        <v>323</v>
      </c>
      <c r="E166" s="6">
        <v>324</v>
      </c>
      <c r="F166" s="6">
        <v>322.8</v>
      </c>
      <c r="G166" s="6">
        <v>323.10000000000002</v>
      </c>
      <c r="H166" s="6">
        <v>323</v>
      </c>
      <c r="I166" s="6">
        <v>322.89999999999998</v>
      </c>
      <c r="J166" s="6">
        <v>618</v>
      </c>
      <c r="K166" s="6">
        <v>19.794</v>
      </c>
      <c r="L166" s="7">
        <v>61273</v>
      </c>
    </row>
    <row r="167" spans="1:12">
      <c r="A167" s="3">
        <v>165</v>
      </c>
      <c r="B167" s="4">
        <v>45769</v>
      </c>
      <c r="C167" s="5" t="s">
        <v>19</v>
      </c>
      <c r="D167" s="6">
        <v>322.89999999999998</v>
      </c>
      <c r="E167" s="6">
        <v>324</v>
      </c>
      <c r="F167" s="6">
        <v>322.7</v>
      </c>
      <c r="G167" s="6">
        <v>323.89999999999998</v>
      </c>
      <c r="H167" s="6">
        <v>322.89999999999998</v>
      </c>
      <c r="I167" s="6">
        <v>322.8</v>
      </c>
      <c r="J167" s="6">
        <v>577</v>
      </c>
      <c r="K167" s="6">
        <v>12.528</v>
      </c>
      <c r="L167" s="7">
        <v>38790</v>
      </c>
    </row>
    <row r="168" spans="1:12">
      <c r="A168" s="3">
        <v>166</v>
      </c>
      <c r="B168" s="4">
        <v>45768</v>
      </c>
      <c r="C168" s="5" t="s">
        <v>19</v>
      </c>
      <c r="D168" s="6">
        <v>322.8</v>
      </c>
      <c r="E168" s="6">
        <v>325</v>
      </c>
      <c r="F168" s="6">
        <v>322.5</v>
      </c>
      <c r="G168" s="6">
        <v>324</v>
      </c>
      <c r="H168" s="6">
        <v>322.8</v>
      </c>
      <c r="I168" s="6">
        <v>324.10000000000002</v>
      </c>
      <c r="J168" s="6">
        <v>658</v>
      </c>
      <c r="K168" s="6">
        <v>12.99</v>
      </c>
      <c r="L168" s="7">
        <v>40195</v>
      </c>
    </row>
    <row r="169" spans="1:12">
      <c r="A169" s="3">
        <v>167</v>
      </c>
      <c r="B169" s="4">
        <v>45767</v>
      </c>
      <c r="C169" s="5" t="s">
        <v>19</v>
      </c>
      <c r="D169" s="6">
        <v>324.10000000000002</v>
      </c>
      <c r="E169" s="6">
        <v>324.89999999999998</v>
      </c>
      <c r="F169" s="6">
        <v>322.3</v>
      </c>
      <c r="G169" s="6">
        <v>323.5</v>
      </c>
      <c r="H169" s="6">
        <v>324.10000000000002</v>
      </c>
      <c r="I169" s="6">
        <v>323.3</v>
      </c>
      <c r="J169" s="6">
        <v>760</v>
      </c>
      <c r="K169" s="6">
        <v>22.495999999999999</v>
      </c>
      <c r="L169" s="7">
        <v>69544</v>
      </c>
    </row>
    <row r="170" spans="1:12">
      <c r="A170" s="3">
        <v>168</v>
      </c>
      <c r="B170" s="4">
        <v>45764</v>
      </c>
      <c r="C170" s="5" t="s">
        <v>19</v>
      </c>
      <c r="D170" s="6">
        <v>323.3</v>
      </c>
      <c r="E170" s="6">
        <v>323.89999999999998</v>
      </c>
      <c r="F170" s="6">
        <v>322.10000000000002</v>
      </c>
      <c r="G170" s="6">
        <v>323</v>
      </c>
      <c r="H170" s="6">
        <v>323.3</v>
      </c>
      <c r="I170" s="6">
        <v>322.5</v>
      </c>
      <c r="J170" s="6">
        <v>694</v>
      </c>
      <c r="K170" s="6">
        <v>23.815999999999999</v>
      </c>
      <c r="L170" s="7">
        <v>73751</v>
      </c>
    </row>
    <row r="171" spans="1:12">
      <c r="A171" s="3">
        <v>169</v>
      </c>
      <c r="B171" s="4">
        <v>45763</v>
      </c>
      <c r="C171" s="5" t="s">
        <v>19</v>
      </c>
      <c r="D171" s="6">
        <v>322.5</v>
      </c>
      <c r="E171" s="6">
        <v>324.89999999999998</v>
      </c>
      <c r="F171" s="6">
        <v>321.89999999999998</v>
      </c>
      <c r="G171" s="6">
        <v>323.8</v>
      </c>
      <c r="H171" s="6">
        <v>322.5</v>
      </c>
      <c r="I171" s="6">
        <v>323.5</v>
      </c>
      <c r="J171" s="7">
        <v>1018</v>
      </c>
      <c r="K171" s="6">
        <v>34.963999999999999</v>
      </c>
      <c r="L171" s="7">
        <v>108231</v>
      </c>
    </row>
    <row r="172" spans="1:12">
      <c r="A172" s="3">
        <v>170</v>
      </c>
      <c r="B172" s="4">
        <v>45762</v>
      </c>
      <c r="C172" s="5" t="s">
        <v>19</v>
      </c>
      <c r="D172" s="6">
        <v>323.5</v>
      </c>
      <c r="E172" s="6">
        <v>345</v>
      </c>
      <c r="F172" s="6">
        <v>321.7</v>
      </c>
      <c r="G172" s="6">
        <v>345</v>
      </c>
      <c r="H172" s="6">
        <v>323.5</v>
      </c>
      <c r="I172" s="6">
        <v>322.8</v>
      </c>
      <c r="J172" s="7">
        <v>1308</v>
      </c>
      <c r="K172" s="6">
        <v>37.828000000000003</v>
      </c>
      <c r="L172" s="7">
        <v>117334</v>
      </c>
    </row>
    <row r="173" spans="1:12">
      <c r="A173" s="3">
        <v>171</v>
      </c>
      <c r="B173" s="4">
        <v>45760</v>
      </c>
      <c r="C173" s="5" t="s">
        <v>19</v>
      </c>
      <c r="D173" s="6">
        <v>322.8</v>
      </c>
      <c r="E173" s="6">
        <v>323.89999999999998</v>
      </c>
      <c r="F173" s="6">
        <v>321</v>
      </c>
      <c r="G173" s="6">
        <v>323</v>
      </c>
      <c r="H173" s="6">
        <v>322.8</v>
      </c>
      <c r="I173" s="6">
        <v>322.2</v>
      </c>
      <c r="J173" s="7">
        <v>1174</v>
      </c>
      <c r="K173" s="6">
        <v>34.198999999999998</v>
      </c>
      <c r="L173" s="7">
        <v>106231</v>
      </c>
    </row>
    <row r="174" spans="1:12">
      <c r="A174" s="3">
        <v>172</v>
      </c>
      <c r="B174" s="4">
        <v>45757</v>
      </c>
      <c r="C174" s="5" t="s">
        <v>19</v>
      </c>
      <c r="D174" s="6">
        <v>322.2</v>
      </c>
      <c r="E174" s="6">
        <v>326</v>
      </c>
      <c r="F174" s="6">
        <v>321.89999999999998</v>
      </c>
      <c r="G174" s="6">
        <v>326</v>
      </c>
      <c r="H174" s="6">
        <v>322.2</v>
      </c>
      <c r="I174" s="6">
        <v>324.8</v>
      </c>
      <c r="J174" s="7">
        <v>1210</v>
      </c>
      <c r="K174" s="6">
        <v>30.474</v>
      </c>
      <c r="L174" s="7">
        <v>94210</v>
      </c>
    </row>
    <row r="175" spans="1:12">
      <c r="A175" s="3">
        <v>173</v>
      </c>
      <c r="B175" s="4">
        <v>45756</v>
      </c>
      <c r="C175" s="5" t="s">
        <v>19</v>
      </c>
      <c r="D175" s="6">
        <v>324.8</v>
      </c>
      <c r="E175" s="6">
        <v>327.39999999999998</v>
      </c>
      <c r="F175" s="6">
        <v>321.5</v>
      </c>
      <c r="G175" s="6">
        <v>322</v>
      </c>
      <c r="H175" s="6">
        <v>324.8</v>
      </c>
      <c r="I175" s="6">
        <v>321.8</v>
      </c>
      <c r="J175" s="7">
        <v>1222</v>
      </c>
      <c r="K175" s="6">
        <v>27.350999999999999</v>
      </c>
      <c r="L175" s="7">
        <v>84267</v>
      </c>
    </row>
    <row r="176" spans="1:12">
      <c r="A176" s="3">
        <v>174</v>
      </c>
      <c r="B176" s="4">
        <v>45755</v>
      </c>
      <c r="C176" s="5" t="s">
        <v>19</v>
      </c>
      <c r="D176" s="6">
        <v>322.5</v>
      </c>
      <c r="E176" s="6">
        <v>322.8</v>
      </c>
      <c r="F176" s="6">
        <v>319.7</v>
      </c>
      <c r="G176" s="6">
        <v>320.39999999999998</v>
      </c>
      <c r="H176" s="6">
        <v>321.8</v>
      </c>
      <c r="I176" s="6">
        <v>320.39999999999998</v>
      </c>
      <c r="J176" s="6">
        <v>749</v>
      </c>
      <c r="K176" s="6">
        <v>15.638</v>
      </c>
      <c r="L176" s="7">
        <v>48706</v>
      </c>
    </row>
    <row r="177" spans="1:12">
      <c r="A177" s="3">
        <v>175</v>
      </c>
      <c r="B177" s="4">
        <v>45754</v>
      </c>
      <c r="C177" s="5" t="s">
        <v>19</v>
      </c>
      <c r="D177" s="6">
        <v>320.39999999999998</v>
      </c>
      <c r="E177" s="6">
        <v>323.89999999999998</v>
      </c>
      <c r="F177" s="6">
        <v>319.7</v>
      </c>
      <c r="G177" s="6">
        <v>319.7</v>
      </c>
      <c r="H177" s="6">
        <v>320.39999999999998</v>
      </c>
      <c r="I177" s="6">
        <v>320.7</v>
      </c>
      <c r="J177" s="7">
        <v>1003</v>
      </c>
      <c r="K177" s="6">
        <v>18.22</v>
      </c>
      <c r="L177" s="7">
        <v>56688</v>
      </c>
    </row>
    <row r="178" spans="1:12">
      <c r="A178" s="3">
        <v>176</v>
      </c>
      <c r="B178" s="4">
        <v>45753</v>
      </c>
      <c r="C178" s="5" t="s">
        <v>19</v>
      </c>
      <c r="D178" s="6">
        <v>321.5</v>
      </c>
      <c r="E178" s="6">
        <v>323.5</v>
      </c>
      <c r="F178" s="6">
        <v>319.5</v>
      </c>
      <c r="G178" s="6">
        <v>323.5</v>
      </c>
      <c r="H178" s="6">
        <v>320.7</v>
      </c>
      <c r="I178" s="6">
        <v>323.39999999999998</v>
      </c>
      <c r="J178" s="6">
        <v>999</v>
      </c>
      <c r="K178" s="6">
        <v>14.798999999999999</v>
      </c>
      <c r="L178" s="7">
        <v>46173</v>
      </c>
    </row>
    <row r="179" spans="1:12">
      <c r="A179" s="3">
        <v>177</v>
      </c>
      <c r="B179" s="4">
        <v>45743</v>
      </c>
      <c r="C179" s="5" t="s">
        <v>19</v>
      </c>
      <c r="D179" s="6">
        <v>323.39999999999998</v>
      </c>
      <c r="E179" s="6">
        <v>324.60000000000002</v>
      </c>
      <c r="F179" s="6">
        <v>323.10000000000002</v>
      </c>
      <c r="G179" s="6">
        <v>324.60000000000002</v>
      </c>
      <c r="H179" s="6">
        <v>323.39999999999998</v>
      </c>
      <c r="I179" s="6">
        <v>323.89999999999998</v>
      </c>
      <c r="J179" s="6">
        <v>705</v>
      </c>
      <c r="K179" s="6">
        <v>11.119</v>
      </c>
      <c r="L179" s="7">
        <v>34363</v>
      </c>
    </row>
    <row r="180" spans="1:12">
      <c r="A180" s="3">
        <v>178</v>
      </c>
      <c r="B180" s="4">
        <v>45741</v>
      </c>
      <c r="C180" s="5" t="s">
        <v>19</v>
      </c>
      <c r="D180" s="6">
        <v>323.89999999999998</v>
      </c>
      <c r="E180" s="6">
        <v>324.89999999999998</v>
      </c>
      <c r="F180" s="6">
        <v>322.60000000000002</v>
      </c>
      <c r="G180" s="6">
        <v>324.89999999999998</v>
      </c>
      <c r="H180" s="6">
        <v>323.89999999999998</v>
      </c>
      <c r="I180" s="6">
        <v>324</v>
      </c>
      <c r="J180" s="6">
        <v>797</v>
      </c>
      <c r="K180" s="6">
        <v>16.376999999999999</v>
      </c>
      <c r="L180" s="7">
        <v>50595</v>
      </c>
    </row>
    <row r="181" spans="1:12">
      <c r="A181" s="3">
        <v>179</v>
      </c>
      <c r="B181" s="4">
        <v>45740</v>
      </c>
      <c r="C181" s="5" t="s">
        <v>19</v>
      </c>
      <c r="D181" s="6">
        <v>324</v>
      </c>
      <c r="E181" s="6">
        <v>324.89999999999998</v>
      </c>
      <c r="F181" s="6">
        <v>323.8</v>
      </c>
      <c r="G181" s="6">
        <v>324.10000000000002</v>
      </c>
      <c r="H181" s="6">
        <v>324</v>
      </c>
      <c r="I181" s="6">
        <v>324.2</v>
      </c>
      <c r="J181" s="6">
        <v>778</v>
      </c>
      <c r="K181" s="6">
        <v>18.338000000000001</v>
      </c>
      <c r="L181" s="7">
        <v>56603</v>
      </c>
    </row>
    <row r="182" spans="1:12">
      <c r="A182" s="3">
        <v>180</v>
      </c>
      <c r="B182" s="4">
        <v>45739</v>
      </c>
      <c r="C182" s="5" t="s">
        <v>19</v>
      </c>
      <c r="D182" s="6">
        <v>324.2</v>
      </c>
      <c r="E182" s="6">
        <v>325</v>
      </c>
      <c r="F182" s="6">
        <v>324</v>
      </c>
      <c r="G182" s="6">
        <v>325</v>
      </c>
      <c r="H182" s="6">
        <v>324.2</v>
      </c>
      <c r="I182" s="6">
        <v>324.2</v>
      </c>
      <c r="J182" s="6">
        <v>561</v>
      </c>
      <c r="K182" s="6">
        <v>15.725</v>
      </c>
      <c r="L182" s="7">
        <v>48479</v>
      </c>
    </row>
    <row r="183" spans="1:12">
      <c r="A183" s="3">
        <v>181</v>
      </c>
      <c r="B183" s="4">
        <v>45736</v>
      </c>
      <c r="C183" s="5" t="s">
        <v>19</v>
      </c>
      <c r="D183" s="6">
        <v>324.2</v>
      </c>
      <c r="E183" s="6">
        <v>326</v>
      </c>
      <c r="F183" s="6">
        <v>323.10000000000002</v>
      </c>
      <c r="G183" s="6">
        <v>324.89999999999998</v>
      </c>
      <c r="H183" s="6">
        <v>324.2</v>
      </c>
      <c r="I183" s="6">
        <v>324.7</v>
      </c>
      <c r="J183" s="6">
        <v>438</v>
      </c>
      <c r="K183" s="6">
        <v>9.9019999999999992</v>
      </c>
      <c r="L183" s="7">
        <v>30548</v>
      </c>
    </row>
    <row r="184" spans="1:12">
      <c r="A184" s="3">
        <v>182</v>
      </c>
      <c r="B184" s="4">
        <v>45735</v>
      </c>
      <c r="C184" s="5" t="s">
        <v>19</v>
      </c>
      <c r="D184" s="6">
        <v>324.7</v>
      </c>
      <c r="E184" s="6">
        <v>326.89999999999998</v>
      </c>
      <c r="F184" s="6">
        <v>323</v>
      </c>
      <c r="G184" s="6">
        <v>326.89999999999998</v>
      </c>
      <c r="H184" s="6">
        <v>324.7</v>
      </c>
      <c r="I184" s="6">
        <v>324</v>
      </c>
      <c r="J184" s="6">
        <v>890</v>
      </c>
      <c r="K184" s="6">
        <v>13.848000000000001</v>
      </c>
      <c r="L184" s="7">
        <v>42740</v>
      </c>
    </row>
    <row r="185" spans="1:12">
      <c r="A185" s="3">
        <v>183</v>
      </c>
      <c r="B185" s="4">
        <v>45734</v>
      </c>
      <c r="C185" s="5" t="s">
        <v>19</v>
      </c>
      <c r="D185" s="6">
        <v>324</v>
      </c>
      <c r="E185" s="6">
        <v>324.5</v>
      </c>
      <c r="F185" s="6">
        <v>323.7</v>
      </c>
      <c r="G185" s="6">
        <v>324.10000000000002</v>
      </c>
      <c r="H185" s="6">
        <v>324</v>
      </c>
      <c r="I185" s="6">
        <v>324</v>
      </c>
      <c r="J185" s="6">
        <v>824</v>
      </c>
      <c r="K185" s="6">
        <v>10.739000000000001</v>
      </c>
      <c r="L185" s="7">
        <v>33153</v>
      </c>
    </row>
    <row r="186" spans="1:12">
      <c r="A186" s="3">
        <v>184</v>
      </c>
      <c r="B186" s="4">
        <v>45733</v>
      </c>
      <c r="C186" s="5" t="s">
        <v>19</v>
      </c>
      <c r="D186" s="6">
        <v>324</v>
      </c>
      <c r="E186" s="6">
        <v>327.39999999999998</v>
      </c>
      <c r="F186" s="6">
        <v>323.39999999999998</v>
      </c>
      <c r="G186" s="6">
        <v>326</v>
      </c>
      <c r="H186" s="6">
        <v>324</v>
      </c>
      <c r="I186" s="6">
        <v>326</v>
      </c>
      <c r="J186" s="6">
        <v>872</v>
      </c>
      <c r="K186" s="6">
        <v>12.244999999999999</v>
      </c>
      <c r="L186" s="7">
        <v>37748</v>
      </c>
    </row>
    <row r="187" spans="1:12">
      <c r="A187" s="3">
        <v>185</v>
      </c>
      <c r="B187" s="4">
        <v>45732</v>
      </c>
      <c r="C187" s="5" t="s">
        <v>19</v>
      </c>
      <c r="D187" s="6">
        <v>326</v>
      </c>
      <c r="E187" s="6">
        <v>329.8</v>
      </c>
      <c r="F187" s="6">
        <v>325.39999999999998</v>
      </c>
      <c r="G187" s="6">
        <v>328.2</v>
      </c>
      <c r="H187" s="6">
        <v>326</v>
      </c>
      <c r="I187" s="6">
        <v>328.2</v>
      </c>
      <c r="J187" s="6">
        <v>996</v>
      </c>
      <c r="K187" s="6">
        <v>20.181999999999999</v>
      </c>
      <c r="L187" s="7">
        <v>61739</v>
      </c>
    </row>
    <row r="188" spans="1:12">
      <c r="A188" s="3">
        <v>186</v>
      </c>
      <c r="B188" s="4">
        <v>45729</v>
      </c>
      <c r="C188" s="5" t="s">
        <v>19</v>
      </c>
      <c r="D188" s="6">
        <v>328.2</v>
      </c>
      <c r="E188" s="6">
        <v>329.1</v>
      </c>
      <c r="F188" s="6">
        <v>327.60000000000002</v>
      </c>
      <c r="G188" s="6">
        <v>328.3</v>
      </c>
      <c r="H188" s="6">
        <v>328.2</v>
      </c>
      <c r="I188" s="6">
        <v>328.1</v>
      </c>
      <c r="J188" s="6">
        <v>630</v>
      </c>
      <c r="K188" s="6">
        <v>15.571</v>
      </c>
      <c r="L188" s="7">
        <v>47448</v>
      </c>
    </row>
    <row r="189" spans="1:12">
      <c r="A189" s="3">
        <v>187</v>
      </c>
      <c r="B189" s="4">
        <v>45728</v>
      </c>
      <c r="C189" s="5" t="s">
        <v>19</v>
      </c>
      <c r="D189" s="6">
        <v>328.1</v>
      </c>
      <c r="E189" s="6">
        <v>330</v>
      </c>
      <c r="F189" s="6">
        <v>324.89999999999998</v>
      </c>
      <c r="G189" s="6">
        <v>324.89999999999998</v>
      </c>
      <c r="H189" s="6">
        <v>328.1</v>
      </c>
      <c r="I189" s="6">
        <v>324.89999999999998</v>
      </c>
      <c r="J189" s="6">
        <v>696</v>
      </c>
      <c r="K189" s="6">
        <v>15.051</v>
      </c>
      <c r="L189" s="7">
        <v>45862</v>
      </c>
    </row>
    <row r="190" spans="1:12">
      <c r="A190" s="3">
        <v>188</v>
      </c>
      <c r="B190" s="4">
        <v>45727</v>
      </c>
      <c r="C190" s="5" t="s">
        <v>19</v>
      </c>
      <c r="D190" s="6">
        <v>324.89999999999998</v>
      </c>
      <c r="E190" s="6">
        <v>327</v>
      </c>
      <c r="F190" s="6">
        <v>324.10000000000002</v>
      </c>
      <c r="G190" s="6">
        <v>324.89999999999998</v>
      </c>
      <c r="H190" s="6">
        <v>324.89999999999998</v>
      </c>
      <c r="I190" s="6">
        <v>324.60000000000002</v>
      </c>
      <c r="J190" s="6">
        <v>800</v>
      </c>
      <c r="K190" s="6">
        <v>16.768000000000001</v>
      </c>
      <c r="L190" s="7">
        <v>51610</v>
      </c>
    </row>
    <row r="191" spans="1:12">
      <c r="A191" s="3">
        <v>189</v>
      </c>
      <c r="B191" s="4">
        <v>45726</v>
      </c>
      <c r="C191" s="5" t="s">
        <v>19</v>
      </c>
      <c r="D191" s="6">
        <v>324.60000000000002</v>
      </c>
      <c r="E191" s="6">
        <v>326</v>
      </c>
      <c r="F191" s="6">
        <v>323.2</v>
      </c>
      <c r="G191" s="6">
        <v>323.60000000000002</v>
      </c>
      <c r="H191" s="6">
        <v>324.60000000000002</v>
      </c>
      <c r="I191" s="6">
        <v>324.3</v>
      </c>
      <c r="J191" s="6">
        <v>834</v>
      </c>
      <c r="K191" s="6">
        <v>14.98</v>
      </c>
      <c r="L191" s="7">
        <v>46188</v>
      </c>
    </row>
    <row r="192" spans="1:12">
      <c r="A192" s="3">
        <v>190</v>
      </c>
      <c r="B192" s="4">
        <v>45725</v>
      </c>
      <c r="C192" s="5" t="s">
        <v>19</v>
      </c>
      <c r="D192" s="6">
        <v>324.3</v>
      </c>
      <c r="E192" s="6">
        <v>327.8</v>
      </c>
      <c r="F192" s="6">
        <v>324</v>
      </c>
      <c r="G192" s="6">
        <v>326.60000000000002</v>
      </c>
      <c r="H192" s="6">
        <v>324.3</v>
      </c>
      <c r="I192" s="6">
        <v>326.60000000000002</v>
      </c>
      <c r="J192" s="7">
        <v>1040</v>
      </c>
      <c r="K192" s="6">
        <v>18.792999999999999</v>
      </c>
      <c r="L192" s="7">
        <v>57846</v>
      </c>
    </row>
    <row r="193" spans="1:12">
      <c r="A193" s="3">
        <v>191</v>
      </c>
      <c r="B193" s="4">
        <v>45722</v>
      </c>
      <c r="C193" s="5" t="s">
        <v>19</v>
      </c>
      <c r="D193" s="6">
        <v>326.60000000000002</v>
      </c>
      <c r="E193" s="6">
        <v>330</v>
      </c>
      <c r="F193" s="6">
        <v>326.3</v>
      </c>
      <c r="G193" s="6">
        <v>328</v>
      </c>
      <c r="H193" s="6">
        <v>326.60000000000002</v>
      </c>
      <c r="I193" s="6">
        <v>327.60000000000002</v>
      </c>
      <c r="J193" s="7">
        <v>1106</v>
      </c>
      <c r="K193" s="6">
        <v>20.946000000000002</v>
      </c>
      <c r="L193" s="7">
        <v>64039</v>
      </c>
    </row>
    <row r="194" spans="1:12">
      <c r="A194" s="3">
        <v>192</v>
      </c>
      <c r="B194" s="4">
        <v>45721</v>
      </c>
      <c r="C194" s="5" t="s">
        <v>19</v>
      </c>
      <c r="D194" s="6">
        <v>327.60000000000002</v>
      </c>
      <c r="E194" s="6">
        <v>329.2</v>
      </c>
      <c r="F194" s="6">
        <v>326</v>
      </c>
      <c r="G194" s="6">
        <v>327</v>
      </c>
      <c r="H194" s="6">
        <v>327.60000000000002</v>
      </c>
      <c r="I194" s="6">
        <v>327</v>
      </c>
      <c r="J194" s="7">
        <v>1035</v>
      </c>
      <c r="K194" s="6">
        <v>25.286000000000001</v>
      </c>
      <c r="L194" s="7">
        <v>77228</v>
      </c>
    </row>
    <row r="195" spans="1:12">
      <c r="A195" s="3">
        <v>193</v>
      </c>
      <c r="B195" s="4">
        <v>45720</v>
      </c>
      <c r="C195" s="5" t="s">
        <v>19</v>
      </c>
      <c r="D195" s="6">
        <v>327</v>
      </c>
      <c r="E195" s="6">
        <v>331.9</v>
      </c>
      <c r="F195" s="6">
        <v>326.10000000000002</v>
      </c>
      <c r="G195" s="6">
        <v>330.1</v>
      </c>
      <c r="H195" s="6">
        <v>327</v>
      </c>
      <c r="I195" s="6">
        <v>330.7</v>
      </c>
      <c r="J195" s="7">
        <v>1501</v>
      </c>
      <c r="K195" s="6">
        <v>30.254000000000001</v>
      </c>
      <c r="L195" s="7">
        <v>91941</v>
      </c>
    </row>
    <row r="196" spans="1:12">
      <c r="A196" s="3">
        <v>194</v>
      </c>
      <c r="B196" s="4">
        <v>45719</v>
      </c>
      <c r="C196" s="5" t="s">
        <v>19</v>
      </c>
      <c r="D196" s="6">
        <v>330.7</v>
      </c>
      <c r="E196" s="6">
        <v>334.4</v>
      </c>
      <c r="F196" s="6">
        <v>330.1</v>
      </c>
      <c r="G196" s="6">
        <v>334.4</v>
      </c>
      <c r="H196" s="6">
        <v>330.7</v>
      </c>
      <c r="I196" s="6">
        <v>333.9</v>
      </c>
      <c r="J196" s="7">
        <v>1538</v>
      </c>
      <c r="K196" s="6">
        <v>33.301000000000002</v>
      </c>
      <c r="L196" s="7">
        <v>100483</v>
      </c>
    </row>
    <row r="197" spans="1:12">
      <c r="A197" s="3">
        <v>195</v>
      </c>
      <c r="B197" s="4">
        <v>45718</v>
      </c>
      <c r="C197" s="5" t="s">
        <v>19</v>
      </c>
      <c r="D197" s="6">
        <v>333.9</v>
      </c>
      <c r="E197" s="6">
        <v>336.1</v>
      </c>
      <c r="F197" s="6">
        <v>333</v>
      </c>
      <c r="G197" s="6">
        <v>335</v>
      </c>
      <c r="H197" s="6">
        <v>333.9</v>
      </c>
      <c r="I197" s="6">
        <v>334</v>
      </c>
      <c r="J197" s="7">
        <v>1188</v>
      </c>
      <c r="K197" s="6">
        <v>27.597999999999999</v>
      </c>
      <c r="L197" s="7">
        <v>82692</v>
      </c>
    </row>
    <row r="198" spans="1:12">
      <c r="A198" s="3">
        <v>196</v>
      </c>
      <c r="B198" s="4">
        <v>45715</v>
      </c>
      <c r="C198" s="5" t="s">
        <v>19</v>
      </c>
      <c r="D198" s="6">
        <v>334</v>
      </c>
      <c r="E198" s="6">
        <v>340</v>
      </c>
      <c r="F198" s="6">
        <v>330.2</v>
      </c>
      <c r="G198" s="6">
        <v>340</v>
      </c>
      <c r="H198" s="6">
        <v>334</v>
      </c>
      <c r="I198" s="6">
        <v>346.7</v>
      </c>
      <c r="J198" s="7">
        <v>2835</v>
      </c>
      <c r="K198" s="6">
        <v>75.722999999999999</v>
      </c>
      <c r="L198" s="7">
        <v>226578</v>
      </c>
    </row>
    <row r="199" spans="1:12">
      <c r="A199" s="3">
        <v>197</v>
      </c>
      <c r="B199" s="4">
        <v>45714</v>
      </c>
      <c r="C199" s="5" t="s">
        <v>19</v>
      </c>
      <c r="D199" s="6">
        <v>0</v>
      </c>
      <c r="E199" s="6">
        <v>0</v>
      </c>
      <c r="F199" s="6">
        <v>0</v>
      </c>
      <c r="G199" s="6">
        <v>0</v>
      </c>
      <c r="H199" s="6">
        <v>346.7</v>
      </c>
      <c r="I199" s="6">
        <v>346.7</v>
      </c>
      <c r="J199" s="6">
        <v>0</v>
      </c>
      <c r="K199" s="6">
        <v>0</v>
      </c>
      <c r="L199" s="6">
        <v>0</v>
      </c>
    </row>
    <row r="200" spans="1:12">
      <c r="A200" s="3">
        <v>198</v>
      </c>
      <c r="B200" s="4">
        <v>45713</v>
      </c>
      <c r="C200" s="5" t="s">
        <v>19</v>
      </c>
      <c r="D200" s="6">
        <v>346.7</v>
      </c>
      <c r="E200" s="6">
        <v>347.7</v>
      </c>
      <c r="F200" s="6">
        <v>345.7</v>
      </c>
      <c r="G200" s="6">
        <v>346.8</v>
      </c>
      <c r="H200" s="6">
        <v>346.7</v>
      </c>
      <c r="I200" s="6">
        <v>345.6</v>
      </c>
      <c r="J200" s="7">
        <v>1621</v>
      </c>
      <c r="K200" s="6">
        <v>77.212000000000003</v>
      </c>
      <c r="L200" s="7">
        <v>222597</v>
      </c>
    </row>
    <row r="201" spans="1:12">
      <c r="A201" s="3">
        <v>199</v>
      </c>
      <c r="B201" s="4">
        <v>45712</v>
      </c>
      <c r="C201" s="5" t="s">
        <v>19</v>
      </c>
      <c r="D201" s="6">
        <v>345.6</v>
      </c>
      <c r="E201" s="6">
        <v>348</v>
      </c>
      <c r="F201" s="6">
        <v>344.9</v>
      </c>
      <c r="G201" s="6">
        <v>345.5</v>
      </c>
      <c r="H201" s="6">
        <v>345.6</v>
      </c>
      <c r="I201" s="6">
        <v>345.8</v>
      </c>
      <c r="J201" s="7">
        <v>1754</v>
      </c>
      <c r="K201" s="6">
        <v>40.362000000000002</v>
      </c>
      <c r="L201" s="7">
        <v>116656</v>
      </c>
    </row>
    <row r="202" spans="1:12">
      <c r="A202" s="3">
        <v>200</v>
      </c>
      <c r="B202" s="4">
        <v>45711</v>
      </c>
      <c r="C202" s="5" t="s">
        <v>19</v>
      </c>
      <c r="D202" s="6">
        <v>345.8</v>
      </c>
      <c r="E202" s="6">
        <v>346.5</v>
      </c>
      <c r="F202" s="6">
        <v>340.9</v>
      </c>
      <c r="G202" s="6">
        <v>341</v>
      </c>
      <c r="H202" s="6">
        <v>345.8</v>
      </c>
      <c r="I202" s="6">
        <v>339</v>
      </c>
      <c r="J202" s="7">
        <v>1261</v>
      </c>
      <c r="K202" s="6">
        <v>37.578000000000003</v>
      </c>
      <c r="L202" s="7">
        <v>109752</v>
      </c>
    </row>
    <row r="203" spans="1:12">
      <c r="A203" s="3">
        <v>201</v>
      </c>
      <c r="B203" s="4">
        <v>45708</v>
      </c>
      <c r="C203" s="5" t="s">
        <v>19</v>
      </c>
      <c r="D203" s="6">
        <v>339</v>
      </c>
      <c r="E203" s="6">
        <v>344</v>
      </c>
      <c r="F203" s="6">
        <v>338</v>
      </c>
      <c r="G203" s="6">
        <v>344</v>
      </c>
      <c r="H203" s="6">
        <v>339</v>
      </c>
      <c r="I203" s="6">
        <v>341.3</v>
      </c>
      <c r="J203" s="7">
        <v>2056</v>
      </c>
      <c r="K203" s="6">
        <v>119.526</v>
      </c>
      <c r="L203" s="7">
        <v>351936</v>
      </c>
    </row>
    <row r="204" spans="1:12">
      <c r="A204" s="3">
        <v>202</v>
      </c>
      <c r="B204" s="4">
        <v>45707</v>
      </c>
      <c r="C204" s="5" t="s">
        <v>19</v>
      </c>
      <c r="D204" s="6">
        <v>341.3</v>
      </c>
      <c r="E204" s="6">
        <v>345.1</v>
      </c>
      <c r="F204" s="6">
        <v>340</v>
      </c>
      <c r="G204" s="6">
        <v>344.7</v>
      </c>
      <c r="H204" s="6">
        <v>341.3</v>
      </c>
      <c r="I204" s="6">
        <v>344.7</v>
      </c>
      <c r="J204" s="7">
        <v>1860</v>
      </c>
      <c r="K204" s="6">
        <v>99.311999999999998</v>
      </c>
      <c r="L204" s="7">
        <v>290222</v>
      </c>
    </row>
    <row r="205" spans="1:12">
      <c r="A205" s="3">
        <v>203</v>
      </c>
      <c r="B205" s="4">
        <v>45706</v>
      </c>
      <c r="C205" s="5" t="s">
        <v>19</v>
      </c>
      <c r="D205" s="6">
        <v>344.7</v>
      </c>
      <c r="E205" s="6">
        <v>347</v>
      </c>
      <c r="F205" s="6">
        <v>343.8</v>
      </c>
      <c r="G205" s="6">
        <v>346.7</v>
      </c>
      <c r="H205" s="6">
        <v>344.7</v>
      </c>
      <c r="I205" s="6">
        <v>346.7</v>
      </c>
      <c r="J205" s="7">
        <v>2122</v>
      </c>
      <c r="K205" s="6">
        <v>101.06</v>
      </c>
      <c r="L205" s="7">
        <v>292592</v>
      </c>
    </row>
    <row r="206" spans="1:12">
      <c r="A206" s="3">
        <v>204</v>
      </c>
      <c r="B206" s="4">
        <v>45705</v>
      </c>
      <c r="C206" s="5" t="s">
        <v>19</v>
      </c>
      <c r="D206" s="6">
        <v>346.7</v>
      </c>
      <c r="E206" s="6">
        <v>348</v>
      </c>
      <c r="F206" s="6">
        <v>346</v>
      </c>
      <c r="G206" s="6">
        <v>346.7</v>
      </c>
      <c r="H206" s="6">
        <v>346.7</v>
      </c>
      <c r="I206" s="6">
        <v>346.7</v>
      </c>
      <c r="J206" s="7">
        <v>1957</v>
      </c>
      <c r="K206" s="6">
        <v>93.179000000000002</v>
      </c>
      <c r="L206" s="7">
        <v>268747</v>
      </c>
    </row>
    <row r="207" spans="1:12">
      <c r="A207" s="3">
        <v>205</v>
      </c>
      <c r="B207" s="4">
        <v>45704</v>
      </c>
      <c r="C207" s="5" t="s">
        <v>19</v>
      </c>
      <c r="D207" s="6">
        <v>346.7</v>
      </c>
      <c r="E207" s="6">
        <v>350.3</v>
      </c>
      <c r="F207" s="6">
        <v>346.2</v>
      </c>
      <c r="G207" s="6">
        <v>350.3</v>
      </c>
      <c r="H207" s="6">
        <v>346.7</v>
      </c>
      <c r="I207" s="6">
        <v>348.7</v>
      </c>
      <c r="J207" s="7">
        <v>1627</v>
      </c>
      <c r="K207" s="6">
        <v>44.268000000000001</v>
      </c>
      <c r="L207" s="7">
        <v>127373</v>
      </c>
    </row>
    <row r="208" spans="1:12">
      <c r="A208" s="3">
        <v>206</v>
      </c>
      <c r="B208" s="4">
        <v>45701</v>
      </c>
      <c r="C208" s="5" t="s">
        <v>19</v>
      </c>
      <c r="D208" s="6">
        <v>348.7</v>
      </c>
      <c r="E208" s="6">
        <v>349.2</v>
      </c>
      <c r="F208" s="6">
        <v>346.3</v>
      </c>
      <c r="G208" s="6">
        <v>347.1</v>
      </c>
      <c r="H208" s="6">
        <v>348.7</v>
      </c>
      <c r="I208" s="6">
        <v>346.8</v>
      </c>
      <c r="J208" s="7">
        <v>1230</v>
      </c>
      <c r="K208" s="6">
        <v>21.314</v>
      </c>
      <c r="L208" s="7">
        <v>61317</v>
      </c>
    </row>
    <row r="209" spans="1:12">
      <c r="A209" s="3">
        <v>207</v>
      </c>
      <c r="B209" s="4">
        <v>45700</v>
      </c>
      <c r="C209" s="5" t="s">
        <v>19</v>
      </c>
      <c r="D209" s="6">
        <v>346.8</v>
      </c>
      <c r="E209" s="6">
        <v>348.3</v>
      </c>
      <c r="F209" s="6">
        <v>346.1</v>
      </c>
      <c r="G209" s="6">
        <v>348.3</v>
      </c>
      <c r="H209" s="6">
        <v>346.8</v>
      </c>
      <c r="I209" s="6">
        <v>346.9</v>
      </c>
      <c r="J209" s="6">
        <v>956</v>
      </c>
      <c r="K209" s="6">
        <v>21.488</v>
      </c>
      <c r="L209" s="7">
        <v>61942</v>
      </c>
    </row>
    <row r="210" spans="1:12">
      <c r="A210" s="3">
        <v>208</v>
      </c>
      <c r="B210" s="4">
        <v>45699</v>
      </c>
      <c r="C210" s="5" t="s">
        <v>19</v>
      </c>
      <c r="D210" s="6">
        <v>346.9</v>
      </c>
      <c r="E210" s="6">
        <v>351</v>
      </c>
      <c r="F210" s="6">
        <v>346</v>
      </c>
      <c r="G210" s="6">
        <v>351</v>
      </c>
      <c r="H210" s="6">
        <v>346.9</v>
      </c>
      <c r="I210" s="6">
        <v>349.3</v>
      </c>
      <c r="J210" s="7">
        <v>1868</v>
      </c>
      <c r="K210" s="6">
        <v>48.53</v>
      </c>
      <c r="L210" s="7">
        <v>139369</v>
      </c>
    </row>
    <row r="211" spans="1:12">
      <c r="A211" s="3">
        <v>209</v>
      </c>
      <c r="B211" s="4">
        <v>45698</v>
      </c>
      <c r="C211" s="5" t="s">
        <v>19</v>
      </c>
      <c r="D211" s="6">
        <v>349.3</v>
      </c>
      <c r="E211" s="6">
        <v>351.3</v>
      </c>
      <c r="F211" s="6">
        <v>349</v>
      </c>
      <c r="G211" s="6">
        <v>351</v>
      </c>
      <c r="H211" s="6">
        <v>349.3</v>
      </c>
      <c r="I211" s="6">
        <v>350.9</v>
      </c>
      <c r="J211" s="7">
        <v>1491</v>
      </c>
      <c r="K211" s="6">
        <v>50.478000000000002</v>
      </c>
      <c r="L211" s="7">
        <v>144373</v>
      </c>
    </row>
    <row r="212" spans="1:12">
      <c r="A212" s="3">
        <v>210</v>
      </c>
      <c r="B212" s="4">
        <v>45697</v>
      </c>
      <c r="C212" s="5" t="s">
        <v>19</v>
      </c>
      <c r="D212" s="6">
        <v>350.9</v>
      </c>
      <c r="E212" s="6">
        <v>352.7</v>
      </c>
      <c r="F212" s="6">
        <v>349.8</v>
      </c>
      <c r="G212" s="6">
        <v>352.7</v>
      </c>
      <c r="H212" s="6">
        <v>350.9</v>
      </c>
      <c r="I212" s="6">
        <v>350.1</v>
      </c>
      <c r="J212" s="6">
        <v>649</v>
      </c>
      <c r="K212" s="6">
        <v>15.263999999999999</v>
      </c>
      <c r="L212" s="7">
        <v>43529</v>
      </c>
    </row>
    <row r="213" spans="1:12">
      <c r="A213" s="3">
        <v>211</v>
      </c>
      <c r="B213" s="4">
        <v>45694</v>
      </c>
      <c r="C213" s="5" t="s">
        <v>19</v>
      </c>
      <c r="D213" s="6">
        <v>350.1</v>
      </c>
      <c r="E213" s="6">
        <v>354</v>
      </c>
      <c r="F213" s="6">
        <v>259</v>
      </c>
      <c r="G213" s="6">
        <v>349.9</v>
      </c>
      <c r="H213" s="6">
        <v>350.1</v>
      </c>
      <c r="I213" s="6">
        <v>353.3</v>
      </c>
      <c r="J213" s="7">
        <v>1695</v>
      </c>
      <c r="K213" s="6">
        <v>58.418999999999997</v>
      </c>
      <c r="L213" s="7">
        <v>167285</v>
      </c>
    </row>
    <row r="214" spans="1:12">
      <c r="A214" s="3">
        <v>212</v>
      </c>
      <c r="B214" s="4">
        <v>45693</v>
      </c>
      <c r="C214" s="5" t="s">
        <v>19</v>
      </c>
      <c r="D214" s="6">
        <v>353.3</v>
      </c>
      <c r="E214" s="6">
        <v>354.5</v>
      </c>
      <c r="F214" s="6">
        <v>349.6</v>
      </c>
      <c r="G214" s="6">
        <v>349.6</v>
      </c>
      <c r="H214" s="6">
        <v>353.3</v>
      </c>
      <c r="I214" s="6">
        <v>349.6</v>
      </c>
      <c r="J214" s="6">
        <v>718</v>
      </c>
      <c r="K214" s="6">
        <v>25.337</v>
      </c>
      <c r="L214" s="7">
        <v>71696</v>
      </c>
    </row>
    <row r="215" spans="1:12">
      <c r="A215" s="3">
        <v>213</v>
      </c>
      <c r="B215" s="4">
        <v>45692</v>
      </c>
      <c r="C215" s="5" t="s">
        <v>19</v>
      </c>
      <c r="D215" s="6">
        <v>349.6</v>
      </c>
      <c r="E215" s="6">
        <v>354.5</v>
      </c>
      <c r="F215" s="6">
        <v>349.2</v>
      </c>
      <c r="G215" s="6">
        <v>354</v>
      </c>
      <c r="H215" s="6">
        <v>349.6</v>
      </c>
      <c r="I215" s="6">
        <v>352.9</v>
      </c>
      <c r="J215" s="7">
        <v>1244</v>
      </c>
      <c r="K215" s="6">
        <v>32.472000000000001</v>
      </c>
      <c r="L215" s="7">
        <v>92584</v>
      </c>
    </row>
    <row r="216" spans="1:12">
      <c r="A216" s="3">
        <v>214</v>
      </c>
      <c r="B216" s="4">
        <v>45691</v>
      </c>
      <c r="C216" s="5" t="s">
        <v>19</v>
      </c>
      <c r="D216" s="6">
        <v>352.9</v>
      </c>
      <c r="E216" s="6">
        <v>354.6</v>
      </c>
      <c r="F216" s="6">
        <v>352</v>
      </c>
      <c r="G216" s="6">
        <v>354</v>
      </c>
      <c r="H216" s="6">
        <v>352.9</v>
      </c>
      <c r="I216" s="6">
        <v>352.9</v>
      </c>
      <c r="J216" s="6">
        <v>745</v>
      </c>
      <c r="K216" s="6">
        <v>23.036000000000001</v>
      </c>
      <c r="L216" s="7">
        <v>65233</v>
      </c>
    </row>
    <row r="217" spans="1:12">
      <c r="A217" s="3">
        <v>215</v>
      </c>
      <c r="B217" s="4">
        <v>45690</v>
      </c>
      <c r="C217" s="5" t="s">
        <v>19</v>
      </c>
      <c r="D217" s="6">
        <v>352.9</v>
      </c>
      <c r="E217" s="6">
        <v>355.4</v>
      </c>
      <c r="F217" s="6">
        <v>351.4</v>
      </c>
      <c r="G217" s="6">
        <v>353.6</v>
      </c>
      <c r="H217" s="6">
        <v>352.9</v>
      </c>
      <c r="I217" s="6">
        <v>353.6</v>
      </c>
      <c r="J217" s="6">
        <v>873</v>
      </c>
      <c r="K217" s="6">
        <v>21.274000000000001</v>
      </c>
      <c r="L217" s="7">
        <v>60164</v>
      </c>
    </row>
    <row r="218" spans="1:12">
      <c r="A218" s="3">
        <v>216</v>
      </c>
      <c r="B218" s="4">
        <v>45687</v>
      </c>
      <c r="C218" s="5" t="s">
        <v>19</v>
      </c>
      <c r="D218" s="6">
        <v>353.6</v>
      </c>
      <c r="E218" s="6">
        <v>356.6</v>
      </c>
      <c r="F218" s="6">
        <v>351.4</v>
      </c>
      <c r="G218" s="6">
        <v>351.4</v>
      </c>
      <c r="H218" s="6">
        <v>353.6</v>
      </c>
      <c r="I218" s="6">
        <v>350.7</v>
      </c>
      <c r="J218" s="7">
        <v>1239</v>
      </c>
      <c r="K218" s="6">
        <v>28.452999999999999</v>
      </c>
      <c r="L218" s="7">
        <v>80419</v>
      </c>
    </row>
    <row r="219" spans="1:12">
      <c r="A219" s="3">
        <v>217</v>
      </c>
      <c r="B219" s="4">
        <v>45686</v>
      </c>
      <c r="C219" s="5" t="s">
        <v>19</v>
      </c>
      <c r="D219" s="6">
        <v>350.7</v>
      </c>
      <c r="E219" s="6">
        <v>351.5</v>
      </c>
      <c r="F219" s="6">
        <v>344.6</v>
      </c>
      <c r="G219" s="6">
        <v>344.6</v>
      </c>
      <c r="H219" s="6">
        <v>350.7</v>
      </c>
      <c r="I219" s="6">
        <v>344.9</v>
      </c>
      <c r="J219" s="7">
        <v>1304</v>
      </c>
      <c r="K219" s="6">
        <v>24.66</v>
      </c>
      <c r="L219" s="7">
        <v>70517</v>
      </c>
    </row>
    <row r="220" spans="1:12">
      <c r="A220" s="3">
        <v>218</v>
      </c>
      <c r="B220" s="4">
        <v>45685</v>
      </c>
      <c r="C220" s="5" t="s">
        <v>19</v>
      </c>
      <c r="D220" s="6">
        <v>344.9</v>
      </c>
      <c r="E220" s="6">
        <v>346.2</v>
      </c>
      <c r="F220" s="6">
        <v>343.9</v>
      </c>
      <c r="G220" s="6">
        <v>345</v>
      </c>
      <c r="H220" s="6">
        <v>344.9</v>
      </c>
      <c r="I220" s="6">
        <v>345.1</v>
      </c>
      <c r="J220" s="6">
        <v>906</v>
      </c>
      <c r="K220" s="6">
        <v>19.268000000000001</v>
      </c>
      <c r="L220" s="7">
        <v>55850</v>
      </c>
    </row>
    <row r="221" spans="1:12">
      <c r="A221" s="3">
        <v>219</v>
      </c>
      <c r="B221" s="4">
        <v>45684</v>
      </c>
      <c r="C221" s="5" t="s">
        <v>19</v>
      </c>
      <c r="D221" s="6">
        <v>345.1</v>
      </c>
      <c r="E221" s="6">
        <v>347.1</v>
      </c>
      <c r="F221" s="6">
        <v>343.9</v>
      </c>
      <c r="G221" s="6">
        <v>347</v>
      </c>
      <c r="H221" s="6">
        <v>345.1</v>
      </c>
      <c r="I221" s="6">
        <v>345.2</v>
      </c>
      <c r="J221" s="6">
        <v>840</v>
      </c>
      <c r="K221" s="6">
        <v>17.532</v>
      </c>
      <c r="L221" s="7">
        <v>50858</v>
      </c>
    </row>
    <row r="222" spans="1:12">
      <c r="A222" s="3">
        <v>220</v>
      </c>
      <c r="B222" s="4">
        <v>45683</v>
      </c>
      <c r="C222" s="5" t="s">
        <v>19</v>
      </c>
      <c r="D222" s="6">
        <v>345.2</v>
      </c>
      <c r="E222" s="6">
        <v>350</v>
      </c>
      <c r="F222" s="6">
        <v>344.5</v>
      </c>
      <c r="G222" s="6">
        <v>348.9</v>
      </c>
      <c r="H222" s="6">
        <v>345.2</v>
      </c>
      <c r="I222" s="6">
        <v>349</v>
      </c>
      <c r="J222" s="7">
        <v>1427</v>
      </c>
      <c r="K222" s="6">
        <v>26.989000000000001</v>
      </c>
      <c r="L222" s="7">
        <v>77733</v>
      </c>
    </row>
    <row r="223" spans="1:12">
      <c r="A223" s="3">
        <v>221</v>
      </c>
      <c r="B223" s="4">
        <v>45680</v>
      </c>
      <c r="C223" s="5" t="s">
        <v>19</v>
      </c>
      <c r="D223" s="6">
        <v>349</v>
      </c>
      <c r="E223" s="6">
        <v>350.4</v>
      </c>
      <c r="F223" s="6">
        <v>348.5</v>
      </c>
      <c r="G223" s="6">
        <v>349.7</v>
      </c>
      <c r="H223" s="6">
        <v>349</v>
      </c>
      <c r="I223" s="6">
        <v>349.7</v>
      </c>
      <c r="J223" s="6">
        <v>753</v>
      </c>
      <c r="K223" s="6">
        <v>15.823</v>
      </c>
      <c r="L223" s="7">
        <v>45281</v>
      </c>
    </row>
    <row r="224" spans="1:12">
      <c r="A224" s="3">
        <v>222</v>
      </c>
      <c r="B224" s="4">
        <v>45679</v>
      </c>
      <c r="C224" s="5" t="s">
        <v>19</v>
      </c>
      <c r="D224" s="6">
        <v>349.7</v>
      </c>
      <c r="E224" s="6">
        <v>352.5</v>
      </c>
      <c r="F224" s="6">
        <v>349.2</v>
      </c>
      <c r="G224" s="6">
        <v>352.5</v>
      </c>
      <c r="H224" s="6">
        <v>349.7</v>
      </c>
      <c r="I224" s="6">
        <v>350.1</v>
      </c>
      <c r="J224" s="6">
        <v>761</v>
      </c>
      <c r="K224" s="6">
        <v>19.125</v>
      </c>
      <c r="L224" s="7">
        <v>54633</v>
      </c>
    </row>
    <row r="225" spans="1:12">
      <c r="A225" s="3">
        <v>223</v>
      </c>
      <c r="B225" s="4">
        <v>45678</v>
      </c>
      <c r="C225" s="5" t="s">
        <v>19</v>
      </c>
      <c r="D225" s="6">
        <v>350.1</v>
      </c>
      <c r="E225" s="6">
        <v>353.8</v>
      </c>
      <c r="F225" s="6">
        <v>349.9</v>
      </c>
      <c r="G225" s="6">
        <v>352</v>
      </c>
      <c r="H225" s="6">
        <v>350.1</v>
      </c>
      <c r="I225" s="6">
        <v>350.2</v>
      </c>
      <c r="J225" s="7">
        <v>1195</v>
      </c>
      <c r="K225" s="6">
        <v>27.988</v>
      </c>
      <c r="L225" s="7">
        <v>79846</v>
      </c>
    </row>
    <row r="226" spans="1:12">
      <c r="A226" s="3">
        <v>224</v>
      </c>
      <c r="B226" s="4">
        <v>45677</v>
      </c>
      <c r="C226" s="5" t="s">
        <v>19</v>
      </c>
      <c r="D226" s="6">
        <v>350.2</v>
      </c>
      <c r="E226" s="6">
        <v>351.7</v>
      </c>
      <c r="F226" s="6">
        <v>348.2</v>
      </c>
      <c r="G226" s="6">
        <v>350.7</v>
      </c>
      <c r="H226" s="6">
        <v>350.2</v>
      </c>
      <c r="I226" s="6">
        <v>350.5</v>
      </c>
      <c r="J226" s="7">
        <v>1184</v>
      </c>
      <c r="K226" s="6">
        <v>32.978000000000002</v>
      </c>
      <c r="L226" s="7">
        <v>94192</v>
      </c>
    </row>
    <row r="227" spans="1:12">
      <c r="A227" s="3">
        <v>225</v>
      </c>
      <c r="B227" s="4">
        <v>45676</v>
      </c>
      <c r="C227" s="5" t="s">
        <v>19</v>
      </c>
      <c r="D227" s="6">
        <v>350.5</v>
      </c>
      <c r="E227" s="6">
        <v>353</v>
      </c>
      <c r="F227" s="6">
        <v>350</v>
      </c>
      <c r="G227" s="6">
        <v>353</v>
      </c>
      <c r="H227" s="6">
        <v>350.5</v>
      </c>
      <c r="I227" s="6">
        <v>351.7</v>
      </c>
      <c r="J227" s="6">
        <v>746</v>
      </c>
      <c r="K227" s="6">
        <v>14.672000000000001</v>
      </c>
      <c r="L227" s="7">
        <v>41843</v>
      </c>
    </row>
    <row r="228" spans="1:12">
      <c r="A228" s="3">
        <v>226</v>
      </c>
      <c r="B228" s="4">
        <v>45673</v>
      </c>
      <c r="C228" s="5" t="s">
        <v>19</v>
      </c>
      <c r="D228" s="6">
        <v>351.7</v>
      </c>
      <c r="E228" s="6">
        <v>353.9</v>
      </c>
      <c r="F228" s="6">
        <v>350</v>
      </c>
      <c r="G228" s="6">
        <v>353.3</v>
      </c>
      <c r="H228" s="6">
        <v>351.7</v>
      </c>
      <c r="I228" s="6">
        <v>353.3</v>
      </c>
      <c r="J228" s="7">
        <v>1035</v>
      </c>
      <c r="K228" s="6">
        <v>24.651</v>
      </c>
      <c r="L228" s="7">
        <v>70116</v>
      </c>
    </row>
    <row r="229" spans="1:12">
      <c r="A229" s="3">
        <v>227</v>
      </c>
      <c r="B229" s="4">
        <v>45672</v>
      </c>
      <c r="C229" s="5" t="s">
        <v>19</v>
      </c>
      <c r="D229" s="6">
        <v>353.3</v>
      </c>
      <c r="E229" s="6">
        <v>357.3</v>
      </c>
      <c r="F229" s="6">
        <v>352</v>
      </c>
      <c r="G229" s="6">
        <v>357.3</v>
      </c>
      <c r="H229" s="6">
        <v>353.3</v>
      </c>
      <c r="I229" s="6">
        <v>357.5</v>
      </c>
      <c r="J229" s="7">
        <v>1106</v>
      </c>
      <c r="K229" s="6">
        <v>33.78</v>
      </c>
      <c r="L229" s="7">
        <v>95225</v>
      </c>
    </row>
    <row r="230" spans="1:12">
      <c r="A230" s="3">
        <v>228</v>
      </c>
      <c r="B230" s="4">
        <v>45671</v>
      </c>
      <c r="C230" s="5" t="s">
        <v>19</v>
      </c>
      <c r="D230" s="6">
        <v>357.5</v>
      </c>
      <c r="E230" s="6">
        <v>361.7</v>
      </c>
      <c r="F230" s="6">
        <v>355</v>
      </c>
      <c r="G230" s="6">
        <v>355</v>
      </c>
      <c r="H230" s="6">
        <v>357.5</v>
      </c>
      <c r="I230" s="6">
        <v>355</v>
      </c>
      <c r="J230" s="7">
        <v>1357</v>
      </c>
      <c r="K230" s="6">
        <v>56.796999999999997</v>
      </c>
      <c r="L230" s="7">
        <v>158269</v>
      </c>
    </row>
    <row r="231" spans="1:12">
      <c r="A231" s="3">
        <v>229</v>
      </c>
      <c r="B231" s="4">
        <v>45670</v>
      </c>
      <c r="C231" s="5" t="s">
        <v>19</v>
      </c>
      <c r="D231" s="6">
        <v>355</v>
      </c>
      <c r="E231" s="6">
        <v>355.9</v>
      </c>
      <c r="F231" s="6">
        <v>354.1</v>
      </c>
      <c r="G231" s="6">
        <v>354.4</v>
      </c>
      <c r="H231" s="6">
        <v>355</v>
      </c>
      <c r="I231" s="6">
        <v>354.4</v>
      </c>
      <c r="J231" s="6">
        <v>746</v>
      </c>
      <c r="K231" s="6">
        <v>28.026</v>
      </c>
      <c r="L231" s="7">
        <v>78979</v>
      </c>
    </row>
    <row r="232" spans="1:12">
      <c r="A232" s="3">
        <v>230</v>
      </c>
      <c r="B232" s="4">
        <v>45669</v>
      </c>
      <c r="C232" s="5" t="s">
        <v>19</v>
      </c>
      <c r="D232" s="6">
        <v>354.4</v>
      </c>
      <c r="E232" s="6">
        <v>357.5</v>
      </c>
      <c r="F232" s="6">
        <v>354.2</v>
      </c>
      <c r="G232" s="6">
        <v>356.1</v>
      </c>
      <c r="H232" s="6">
        <v>354.4</v>
      </c>
      <c r="I232" s="6">
        <v>356.1</v>
      </c>
      <c r="J232" s="6">
        <v>673</v>
      </c>
      <c r="K232" s="6">
        <v>15.94</v>
      </c>
      <c r="L232" s="7">
        <v>44873</v>
      </c>
    </row>
    <row r="233" spans="1:12">
      <c r="A233" s="3">
        <v>231</v>
      </c>
      <c r="B233" s="4">
        <v>45666</v>
      </c>
      <c r="C233" s="5" t="s">
        <v>19</v>
      </c>
      <c r="D233" s="6">
        <v>356.1</v>
      </c>
      <c r="E233" s="6">
        <v>357</v>
      </c>
      <c r="F233" s="6">
        <v>353.2</v>
      </c>
      <c r="G233" s="6">
        <v>355</v>
      </c>
      <c r="H233" s="6">
        <v>356.1</v>
      </c>
      <c r="I233" s="6">
        <v>353.7</v>
      </c>
      <c r="J233" s="6">
        <v>836</v>
      </c>
      <c r="K233" s="6">
        <v>20.812000000000001</v>
      </c>
      <c r="L233" s="7">
        <v>58625</v>
      </c>
    </row>
    <row r="234" spans="1:12">
      <c r="A234" s="3">
        <v>232</v>
      </c>
      <c r="B234" s="4">
        <v>45665</v>
      </c>
      <c r="C234" s="5" t="s">
        <v>19</v>
      </c>
      <c r="D234" s="6">
        <v>353.7</v>
      </c>
      <c r="E234" s="6">
        <v>356.6</v>
      </c>
      <c r="F234" s="6">
        <v>353.1</v>
      </c>
      <c r="G234" s="6">
        <v>356.6</v>
      </c>
      <c r="H234" s="6">
        <v>353.7</v>
      </c>
      <c r="I234" s="6">
        <v>355.1</v>
      </c>
      <c r="J234" s="6">
        <v>607</v>
      </c>
      <c r="K234" s="6">
        <v>12.250999999999999</v>
      </c>
      <c r="L234" s="7">
        <v>34609</v>
      </c>
    </row>
    <row r="235" spans="1:12">
      <c r="A235" s="3">
        <v>233</v>
      </c>
      <c r="B235" s="4">
        <v>45664</v>
      </c>
      <c r="C235" s="5" t="s">
        <v>19</v>
      </c>
      <c r="D235" s="6">
        <v>355.1</v>
      </c>
      <c r="E235" s="6">
        <v>357.9</v>
      </c>
      <c r="F235" s="6">
        <v>355</v>
      </c>
      <c r="G235" s="6">
        <v>357</v>
      </c>
      <c r="H235" s="6">
        <v>355.1</v>
      </c>
      <c r="I235" s="6">
        <v>356.5</v>
      </c>
      <c r="J235" s="7">
        <v>1077</v>
      </c>
      <c r="K235" s="6">
        <v>29.196999999999999</v>
      </c>
      <c r="L235" s="7">
        <v>81946</v>
      </c>
    </row>
    <row r="236" spans="1:12">
      <c r="A236" s="3">
        <v>234</v>
      </c>
      <c r="B236" s="4">
        <v>45663</v>
      </c>
      <c r="C236" s="5" t="s">
        <v>19</v>
      </c>
      <c r="D236" s="6">
        <v>356.5</v>
      </c>
      <c r="E236" s="6">
        <v>357.9</v>
      </c>
      <c r="F236" s="6">
        <v>355.1</v>
      </c>
      <c r="G236" s="6">
        <v>357.9</v>
      </c>
      <c r="H236" s="6">
        <v>356.5</v>
      </c>
      <c r="I236" s="6">
        <v>356.3</v>
      </c>
      <c r="J236" s="6">
        <v>949</v>
      </c>
      <c r="K236" s="6">
        <v>22.834</v>
      </c>
      <c r="L236" s="7">
        <v>63988</v>
      </c>
    </row>
    <row r="237" spans="1:12">
      <c r="A237" s="3">
        <v>235</v>
      </c>
      <c r="B237" s="4">
        <v>45662</v>
      </c>
      <c r="C237" s="5" t="s">
        <v>19</v>
      </c>
      <c r="D237" s="6">
        <v>356.3</v>
      </c>
      <c r="E237" s="6">
        <v>359.9</v>
      </c>
      <c r="F237" s="6">
        <v>355</v>
      </c>
      <c r="G237" s="6">
        <v>356.5</v>
      </c>
      <c r="H237" s="6">
        <v>356.3</v>
      </c>
      <c r="I237" s="6">
        <v>360</v>
      </c>
      <c r="J237" s="6">
        <v>964</v>
      </c>
      <c r="K237" s="6">
        <v>22.431000000000001</v>
      </c>
      <c r="L237" s="7">
        <v>62941</v>
      </c>
    </row>
    <row r="238" spans="1:12">
      <c r="A238" s="3">
        <v>236</v>
      </c>
      <c r="B238" s="4">
        <v>45659</v>
      </c>
      <c r="C238" s="5" t="s">
        <v>19</v>
      </c>
      <c r="D238" s="6">
        <v>360</v>
      </c>
      <c r="E238" s="6">
        <v>368</v>
      </c>
      <c r="F238" s="6">
        <v>359.5</v>
      </c>
      <c r="G238" s="6">
        <v>368</v>
      </c>
      <c r="H238" s="6">
        <v>360</v>
      </c>
      <c r="I238" s="6">
        <v>368.6</v>
      </c>
      <c r="J238" s="7">
        <v>1708</v>
      </c>
      <c r="K238" s="6">
        <v>49.56</v>
      </c>
      <c r="L238" s="7">
        <v>136964</v>
      </c>
    </row>
    <row r="239" spans="1:12">
      <c r="A239" s="3">
        <v>237</v>
      </c>
      <c r="B239" s="4">
        <v>45658</v>
      </c>
      <c r="C239" s="5" t="s">
        <v>19</v>
      </c>
      <c r="D239" s="6">
        <v>368.6</v>
      </c>
      <c r="E239" s="6">
        <v>373.2</v>
      </c>
      <c r="F239" s="6">
        <v>366</v>
      </c>
      <c r="G239" s="6">
        <v>367.6</v>
      </c>
      <c r="H239" s="6">
        <v>368.6</v>
      </c>
      <c r="I239" s="6">
        <v>367.6</v>
      </c>
      <c r="J239" s="7">
        <v>1436</v>
      </c>
      <c r="K239" s="6">
        <v>35.005000000000003</v>
      </c>
      <c r="L239" s="7">
        <v>94838</v>
      </c>
    </row>
    <row r="240" spans="1:12">
      <c r="A240" s="3">
        <v>238</v>
      </c>
      <c r="B240" s="4">
        <v>45656</v>
      </c>
      <c r="C240" s="5" t="s">
        <v>19</v>
      </c>
      <c r="D240" s="6">
        <v>367.6</v>
      </c>
      <c r="E240" s="6">
        <v>370</v>
      </c>
      <c r="F240" s="6">
        <v>360.1</v>
      </c>
      <c r="G240" s="6">
        <v>364</v>
      </c>
      <c r="H240" s="6">
        <v>367.6</v>
      </c>
      <c r="I240" s="6">
        <v>361.3</v>
      </c>
      <c r="J240" s="7">
        <v>2801</v>
      </c>
      <c r="K240" s="6">
        <v>118.48099999999999</v>
      </c>
      <c r="L240" s="7">
        <v>324019</v>
      </c>
    </row>
    <row r="241" spans="1:12">
      <c r="A241" s="3">
        <v>239</v>
      </c>
      <c r="B241" s="4">
        <v>45655</v>
      </c>
      <c r="C241" s="5" t="s">
        <v>19</v>
      </c>
      <c r="D241" s="6">
        <v>361.3</v>
      </c>
      <c r="E241" s="6">
        <v>362.4</v>
      </c>
      <c r="F241" s="6">
        <v>353.5</v>
      </c>
      <c r="G241" s="6">
        <v>354.9</v>
      </c>
      <c r="H241" s="6">
        <v>361.3</v>
      </c>
      <c r="I241" s="6">
        <v>354.1</v>
      </c>
      <c r="J241" s="7">
        <v>2143</v>
      </c>
      <c r="K241" s="6">
        <v>71.307000000000002</v>
      </c>
      <c r="L241" s="7">
        <v>199043</v>
      </c>
    </row>
  </sheetData>
  <hyperlinks>
    <hyperlink ref="C3" r:id="rId1" display="https://www.dsebd.org/displayCompany.php?name=BATBC" xr:uid="{D064B29D-1DAA-4B7C-982D-1C617EA8A7D9}"/>
    <hyperlink ref="C4" r:id="rId2" display="https://www.dsebd.org/displayCompany.php?name=BATBC" xr:uid="{0A413A78-D10F-4205-8539-386A06805B4D}"/>
    <hyperlink ref="C5" r:id="rId3" display="https://www.dsebd.org/displayCompany.php?name=BATBC" xr:uid="{B16483DB-2E59-47BB-94D9-B1EEF1C02C28}"/>
    <hyperlink ref="C6" r:id="rId4" display="https://www.dsebd.org/displayCompany.php?name=BATBC" xr:uid="{68573189-DD2E-4C8F-BA48-7E712016CBE5}"/>
    <hyperlink ref="C7" r:id="rId5" display="https://www.dsebd.org/displayCompany.php?name=BATBC" xr:uid="{FFEADCB8-5504-4A50-845F-DB15AC2BAECE}"/>
    <hyperlink ref="C8" r:id="rId6" display="https://www.dsebd.org/displayCompany.php?name=BATBC" xr:uid="{2D38B4B0-2DC1-46A0-B7BF-88B047FEA025}"/>
    <hyperlink ref="C9" r:id="rId7" display="https://www.dsebd.org/displayCompany.php?name=BATBC" xr:uid="{84B99C54-5C36-4E37-B83C-DA261956C673}"/>
    <hyperlink ref="C10" r:id="rId8" display="https://www.dsebd.org/displayCompany.php?name=BATBC" xr:uid="{0CE1EBD2-D2FC-4196-A88E-9B74C0A3267D}"/>
    <hyperlink ref="C11" r:id="rId9" display="https://www.dsebd.org/displayCompany.php?name=BATBC" xr:uid="{96013D09-CAC9-4067-9166-9118B9388DF0}"/>
    <hyperlink ref="C12" r:id="rId10" display="https://www.dsebd.org/displayCompany.php?name=BATBC" xr:uid="{F5C1EFE1-A368-42DB-AF7A-487F8ACE3A7A}"/>
    <hyperlink ref="C13" r:id="rId11" display="https://www.dsebd.org/displayCompany.php?name=BATBC" xr:uid="{D2FE8310-8A4B-4A5E-8A1E-7BD7639D2A9D}"/>
    <hyperlink ref="C14" r:id="rId12" display="https://www.dsebd.org/displayCompany.php?name=BATBC" xr:uid="{90BCDF65-8D6D-4A03-8D1F-D5094357601A}"/>
    <hyperlink ref="C15" r:id="rId13" display="https://www.dsebd.org/displayCompany.php?name=BATBC" xr:uid="{57CDD08D-C6B5-48B7-9BFA-489E35B83BDC}"/>
    <hyperlink ref="C16" r:id="rId14" display="https://www.dsebd.org/displayCompany.php?name=BATBC" xr:uid="{9C04891A-BB8F-4EFA-AA8D-3F6B26CD62ED}"/>
    <hyperlink ref="C17" r:id="rId15" display="https://www.dsebd.org/displayCompany.php?name=BATBC" xr:uid="{2462644F-C609-4C2E-82CC-B9691111EE39}"/>
    <hyperlink ref="C18" r:id="rId16" display="https://www.dsebd.org/displayCompany.php?name=BATBC" xr:uid="{81E28F13-E035-42C1-B830-7BE17BD3B200}"/>
    <hyperlink ref="C19" r:id="rId17" display="https://www.dsebd.org/displayCompany.php?name=BATBC" xr:uid="{5965AC8C-35FE-4D9F-9437-908F12CDD2AC}"/>
    <hyperlink ref="C20" r:id="rId18" display="https://www.dsebd.org/displayCompany.php?name=BATBC" xr:uid="{D99B461C-6011-4BE6-8530-FAA9CE5BA06E}"/>
    <hyperlink ref="C21" r:id="rId19" display="https://www.dsebd.org/displayCompany.php?name=BATBC" xr:uid="{1FA904BA-E70E-41FF-AACD-536D73AF6912}"/>
    <hyperlink ref="C22" r:id="rId20" display="https://www.dsebd.org/displayCompany.php?name=BATBC" xr:uid="{9D984895-65B2-4863-AEB3-87ECE259FBA7}"/>
    <hyperlink ref="C23" r:id="rId21" display="https://www.dsebd.org/displayCompany.php?name=BATBC" xr:uid="{5847A9AE-0555-469C-84B7-549A0F975F08}"/>
    <hyperlink ref="C24" r:id="rId22" display="https://www.dsebd.org/displayCompany.php?name=BATBC" xr:uid="{4686B96D-BA28-4D2E-8322-910D40C16CF6}"/>
    <hyperlink ref="C25" r:id="rId23" display="https://www.dsebd.org/displayCompany.php?name=BATBC" xr:uid="{AF261244-5647-4379-8DD1-45F37FB3F4FD}"/>
    <hyperlink ref="C26" r:id="rId24" display="https://www.dsebd.org/displayCompany.php?name=BATBC" xr:uid="{F705182C-398B-463F-8899-A458AC1B2972}"/>
    <hyperlink ref="C27" r:id="rId25" display="https://www.dsebd.org/displayCompany.php?name=BATBC" xr:uid="{C3723483-C104-47B3-9F45-E52265E8776C}"/>
    <hyperlink ref="C28" r:id="rId26" display="https://www.dsebd.org/displayCompany.php?name=BATBC" xr:uid="{F68D2620-AAD9-4163-9AB2-2EE530265E8B}"/>
    <hyperlink ref="C29" r:id="rId27" display="https://www.dsebd.org/displayCompany.php?name=BATBC" xr:uid="{ED24D817-A4F8-4E98-B248-394AB3DE1EF9}"/>
    <hyperlink ref="C30" r:id="rId28" display="https://www.dsebd.org/displayCompany.php?name=BATBC" xr:uid="{9D8CF27A-9F36-4B40-9DDE-1785AA4F8B9A}"/>
    <hyperlink ref="C31" r:id="rId29" display="https://www.dsebd.org/displayCompany.php?name=BATBC" xr:uid="{9522D78A-9291-40FC-BA03-1E3054D1084B}"/>
    <hyperlink ref="C32" r:id="rId30" display="https://www.dsebd.org/displayCompany.php?name=BATBC" xr:uid="{C31BD925-9AF3-443D-90E8-29E939F66DC5}"/>
    <hyperlink ref="C33" r:id="rId31" display="https://www.dsebd.org/displayCompany.php?name=BATBC" xr:uid="{89EA2DAA-C715-43E1-BF8F-11B71485667E}"/>
    <hyperlink ref="C34" r:id="rId32" display="https://www.dsebd.org/displayCompany.php?name=BATBC" xr:uid="{D15D71F7-F718-430A-8B22-B581251CB715}"/>
    <hyperlink ref="C35" r:id="rId33" display="https://www.dsebd.org/displayCompany.php?name=BATBC" xr:uid="{26E74129-4331-4265-92D1-BC0D2AE621A3}"/>
    <hyperlink ref="C36" r:id="rId34" display="https://www.dsebd.org/displayCompany.php?name=BATBC" xr:uid="{D3088F9A-7F08-4220-AEFD-F7B0E5282218}"/>
    <hyperlink ref="C37" r:id="rId35" display="https://www.dsebd.org/displayCompany.php?name=BATBC" xr:uid="{DF68B286-BA6B-47A9-8818-3B90053E7AD6}"/>
    <hyperlink ref="C38" r:id="rId36" display="https://www.dsebd.org/displayCompany.php?name=BATBC" xr:uid="{E2C3172A-A8FB-413D-B504-9321E7B4BDA0}"/>
    <hyperlink ref="C39" r:id="rId37" display="https://www.dsebd.org/displayCompany.php?name=BATBC" xr:uid="{A287E625-D7F8-4564-A952-20B00890CBCC}"/>
    <hyperlink ref="C40" r:id="rId38" display="https://www.dsebd.org/displayCompany.php?name=BATBC" xr:uid="{942E6247-64D1-46CC-AEA0-143D4E7EDDFA}"/>
    <hyperlink ref="C41" r:id="rId39" display="https://www.dsebd.org/displayCompany.php?name=BATBC" xr:uid="{924C75C7-1178-41CE-90FB-E6111C4DD170}"/>
    <hyperlink ref="C42" r:id="rId40" display="https://www.dsebd.org/displayCompany.php?name=BATBC" xr:uid="{0FC36085-E406-4012-8283-766CAE1F3852}"/>
    <hyperlink ref="C43" r:id="rId41" display="https://www.dsebd.org/displayCompany.php?name=BATBC" xr:uid="{52DE1AB3-608D-44EF-8928-3E07DF9EADEA}"/>
    <hyperlink ref="C44" r:id="rId42" display="https://www.dsebd.org/displayCompany.php?name=BATBC" xr:uid="{9BD7416B-A527-4B97-B457-5C488AECBE20}"/>
    <hyperlink ref="C45" r:id="rId43" display="https://www.dsebd.org/displayCompany.php?name=BATBC" xr:uid="{727D4D57-B824-4DE3-816E-FC8E938CA7C3}"/>
    <hyperlink ref="C46" r:id="rId44" display="https://www.dsebd.org/displayCompany.php?name=BATBC" xr:uid="{E3AEF4CC-0A1B-45BC-B5B0-C23C0B1FA680}"/>
    <hyperlink ref="C47" r:id="rId45" display="https://www.dsebd.org/displayCompany.php?name=BATBC" xr:uid="{D4E17BD1-BFF5-454A-A2EB-633B21077DE1}"/>
    <hyperlink ref="C48" r:id="rId46" display="https://www.dsebd.org/displayCompany.php?name=BATBC" xr:uid="{65FA29B3-22AB-44BC-821A-00E59EC56DE7}"/>
    <hyperlink ref="C49" r:id="rId47" display="https://www.dsebd.org/displayCompany.php?name=BATBC" xr:uid="{DAD0E420-DFF2-4A7A-8AEC-948EDAE09E68}"/>
    <hyperlink ref="C50" r:id="rId48" display="https://www.dsebd.org/displayCompany.php?name=BATBC" xr:uid="{066BAC4D-AD1A-4A49-8666-9A6411A44CF0}"/>
    <hyperlink ref="C51" r:id="rId49" display="https://www.dsebd.org/displayCompany.php?name=BATBC" xr:uid="{3F403F8A-40CC-45F2-906A-F9C5C5386A10}"/>
    <hyperlink ref="C52" r:id="rId50" display="https://www.dsebd.org/displayCompany.php?name=BATBC" xr:uid="{C9017A39-33ED-4BB0-8EE5-4FE27E7F88C9}"/>
    <hyperlink ref="C53" r:id="rId51" display="https://www.dsebd.org/displayCompany.php?name=BATBC" xr:uid="{5E32716E-FFBE-4A80-AB05-2BC83E10B06D}"/>
    <hyperlink ref="C54" r:id="rId52" display="https://www.dsebd.org/displayCompany.php?name=BATBC" xr:uid="{0C56CD67-BA6C-40A3-BB49-B3A09008D46B}"/>
    <hyperlink ref="C55" r:id="rId53" display="https://www.dsebd.org/displayCompany.php?name=BATBC" xr:uid="{97F5B649-8CEA-4DA7-B9AB-A34B95406399}"/>
    <hyperlink ref="C56" r:id="rId54" display="https://www.dsebd.org/displayCompany.php?name=BATBC" xr:uid="{65EE8ABD-A8C6-4495-A0A9-534803EE3AAB}"/>
    <hyperlink ref="C57" r:id="rId55" display="https://www.dsebd.org/displayCompany.php?name=BATBC" xr:uid="{006A25F9-A926-4354-88D6-D78DBD33009B}"/>
    <hyperlink ref="C58" r:id="rId56" display="https://www.dsebd.org/displayCompany.php?name=BATBC" xr:uid="{3E54698B-5A07-44CD-AB89-779FC0150310}"/>
    <hyperlink ref="C59" r:id="rId57" display="https://www.dsebd.org/displayCompany.php?name=BATBC" xr:uid="{52630609-A6AC-4839-B402-3C2BA7FE9B2F}"/>
    <hyperlink ref="C60" r:id="rId58" display="https://www.dsebd.org/displayCompany.php?name=BATBC" xr:uid="{807C0545-D332-480E-871E-7A145335AC07}"/>
    <hyperlink ref="C61" r:id="rId59" display="https://www.dsebd.org/displayCompany.php?name=BATBC" xr:uid="{C8CE7922-7C8B-4464-9730-DAB7BBE2DF40}"/>
    <hyperlink ref="C62" r:id="rId60" display="https://www.dsebd.org/displayCompany.php?name=BATBC" xr:uid="{BC5A667C-4C72-4983-BDEA-32727809E05C}"/>
    <hyperlink ref="C63" r:id="rId61" display="https://www.dsebd.org/displayCompany.php?name=BATBC" xr:uid="{DB5C0367-B033-4083-BF21-1955246EC574}"/>
    <hyperlink ref="C64" r:id="rId62" display="https://www.dsebd.org/displayCompany.php?name=BATBC" xr:uid="{0CCFA2BF-0438-424E-B9D5-0AC8E2B2380A}"/>
    <hyperlink ref="C65" r:id="rId63" display="https://www.dsebd.org/displayCompany.php?name=BATBC" xr:uid="{7E36EE8E-46D3-486E-9B00-3B353D0C83AB}"/>
    <hyperlink ref="C66" r:id="rId64" display="https://www.dsebd.org/displayCompany.php?name=BATBC" xr:uid="{554B66AD-C074-42EE-84BE-191FE393BF7F}"/>
    <hyperlink ref="C67" r:id="rId65" display="https://www.dsebd.org/displayCompany.php?name=BATBC" xr:uid="{357BA3DA-22B9-4D8D-9687-BB23744635D4}"/>
    <hyperlink ref="C68" r:id="rId66" display="https://www.dsebd.org/displayCompany.php?name=BATBC" xr:uid="{EE69EB68-8CE4-4031-A986-8FFD264580D7}"/>
    <hyperlink ref="C69" r:id="rId67" display="https://www.dsebd.org/displayCompany.php?name=BATBC" xr:uid="{D9154775-DBC3-4295-B681-2C28EE0BFF8C}"/>
    <hyperlink ref="C70" r:id="rId68" display="https://www.dsebd.org/displayCompany.php?name=BATBC" xr:uid="{7FA6BD98-9E2F-485D-9AAD-76F547460963}"/>
    <hyperlink ref="C71" r:id="rId69" display="https://www.dsebd.org/displayCompany.php?name=BATBC" xr:uid="{B4F14016-665B-40B3-B41D-E86400070F8D}"/>
    <hyperlink ref="C72" r:id="rId70" display="https://www.dsebd.org/displayCompany.php?name=BATBC" xr:uid="{FC904CAF-5FEB-460D-A47E-05E5D6B98447}"/>
    <hyperlink ref="C73" r:id="rId71" display="https://www.dsebd.org/displayCompany.php?name=BATBC" xr:uid="{C4D748D8-9D81-45A1-9B01-C6BD1CD027CF}"/>
    <hyperlink ref="C74" r:id="rId72" display="https://www.dsebd.org/displayCompany.php?name=BATBC" xr:uid="{ECEC3CC3-BE48-413E-BA06-62BB7084A5C7}"/>
    <hyperlink ref="C75" r:id="rId73" display="https://www.dsebd.org/displayCompany.php?name=BATBC" xr:uid="{88DF15C7-6B3E-4381-9CB9-AF90BBEFEBFC}"/>
    <hyperlink ref="C76" r:id="rId74" display="https://www.dsebd.org/displayCompany.php?name=BATBC" xr:uid="{D13CF313-9DB9-4994-82C2-3EC7EDB3F503}"/>
    <hyperlink ref="C77" r:id="rId75" display="https://www.dsebd.org/displayCompany.php?name=BATBC" xr:uid="{2CF58FB6-DEC5-4954-BDEF-DCDAB63AD4C0}"/>
    <hyperlink ref="C78" r:id="rId76" display="https://www.dsebd.org/displayCompany.php?name=BATBC" xr:uid="{74D66EC8-FFDE-4317-BEFF-AB0CD28D563F}"/>
    <hyperlink ref="C79" r:id="rId77" display="https://www.dsebd.org/displayCompany.php?name=BATBC" xr:uid="{3699217D-8786-44B7-AE59-A145A038DEF2}"/>
    <hyperlink ref="C80" r:id="rId78" display="https://www.dsebd.org/displayCompany.php?name=BATBC" xr:uid="{76E9D6C0-E45F-4F46-8763-18692AEA62DD}"/>
    <hyperlink ref="C81" r:id="rId79" display="https://www.dsebd.org/displayCompany.php?name=BATBC" xr:uid="{79C58A29-FEB2-4DD9-B46D-35AEA580ADA2}"/>
    <hyperlink ref="C82" r:id="rId80" display="https://www.dsebd.org/displayCompany.php?name=BATBC" xr:uid="{65318BE7-EDD0-4A83-A4A3-A634BA13A602}"/>
    <hyperlink ref="C83" r:id="rId81" display="https://www.dsebd.org/displayCompany.php?name=BATBC" xr:uid="{62775C77-9836-4ACC-8FFE-BD44415559BC}"/>
    <hyperlink ref="C84" r:id="rId82" display="https://www.dsebd.org/displayCompany.php?name=BATBC" xr:uid="{533A9E4D-2916-4BA8-AA24-DEC230F023ED}"/>
    <hyperlink ref="C85" r:id="rId83" display="https://www.dsebd.org/displayCompany.php?name=BATBC" xr:uid="{8BC40C25-84D7-406C-B180-79D7C7E0077E}"/>
    <hyperlink ref="C86" r:id="rId84" display="https://www.dsebd.org/displayCompany.php?name=BATBC" xr:uid="{9E11B57F-2BB2-4ED1-80AE-1FE58E6B7D66}"/>
    <hyperlink ref="C87" r:id="rId85" display="https://www.dsebd.org/displayCompany.php?name=BATBC" xr:uid="{02AFCC13-EA29-40AA-B31B-4A25222317BD}"/>
    <hyperlink ref="C88" r:id="rId86" display="https://www.dsebd.org/displayCompany.php?name=BATBC" xr:uid="{984DE4D3-EE9D-43E3-8929-8F07656579C5}"/>
    <hyperlink ref="C89" r:id="rId87" display="https://www.dsebd.org/displayCompany.php?name=BATBC" xr:uid="{28DC1B4C-45AE-42FA-B807-B06A92819118}"/>
    <hyperlink ref="C90" r:id="rId88" display="https://www.dsebd.org/displayCompany.php?name=BATBC" xr:uid="{F96FB32E-7CDC-4A41-8E68-B086DE932F58}"/>
    <hyperlink ref="C91" r:id="rId89" display="https://www.dsebd.org/displayCompany.php?name=BATBC" xr:uid="{C37BE6A7-9FCB-4589-942C-3E70B6F7CDB5}"/>
    <hyperlink ref="C92" r:id="rId90" display="https://www.dsebd.org/displayCompany.php?name=BATBC" xr:uid="{00773599-6A42-4193-A95E-E283D45E7087}"/>
    <hyperlink ref="C93" r:id="rId91" display="https://www.dsebd.org/displayCompany.php?name=BATBC" xr:uid="{B0CD4C51-4A79-48BB-9D61-0B7A317C1AB3}"/>
    <hyperlink ref="C94" r:id="rId92" display="https://www.dsebd.org/displayCompany.php?name=BATBC" xr:uid="{8296D4FB-F2F7-4943-9563-172ED6BE1040}"/>
    <hyperlink ref="C95" r:id="rId93" display="https://www.dsebd.org/displayCompany.php?name=BATBC" xr:uid="{A8E207A0-82AF-4DED-959F-0DC9AC8A8C1D}"/>
    <hyperlink ref="C96" r:id="rId94" display="https://www.dsebd.org/displayCompany.php?name=BATBC" xr:uid="{4EA254FF-2911-417C-8BD4-DEF4C7F307EE}"/>
    <hyperlink ref="C97" r:id="rId95" display="https://www.dsebd.org/displayCompany.php?name=BATBC" xr:uid="{A29FCE96-0740-4737-A7A7-992B126C45F9}"/>
    <hyperlink ref="C98" r:id="rId96" display="https://www.dsebd.org/displayCompany.php?name=BATBC" xr:uid="{5FA6B491-CA4A-48F6-AA3E-634706A305BD}"/>
    <hyperlink ref="C99" r:id="rId97" display="https://www.dsebd.org/displayCompany.php?name=BATBC" xr:uid="{B9F93AFF-7EDD-4542-84A9-C83BDA54090B}"/>
    <hyperlink ref="C100" r:id="rId98" display="https://www.dsebd.org/displayCompany.php?name=BATBC" xr:uid="{6C5D50A8-92C8-40D8-82BC-475E3F522920}"/>
    <hyperlink ref="C101" r:id="rId99" display="https://www.dsebd.org/displayCompany.php?name=BATBC" xr:uid="{AAFB8E40-EDDF-41D2-8DEE-F351EA91171A}"/>
    <hyperlink ref="C102" r:id="rId100" display="https://www.dsebd.org/displayCompany.php?name=BATBC" xr:uid="{FE5FF4F6-601B-4DFB-9F84-49DEC9FFA188}"/>
    <hyperlink ref="C103" r:id="rId101" display="https://www.dsebd.org/displayCompany.php?name=BATBC" xr:uid="{E7F47655-9E6E-4805-9C23-20C73086FFA8}"/>
    <hyperlink ref="C104" r:id="rId102" display="https://www.dsebd.org/displayCompany.php?name=BATBC" xr:uid="{9DD02228-36B9-4A0B-A573-7DACEFE07084}"/>
    <hyperlink ref="C105" r:id="rId103" display="https://www.dsebd.org/displayCompany.php?name=BATBC" xr:uid="{92DCD50C-98F5-4047-92BB-4F87414B085A}"/>
    <hyperlink ref="C106" r:id="rId104" display="https://www.dsebd.org/displayCompany.php?name=BATBC" xr:uid="{A0F5C3A8-E20D-4EE1-B02F-8D331994924B}"/>
    <hyperlink ref="C107" r:id="rId105" display="https://www.dsebd.org/displayCompany.php?name=BATBC" xr:uid="{48E4FEAA-9105-4E8E-B0D8-E5D2FF0014BE}"/>
    <hyperlink ref="C108" r:id="rId106" display="https://www.dsebd.org/displayCompany.php?name=BATBC" xr:uid="{6908DD1C-40F4-467A-BCB3-548AA47E875F}"/>
    <hyperlink ref="C109" r:id="rId107" display="https://www.dsebd.org/displayCompany.php?name=BATBC" xr:uid="{4228E113-D5C2-48B1-8B53-20058A864545}"/>
    <hyperlink ref="C110" r:id="rId108" display="https://www.dsebd.org/displayCompany.php?name=BATBC" xr:uid="{7ECA3616-2E82-4D0D-AFC6-29FEC2E43C1E}"/>
    <hyperlink ref="C111" r:id="rId109" display="https://www.dsebd.org/displayCompany.php?name=BATBC" xr:uid="{63A78B8A-793C-4BAE-8F9E-32F5FC21D6F5}"/>
    <hyperlink ref="C112" r:id="rId110" display="https://www.dsebd.org/displayCompany.php?name=BATBC" xr:uid="{F737D052-C1AC-4AE2-BC6C-71EF57DAB247}"/>
    <hyperlink ref="C113" r:id="rId111" display="https://www.dsebd.org/displayCompany.php?name=BATBC" xr:uid="{EED04D20-D909-4770-A447-87E07AB9BEB3}"/>
    <hyperlink ref="C114" r:id="rId112" display="https://www.dsebd.org/displayCompany.php?name=BATBC" xr:uid="{1298548E-30A1-4276-830B-66B5F87F1EE6}"/>
    <hyperlink ref="C115" r:id="rId113" display="https://www.dsebd.org/displayCompany.php?name=BATBC" xr:uid="{D8F55CD0-33C2-4BDA-806D-BC51B5D2BA89}"/>
    <hyperlink ref="C116" r:id="rId114" display="https://www.dsebd.org/displayCompany.php?name=BATBC" xr:uid="{AF0CACC0-B4F2-4F9D-ADF4-5F87FE2BB870}"/>
    <hyperlink ref="C117" r:id="rId115" display="https://www.dsebd.org/displayCompany.php?name=BATBC" xr:uid="{07E8BB74-0E9D-458A-9803-4D81D6FE2E48}"/>
    <hyperlink ref="C118" r:id="rId116" display="https://www.dsebd.org/displayCompany.php?name=BATBC" xr:uid="{9D9C76A1-4030-4CAC-AD66-4A5224C6345F}"/>
    <hyperlink ref="C119" r:id="rId117" display="https://www.dsebd.org/displayCompany.php?name=BATBC" xr:uid="{030B075D-C062-496C-A7B3-2D9A78D6E1A6}"/>
    <hyperlink ref="C120" r:id="rId118" display="https://www.dsebd.org/displayCompany.php?name=BATBC" xr:uid="{FE09A701-A552-4768-872D-261BD820BE92}"/>
    <hyperlink ref="C121" r:id="rId119" display="https://www.dsebd.org/displayCompany.php?name=BATBC" xr:uid="{2D4214FF-80C2-4B69-AF44-559D38CC2F3E}"/>
    <hyperlink ref="C122" r:id="rId120" display="https://www.dsebd.org/displayCompany.php?name=BATBC" xr:uid="{7F20E72B-7311-460E-8003-7B43C301CBF1}"/>
    <hyperlink ref="C123" r:id="rId121" display="https://www.dsebd.org/displayCompany.php?name=BATBC" xr:uid="{2EDD2D6F-D774-48EF-9147-04E7167FDBDB}"/>
    <hyperlink ref="C124" r:id="rId122" display="https://www.dsebd.org/displayCompany.php?name=BATBC" xr:uid="{53CADB8D-88F4-4B7D-B82A-AB3F613A7FA4}"/>
    <hyperlink ref="C125" r:id="rId123" display="https://www.dsebd.org/displayCompany.php?name=BATBC" xr:uid="{3E99D48F-EFE7-4FF5-8847-8FBD528638DE}"/>
    <hyperlink ref="C126" r:id="rId124" display="https://www.dsebd.org/displayCompany.php?name=BATBC" xr:uid="{DE3DFAC6-CB55-4CCA-8397-5ECE0793018E}"/>
    <hyperlink ref="C127" r:id="rId125" display="https://www.dsebd.org/displayCompany.php?name=BATBC" xr:uid="{6B88311F-614F-4E43-A032-11D8C4C9D196}"/>
    <hyperlink ref="C128" r:id="rId126" display="https://www.dsebd.org/displayCompany.php?name=BATBC" xr:uid="{C44CEC21-CF7C-47E2-9021-655AE93E727E}"/>
    <hyperlink ref="C129" r:id="rId127" display="https://www.dsebd.org/displayCompany.php?name=BATBC" xr:uid="{D5A0EB72-4968-4980-9218-C1643F2EA541}"/>
    <hyperlink ref="C130" r:id="rId128" display="https://www.dsebd.org/displayCompany.php?name=BATBC" xr:uid="{BB02154A-3722-47D6-BCFC-E2F8834ADA08}"/>
    <hyperlink ref="C131" r:id="rId129" display="https://www.dsebd.org/displayCompany.php?name=BATBC" xr:uid="{EBE693FE-C672-4587-997F-1FE56B210206}"/>
    <hyperlink ref="C132" r:id="rId130" display="https://www.dsebd.org/displayCompany.php?name=BATBC" xr:uid="{722D2AB4-A3D1-42CD-8F24-042D45059DBC}"/>
    <hyperlink ref="C133" r:id="rId131" display="https://www.dsebd.org/displayCompany.php?name=BATBC" xr:uid="{535F1B61-6302-4C4D-9522-A4295D824712}"/>
    <hyperlink ref="C134" r:id="rId132" display="https://www.dsebd.org/displayCompany.php?name=BATBC" xr:uid="{C0B64817-1409-46A1-9DCC-113F11DA9D54}"/>
    <hyperlink ref="C135" r:id="rId133" display="https://www.dsebd.org/displayCompany.php?name=BATBC" xr:uid="{C7AC53FC-F490-46BE-8E14-1E43D10F8C69}"/>
    <hyperlink ref="C136" r:id="rId134" display="https://www.dsebd.org/displayCompany.php?name=BATBC" xr:uid="{EA42EFC7-4E02-4291-8B8E-68DE584AB94C}"/>
    <hyperlink ref="C137" r:id="rId135" display="https://www.dsebd.org/displayCompany.php?name=BATBC" xr:uid="{C0CAE1DF-2363-423E-B563-063920474D81}"/>
    <hyperlink ref="C138" r:id="rId136" display="https://www.dsebd.org/displayCompany.php?name=BATBC" xr:uid="{46AAAEDC-D653-45B1-B547-40060D3C0B07}"/>
    <hyperlink ref="C139" r:id="rId137" display="https://www.dsebd.org/displayCompany.php?name=BATBC" xr:uid="{1CA349B1-6A99-49F4-8E21-3E7E47729DE1}"/>
    <hyperlink ref="C140" r:id="rId138" display="https://www.dsebd.org/displayCompany.php?name=BATBC" xr:uid="{677C34A3-26ED-48A2-9901-CFE8E8A29156}"/>
    <hyperlink ref="C141" r:id="rId139" display="https://www.dsebd.org/displayCompany.php?name=BATBC" xr:uid="{588F21D5-AA99-4F21-9F24-326D7F808A63}"/>
    <hyperlink ref="C142" r:id="rId140" display="https://www.dsebd.org/displayCompany.php?name=BATBC" xr:uid="{192875E9-AFE7-4A41-8B42-B8C97DA95FB8}"/>
    <hyperlink ref="C143" r:id="rId141" display="https://www.dsebd.org/displayCompany.php?name=BATBC" xr:uid="{77A632FF-F1CA-48EB-B238-F70DE38341FA}"/>
    <hyperlink ref="C144" r:id="rId142" display="https://www.dsebd.org/displayCompany.php?name=BATBC" xr:uid="{D79D18A1-54A5-421B-BAC3-5FE034ACCE34}"/>
    <hyperlink ref="C145" r:id="rId143" display="https://www.dsebd.org/displayCompany.php?name=BATBC" xr:uid="{CB1402BE-8175-4DB0-AE01-BFC0F2ABD2D2}"/>
    <hyperlink ref="C146" r:id="rId144" display="https://www.dsebd.org/displayCompany.php?name=BATBC" xr:uid="{D36F140A-6947-4D39-AEBC-8AA2D9DAC2D9}"/>
    <hyperlink ref="C147" r:id="rId145" display="https://www.dsebd.org/displayCompany.php?name=BATBC" xr:uid="{425582D2-9C82-4224-80A5-A26C0E4BC4EC}"/>
    <hyperlink ref="C148" r:id="rId146" display="https://www.dsebd.org/displayCompany.php?name=BATBC" xr:uid="{5D011D41-2499-4C20-BFDB-088661FD2B02}"/>
    <hyperlink ref="C149" r:id="rId147" display="https://www.dsebd.org/displayCompany.php?name=BATBC" xr:uid="{2342A7F7-4182-46E2-BB90-2BF0AF9E788B}"/>
    <hyperlink ref="C150" r:id="rId148" display="https://www.dsebd.org/displayCompany.php?name=BATBC" xr:uid="{7120A6E2-EE10-4868-9D7B-358D91F867AE}"/>
    <hyperlink ref="C151" r:id="rId149" display="https://www.dsebd.org/displayCompany.php?name=BATBC" xr:uid="{6EAE8CB4-9C83-4E88-B9FA-E837DF28A9D3}"/>
    <hyperlink ref="C152" r:id="rId150" display="https://www.dsebd.org/displayCompany.php?name=BATBC" xr:uid="{AB5D4E55-C5E6-4EDE-91CA-930848C4652D}"/>
    <hyperlink ref="C153" r:id="rId151" display="https://www.dsebd.org/displayCompany.php?name=BATBC" xr:uid="{C56B825C-85C9-4779-B919-AEE3A73CEB53}"/>
    <hyperlink ref="C154" r:id="rId152" display="https://www.dsebd.org/displayCompany.php?name=BATBC" xr:uid="{59274270-F6EB-426E-B62F-5D77FEB97628}"/>
    <hyperlink ref="C155" r:id="rId153" display="https://www.dsebd.org/displayCompany.php?name=BATBC" xr:uid="{AB879285-7A5D-4A44-A267-48FD62AD111D}"/>
    <hyperlink ref="C156" r:id="rId154" display="https://www.dsebd.org/displayCompany.php?name=BATBC" xr:uid="{E9585157-2A05-42F7-A6D0-E9E65D022A81}"/>
    <hyperlink ref="C157" r:id="rId155" display="https://www.dsebd.org/displayCompany.php?name=BATBC" xr:uid="{747A3438-6759-48B2-A5A9-20813BE5A6BD}"/>
    <hyperlink ref="C158" r:id="rId156" display="https://www.dsebd.org/displayCompany.php?name=BATBC" xr:uid="{8666DF13-ABF5-43C6-989B-9D7C3F5E2BF6}"/>
    <hyperlink ref="C159" r:id="rId157" display="https://www.dsebd.org/displayCompany.php?name=BATBC" xr:uid="{B1F128B6-792F-4690-B7B2-530B6FE07252}"/>
    <hyperlink ref="C160" r:id="rId158" display="https://www.dsebd.org/displayCompany.php?name=BATBC" xr:uid="{321DDB65-3671-4483-BC3F-B7D053C7A1FC}"/>
    <hyperlink ref="C161" r:id="rId159" display="https://www.dsebd.org/displayCompany.php?name=BATBC" xr:uid="{6F73B333-7EC1-4198-BC6C-80628DB6915C}"/>
    <hyperlink ref="C162" r:id="rId160" display="https://www.dsebd.org/displayCompany.php?name=BATBC" xr:uid="{81645059-EF01-4F89-89B2-20514B085574}"/>
    <hyperlink ref="C163" r:id="rId161" display="https://www.dsebd.org/displayCompany.php?name=BATBC" xr:uid="{C3CD321A-531A-447C-A7E3-29C9C7086CCF}"/>
    <hyperlink ref="C164" r:id="rId162" display="https://www.dsebd.org/displayCompany.php?name=BATBC" xr:uid="{5989B552-3197-4FE8-897B-FFA1F9D896B9}"/>
    <hyperlink ref="C165" r:id="rId163" display="https://www.dsebd.org/displayCompany.php?name=BATBC" xr:uid="{471BC624-EEC1-462B-85AF-AE436C37418A}"/>
    <hyperlink ref="C166" r:id="rId164" display="https://www.dsebd.org/displayCompany.php?name=BATBC" xr:uid="{43EF70AA-30FC-4DA6-A08E-F599B7ADF2B7}"/>
    <hyperlink ref="C167" r:id="rId165" display="https://www.dsebd.org/displayCompany.php?name=BATBC" xr:uid="{E2754E61-6BA1-40E6-A6A2-031EE002973A}"/>
    <hyperlink ref="C168" r:id="rId166" display="https://www.dsebd.org/displayCompany.php?name=BATBC" xr:uid="{FB0C23EA-0E27-4FAC-B6BA-A6DB1BC7EF1B}"/>
    <hyperlink ref="C169" r:id="rId167" display="https://www.dsebd.org/displayCompany.php?name=BATBC" xr:uid="{077998F1-A54D-43EC-BA7D-CADB45701A7E}"/>
    <hyperlink ref="C170" r:id="rId168" display="https://www.dsebd.org/displayCompany.php?name=BATBC" xr:uid="{0AE7619D-242A-44AE-AD94-DCEECAB19049}"/>
    <hyperlink ref="C171" r:id="rId169" display="https://www.dsebd.org/displayCompany.php?name=BATBC" xr:uid="{6E64D29D-2627-444F-8339-69CADB92B0FA}"/>
    <hyperlink ref="C172" r:id="rId170" display="https://www.dsebd.org/displayCompany.php?name=BATBC" xr:uid="{021E9465-459D-4D2E-B1B6-0600C0A6C8DD}"/>
    <hyperlink ref="C173" r:id="rId171" display="https://www.dsebd.org/displayCompany.php?name=BATBC" xr:uid="{0C11F0DF-2B6F-430F-B4D3-E96ABAE1C811}"/>
    <hyperlink ref="C174" r:id="rId172" display="https://www.dsebd.org/displayCompany.php?name=BATBC" xr:uid="{0C4B5E36-F3F5-4A33-8B87-BC76AF4F4336}"/>
    <hyperlink ref="C175" r:id="rId173" display="https://www.dsebd.org/displayCompany.php?name=BATBC" xr:uid="{122D74DD-88DD-4F0C-8DD9-2E2F5C0C068A}"/>
    <hyperlink ref="C176" r:id="rId174" display="https://www.dsebd.org/displayCompany.php?name=BATBC" xr:uid="{C7ED4BA5-0A89-4E41-AEFF-2BA5CC9A9DB0}"/>
    <hyperlink ref="C177" r:id="rId175" display="https://www.dsebd.org/displayCompany.php?name=BATBC" xr:uid="{77D9530A-059C-446D-8EE0-F0128A9C37A1}"/>
    <hyperlink ref="C178" r:id="rId176" display="https://www.dsebd.org/displayCompany.php?name=BATBC" xr:uid="{D6D2A7E0-AB73-4B48-A6E7-916DC47A5021}"/>
    <hyperlink ref="C179" r:id="rId177" display="https://www.dsebd.org/displayCompany.php?name=BATBC" xr:uid="{B713B01B-65E1-4DEF-98EA-A889DFC7D27E}"/>
    <hyperlink ref="C180" r:id="rId178" display="https://www.dsebd.org/displayCompany.php?name=BATBC" xr:uid="{70C060D3-5F39-4763-AC88-D17045239A59}"/>
    <hyperlink ref="C181" r:id="rId179" display="https://www.dsebd.org/displayCompany.php?name=BATBC" xr:uid="{FB302157-601A-4385-BDBD-98452AB23171}"/>
    <hyperlink ref="C182" r:id="rId180" display="https://www.dsebd.org/displayCompany.php?name=BATBC" xr:uid="{AF8CCAA4-CABE-491C-831D-E1A9431002D7}"/>
    <hyperlink ref="C183" r:id="rId181" display="https://www.dsebd.org/displayCompany.php?name=BATBC" xr:uid="{FFB1EAF1-219C-40EE-80AC-FC49E5350695}"/>
    <hyperlink ref="C184" r:id="rId182" display="https://www.dsebd.org/displayCompany.php?name=BATBC" xr:uid="{579BC6EB-80FE-419F-8999-4764CC77505F}"/>
    <hyperlink ref="C185" r:id="rId183" display="https://www.dsebd.org/displayCompany.php?name=BATBC" xr:uid="{91C8C5E8-C8D5-4737-8DA3-50396B8006A7}"/>
    <hyperlink ref="C186" r:id="rId184" display="https://www.dsebd.org/displayCompany.php?name=BATBC" xr:uid="{E62F930C-F844-4012-91C2-7BEE8AFC989A}"/>
    <hyperlink ref="C187" r:id="rId185" display="https://www.dsebd.org/displayCompany.php?name=BATBC" xr:uid="{2367FBAF-64FC-4F28-B6E3-B263B8EBFAC9}"/>
    <hyperlink ref="C188" r:id="rId186" display="https://www.dsebd.org/displayCompany.php?name=BATBC" xr:uid="{98234098-DB45-4516-B800-FB2C4C8D8B2A}"/>
    <hyperlink ref="C189" r:id="rId187" display="https://www.dsebd.org/displayCompany.php?name=BATBC" xr:uid="{C44C6614-43C8-410F-9C30-703911CA32AA}"/>
    <hyperlink ref="C190" r:id="rId188" display="https://www.dsebd.org/displayCompany.php?name=BATBC" xr:uid="{CF8A8145-7D8C-4749-9DA6-5F759E358F87}"/>
    <hyperlink ref="C191" r:id="rId189" display="https://www.dsebd.org/displayCompany.php?name=BATBC" xr:uid="{A5DD1079-8CA7-4347-91D1-0E1F23D6F353}"/>
    <hyperlink ref="C192" r:id="rId190" display="https://www.dsebd.org/displayCompany.php?name=BATBC" xr:uid="{69A02B5E-F261-4D07-9736-1DA59E574637}"/>
    <hyperlink ref="C193" r:id="rId191" display="https://www.dsebd.org/displayCompany.php?name=BATBC" xr:uid="{73D79D30-4E9C-4824-875C-AA961B624C4F}"/>
    <hyperlink ref="C194" r:id="rId192" display="https://www.dsebd.org/displayCompany.php?name=BATBC" xr:uid="{12B78406-5122-4C9B-A58B-AADE71804FC9}"/>
    <hyperlink ref="C195" r:id="rId193" display="https://www.dsebd.org/displayCompany.php?name=BATBC" xr:uid="{4DABB14F-C36F-4782-9937-8D9CF80C5A1E}"/>
    <hyperlink ref="C196" r:id="rId194" display="https://www.dsebd.org/displayCompany.php?name=BATBC" xr:uid="{B215F77F-B2AF-46FD-9EC5-09B4DC3FEE3C}"/>
    <hyperlink ref="C197" r:id="rId195" display="https://www.dsebd.org/displayCompany.php?name=BATBC" xr:uid="{FC7BD53C-8763-4310-AC01-3445BFECEBCA}"/>
    <hyperlink ref="C198" r:id="rId196" display="https://www.dsebd.org/displayCompany.php?name=BATBC" xr:uid="{B0C8A3F1-F8F4-4C87-AE94-214A7A81E3F8}"/>
    <hyperlink ref="C199" r:id="rId197" display="https://www.dsebd.org/displayCompany.php?name=BATBC" xr:uid="{81D85E15-BEC8-4D36-96F7-E832EB858F57}"/>
    <hyperlink ref="C200" r:id="rId198" display="https://www.dsebd.org/displayCompany.php?name=BATBC" xr:uid="{6529DB80-348F-4B19-90AD-FD25AFCB147A}"/>
    <hyperlink ref="C201" r:id="rId199" display="https://www.dsebd.org/displayCompany.php?name=BATBC" xr:uid="{52160EBC-B8C0-401D-95CF-ACB284DE7EF6}"/>
    <hyperlink ref="C202" r:id="rId200" display="https://www.dsebd.org/displayCompany.php?name=BATBC" xr:uid="{0A6F3C3D-083A-49E8-948D-8426EA087775}"/>
    <hyperlink ref="C203" r:id="rId201" display="https://www.dsebd.org/displayCompany.php?name=BATBC" xr:uid="{7D071299-3D76-466F-A21E-D295F932C84A}"/>
    <hyperlink ref="C204" r:id="rId202" display="https://www.dsebd.org/displayCompany.php?name=BATBC" xr:uid="{3473B2B3-CD5A-4E5E-B7E9-57381F7E52CC}"/>
    <hyperlink ref="C205" r:id="rId203" display="https://www.dsebd.org/displayCompany.php?name=BATBC" xr:uid="{A8CAE794-49BA-4C05-A258-9EA8C3DB8FD0}"/>
    <hyperlink ref="C206" r:id="rId204" display="https://www.dsebd.org/displayCompany.php?name=BATBC" xr:uid="{E34D1938-E9F4-499B-8333-800049DB9CB9}"/>
    <hyperlink ref="C207" r:id="rId205" display="https://www.dsebd.org/displayCompany.php?name=BATBC" xr:uid="{7C48D3A5-0732-45C3-87B1-8466C3522B0C}"/>
    <hyperlink ref="C208" r:id="rId206" display="https://www.dsebd.org/displayCompany.php?name=BATBC" xr:uid="{9E1AAD9C-9869-48AE-9A0C-368C173432DD}"/>
    <hyperlink ref="C209" r:id="rId207" display="https://www.dsebd.org/displayCompany.php?name=BATBC" xr:uid="{946852AC-0D27-49BD-8F84-7A449294E224}"/>
    <hyperlink ref="C210" r:id="rId208" display="https://www.dsebd.org/displayCompany.php?name=BATBC" xr:uid="{CC6DFDF9-066C-4C26-9A9C-58DAF03A2D42}"/>
    <hyperlink ref="C211" r:id="rId209" display="https://www.dsebd.org/displayCompany.php?name=BATBC" xr:uid="{5242CD53-C5EC-4856-AEE6-BAD7292B268A}"/>
    <hyperlink ref="C212" r:id="rId210" display="https://www.dsebd.org/displayCompany.php?name=BATBC" xr:uid="{4BFB11BA-FFA8-44D5-ABA5-55BAB5A1D2DC}"/>
    <hyperlink ref="C213" r:id="rId211" display="https://www.dsebd.org/displayCompany.php?name=BATBC" xr:uid="{D4838E90-8E5C-4B15-B4B5-62D1693851B6}"/>
    <hyperlink ref="C214" r:id="rId212" display="https://www.dsebd.org/displayCompany.php?name=BATBC" xr:uid="{3CB3AECD-286C-4698-86AA-B3EDC81518E7}"/>
    <hyperlink ref="C215" r:id="rId213" display="https://www.dsebd.org/displayCompany.php?name=BATBC" xr:uid="{AE48E615-ACF8-47FB-8054-3D9F0D85C0DF}"/>
    <hyperlink ref="C216" r:id="rId214" display="https://www.dsebd.org/displayCompany.php?name=BATBC" xr:uid="{CA163EBF-B2A9-44A5-9A28-C47D30A9570A}"/>
    <hyperlink ref="C217" r:id="rId215" display="https://www.dsebd.org/displayCompany.php?name=BATBC" xr:uid="{34F90252-7769-426C-8661-F26D14940562}"/>
    <hyperlink ref="C218" r:id="rId216" display="https://www.dsebd.org/displayCompany.php?name=BATBC" xr:uid="{3DBB3AD3-A3A8-4D6D-B26A-4433C44F2CE1}"/>
    <hyperlink ref="C219" r:id="rId217" display="https://www.dsebd.org/displayCompany.php?name=BATBC" xr:uid="{8C261F9A-7D01-403A-9267-CDAFAAE96CC0}"/>
    <hyperlink ref="C220" r:id="rId218" display="https://www.dsebd.org/displayCompany.php?name=BATBC" xr:uid="{EF970A2B-40BF-49CF-8428-CBF3FEC326AF}"/>
    <hyperlink ref="C221" r:id="rId219" display="https://www.dsebd.org/displayCompany.php?name=BATBC" xr:uid="{94AD3F99-D6C0-4BD1-BD56-3A7AB7D3749C}"/>
    <hyperlink ref="C222" r:id="rId220" display="https://www.dsebd.org/displayCompany.php?name=BATBC" xr:uid="{E270D7FE-6755-4AF7-88ED-6EA384DDA3D7}"/>
    <hyperlink ref="C223" r:id="rId221" display="https://www.dsebd.org/displayCompany.php?name=BATBC" xr:uid="{234FBB84-6DDD-402C-AAE8-0FE31E54545C}"/>
    <hyperlink ref="C224" r:id="rId222" display="https://www.dsebd.org/displayCompany.php?name=BATBC" xr:uid="{57F4BBC7-6E34-4DAC-9B91-FCF21A194B6E}"/>
    <hyperlink ref="C225" r:id="rId223" display="https://www.dsebd.org/displayCompany.php?name=BATBC" xr:uid="{CA2BB3E8-11FF-4F76-8E02-9B622C4A0729}"/>
    <hyperlink ref="C226" r:id="rId224" display="https://www.dsebd.org/displayCompany.php?name=BATBC" xr:uid="{85AF6D05-EE3F-4FD4-A9F4-6E3E44E42BCC}"/>
    <hyperlink ref="C227" r:id="rId225" display="https://www.dsebd.org/displayCompany.php?name=BATBC" xr:uid="{56701789-452A-4DDC-9191-70AB5C8146AB}"/>
    <hyperlink ref="C228" r:id="rId226" display="https://www.dsebd.org/displayCompany.php?name=BATBC" xr:uid="{491E374C-B9B9-4E56-AAB6-DF20313D37F6}"/>
    <hyperlink ref="C229" r:id="rId227" display="https://www.dsebd.org/displayCompany.php?name=BATBC" xr:uid="{286FAA01-AE35-4669-B282-319B6AF7BBF8}"/>
    <hyperlink ref="C230" r:id="rId228" display="https://www.dsebd.org/displayCompany.php?name=BATBC" xr:uid="{CB694076-4C25-40C0-90C5-4F8C146656FB}"/>
    <hyperlink ref="C231" r:id="rId229" display="https://www.dsebd.org/displayCompany.php?name=BATBC" xr:uid="{8ECF7C18-FADF-4E9A-A737-663CAD3CF1B6}"/>
    <hyperlink ref="C232" r:id="rId230" display="https://www.dsebd.org/displayCompany.php?name=BATBC" xr:uid="{5D302FAF-7DDE-40CE-9C64-07FF17F875F5}"/>
    <hyperlink ref="C233" r:id="rId231" display="https://www.dsebd.org/displayCompany.php?name=BATBC" xr:uid="{3CAF6C89-9509-4D2B-9D2C-DB890F147F18}"/>
    <hyperlink ref="C234" r:id="rId232" display="https://www.dsebd.org/displayCompany.php?name=BATBC" xr:uid="{F0B08213-0F78-4C6E-AE57-5438D33CBEEA}"/>
    <hyperlink ref="C235" r:id="rId233" display="https://www.dsebd.org/displayCompany.php?name=BATBC" xr:uid="{9B8FE098-4E91-45ED-9715-058D13E06728}"/>
    <hyperlink ref="C236" r:id="rId234" display="https://www.dsebd.org/displayCompany.php?name=BATBC" xr:uid="{6DA8B850-AC4B-46FF-BF9F-22CDD5A93193}"/>
    <hyperlink ref="C237" r:id="rId235" display="https://www.dsebd.org/displayCompany.php?name=BATBC" xr:uid="{7A89C1EF-2126-424E-BFE1-16E98A6D6914}"/>
    <hyperlink ref="C238" r:id="rId236" display="https://www.dsebd.org/displayCompany.php?name=BATBC" xr:uid="{E9758D2F-299C-4473-B6D0-3D41A759C605}"/>
    <hyperlink ref="C239" r:id="rId237" display="https://www.dsebd.org/displayCompany.php?name=BATBC" xr:uid="{BBC5CC5C-F24C-42E6-955A-CB478580C19D}"/>
    <hyperlink ref="C240" r:id="rId238" display="https://www.dsebd.org/displayCompany.php?name=BATBC" xr:uid="{19B52CCF-E980-4B1B-B603-9FDBB4357EA0}"/>
    <hyperlink ref="C241" r:id="rId239" display="https://www.dsebd.org/displayCompany.php?name=BATBC" xr:uid="{F8C59B7E-27FF-460E-BA2E-BC5B8F94BC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011-06ED-4410-B928-EDDFB7A223F1}">
  <dimension ref="A1:L241"/>
  <sheetViews>
    <sheetView topLeftCell="A217" workbookViewId="0">
      <selection activeCell="D3" sqref="D3:D241"/>
    </sheetView>
  </sheetViews>
  <sheetFormatPr defaultColWidth="8.875" defaultRowHeight="14.25"/>
  <cols>
    <col min="1" max="16384" width="8.875" style="2"/>
  </cols>
  <sheetData>
    <row r="1" spans="1:1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3" spans="1:12">
      <c r="A3" s="2">
        <v>1</v>
      </c>
      <c r="B3" s="8">
        <v>46015</v>
      </c>
      <c r="C3" s="2" t="s">
        <v>20</v>
      </c>
      <c r="D3" s="2">
        <v>45.7</v>
      </c>
      <c r="E3" s="2">
        <v>46.4</v>
      </c>
      <c r="F3" s="2">
        <v>45.5</v>
      </c>
      <c r="G3" s="2">
        <v>46.1</v>
      </c>
      <c r="H3" s="2">
        <v>45.7</v>
      </c>
      <c r="I3" s="2">
        <v>46.1</v>
      </c>
      <c r="J3" s="9">
        <v>1137</v>
      </c>
      <c r="K3" s="2">
        <v>47.633000000000003</v>
      </c>
      <c r="L3" s="9">
        <v>1038293</v>
      </c>
    </row>
    <row r="4" spans="1:12">
      <c r="A4" s="2">
        <v>2</v>
      </c>
      <c r="B4" s="8">
        <v>46014</v>
      </c>
      <c r="C4" s="2" t="s">
        <v>20</v>
      </c>
      <c r="D4" s="2">
        <v>46.1</v>
      </c>
      <c r="E4" s="2">
        <v>46.9</v>
      </c>
      <c r="F4" s="2">
        <v>43.9</v>
      </c>
      <c r="G4" s="2">
        <v>44</v>
      </c>
      <c r="H4" s="2">
        <v>46.1</v>
      </c>
      <c r="I4" s="2">
        <v>43.9</v>
      </c>
      <c r="J4" s="9">
        <v>2824</v>
      </c>
      <c r="K4" s="2">
        <v>103.652</v>
      </c>
      <c r="L4" s="9">
        <v>2284752</v>
      </c>
    </row>
    <row r="5" spans="1:12">
      <c r="A5" s="2">
        <v>3</v>
      </c>
      <c r="B5" s="8">
        <v>46013</v>
      </c>
      <c r="C5" s="2" t="s">
        <v>20</v>
      </c>
      <c r="D5" s="2">
        <v>43.9</v>
      </c>
      <c r="E5" s="2">
        <v>44.8</v>
      </c>
      <c r="F5" s="2">
        <v>43.6</v>
      </c>
      <c r="G5" s="2">
        <v>44.8</v>
      </c>
      <c r="H5" s="2">
        <v>43.9</v>
      </c>
      <c r="I5" s="2">
        <v>43.6</v>
      </c>
      <c r="J5" s="9">
        <v>1356</v>
      </c>
      <c r="K5" s="2">
        <v>58.578000000000003</v>
      </c>
      <c r="L5" s="9">
        <v>1328385</v>
      </c>
    </row>
    <row r="6" spans="1:12">
      <c r="A6" s="2">
        <v>4</v>
      </c>
      <c r="B6" s="8">
        <v>46012</v>
      </c>
      <c r="C6" s="2" t="s">
        <v>20</v>
      </c>
      <c r="D6" s="2">
        <v>43.6</v>
      </c>
      <c r="E6" s="2">
        <v>44.6</v>
      </c>
      <c r="F6" s="2">
        <v>42.2</v>
      </c>
      <c r="G6" s="2">
        <v>43</v>
      </c>
      <c r="H6" s="2">
        <v>43.6</v>
      </c>
      <c r="I6" s="2">
        <v>43.2</v>
      </c>
      <c r="J6" s="9">
        <v>1324</v>
      </c>
      <c r="K6" s="2">
        <v>45.271000000000001</v>
      </c>
      <c r="L6" s="9">
        <v>1048723</v>
      </c>
    </row>
    <row r="7" spans="1:12">
      <c r="A7" s="2">
        <v>5</v>
      </c>
      <c r="B7" s="8">
        <v>46009</v>
      </c>
      <c r="C7" s="2" t="s">
        <v>20</v>
      </c>
      <c r="D7" s="2">
        <v>43.2</v>
      </c>
      <c r="E7" s="2">
        <v>44.4</v>
      </c>
      <c r="F7" s="2">
        <v>43</v>
      </c>
      <c r="G7" s="2">
        <v>44.3</v>
      </c>
      <c r="H7" s="2">
        <v>43.2</v>
      </c>
      <c r="I7" s="2">
        <v>44.2</v>
      </c>
      <c r="J7" s="9">
        <v>1190</v>
      </c>
      <c r="K7" s="2">
        <v>30.858000000000001</v>
      </c>
      <c r="L7" s="9">
        <v>710730</v>
      </c>
    </row>
    <row r="8" spans="1:12">
      <c r="A8" s="2">
        <v>6</v>
      </c>
      <c r="B8" s="8">
        <v>46008</v>
      </c>
      <c r="C8" s="2" t="s">
        <v>20</v>
      </c>
      <c r="D8" s="2">
        <v>44.2</v>
      </c>
      <c r="E8" s="2">
        <v>46.6</v>
      </c>
      <c r="F8" s="2">
        <v>43.7</v>
      </c>
      <c r="G8" s="2">
        <v>46.2</v>
      </c>
      <c r="H8" s="2">
        <v>44.2</v>
      </c>
      <c r="I8" s="2">
        <v>46.1</v>
      </c>
      <c r="J8" s="9">
        <v>1287</v>
      </c>
      <c r="K8" s="2">
        <v>42.051000000000002</v>
      </c>
      <c r="L8" s="9">
        <v>927380</v>
      </c>
    </row>
    <row r="9" spans="1:12">
      <c r="A9" s="2">
        <v>7</v>
      </c>
      <c r="B9" s="8">
        <v>46006</v>
      </c>
      <c r="C9" s="2" t="s">
        <v>20</v>
      </c>
      <c r="D9" s="2">
        <v>46.1</v>
      </c>
      <c r="E9" s="2">
        <v>47.3</v>
      </c>
      <c r="F9" s="2">
        <v>45.8</v>
      </c>
      <c r="G9" s="2">
        <v>47.3</v>
      </c>
      <c r="H9" s="2">
        <v>46.1</v>
      </c>
      <c r="I9" s="2">
        <v>47.1</v>
      </c>
      <c r="J9" s="2">
        <v>918</v>
      </c>
      <c r="K9" s="2">
        <v>31.363</v>
      </c>
      <c r="L9" s="9">
        <v>674159</v>
      </c>
    </row>
    <row r="10" spans="1:12">
      <c r="A10" s="2">
        <v>8</v>
      </c>
      <c r="B10" s="8">
        <v>46005</v>
      </c>
      <c r="C10" s="2" t="s">
        <v>20</v>
      </c>
      <c r="D10" s="2">
        <v>47.1</v>
      </c>
      <c r="E10" s="2">
        <v>48.5</v>
      </c>
      <c r="F10" s="2">
        <v>46.8</v>
      </c>
      <c r="G10" s="2">
        <v>48.5</v>
      </c>
      <c r="H10" s="2">
        <v>47.1</v>
      </c>
      <c r="I10" s="2">
        <v>47.9</v>
      </c>
      <c r="J10" s="9">
        <v>1143</v>
      </c>
      <c r="K10" s="2">
        <v>35.99</v>
      </c>
      <c r="L10" s="9">
        <v>754428</v>
      </c>
    </row>
    <row r="11" spans="1:12">
      <c r="A11" s="2">
        <v>9</v>
      </c>
      <c r="B11" s="8">
        <v>46002</v>
      </c>
      <c r="C11" s="2" t="s">
        <v>20</v>
      </c>
      <c r="D11" s="2">
        <v>47.9</v>
      </c>
      <c r="E11" s="2">
        <v>48.4</v>
      </c>
      <c r="F11" s="2">
        <v>47.5</v>
      </c>
      <c r="G11" s="2">
        <v>48.3</v>
      </c>
      <c r="H11" s="2">
        <v>47.9</v>
      </c>
      <c r="I11" s="2">
        <v>48</v>
      </c>
      <c r="J11" s="9">
        <v>1157</v>
      </c>
      <c r="K11" s="2">
        <v>41.94</v>
      </c>
      <c r="L11" s="9">
        <v>874635</v>
      </c>
    </row>
    <row r="12" spans="1:12">
      <c r="A12" s="2">
        <v>10</v>
      </c>
      <c r="B12" s="8">
        <v>46001</v>
      </c>
      <c r="C12" s="2" t="s">
        <v>20</v>
      </c>
      <c r="D12" s="2">
        <v>48</v>
      </c>
      <c r="E12" s="2">
        <v>49.4</v>
      </c>
      <c r="F12" s="2">
        <v>47.6</v>
      </c>
      <c r="G12" s="2">
        <v>49.3</v>
      </c>
      <c r="H12" s="2">
        <v>48</v>
      </c>
      <c r="I12" s="2">
        <v>48.8</v>
      </c>
      <c r="J12" s="9">
        <v>1408</v>
      </c>
      <c r="K12" s="2">
        <v>55.191000000000003</v>
      </c>
      <c r="L12" s="9">
        <v>1137821</v>
      </c>
    </row>
    <row r="13" spans="1:12">
      <c r="A13" s="2">
        <v>11</v>
      </c>
      <c r="B13" s="8">
        <v>46000</v>
      </c>
      <c r="C13" s="2" t="s">
        <v>20</v>
      </c>
      <c r="D13" s="2">
        <v>48.8</v>
      </c>
      <c r="E13" s="2">
        <v>49.4</v>
      </c>
      <c r="F13" s="2">
        <v>48.2</v>
      </c>
      <c r="G13" s="2">
        <v>48.2</v>
      </c>
      <c r="H13" s="2">
        <v>48.8</v>
      </c>
      <c r="I13" s="2">
        <v>47.8</v>
      </c>
      <c r="J13" s="9">
        <v>1371</v>
      </c>
      <c r="K13" s="2">
        <v>49.011000000000003</v>
      </c>
      <c r="L13" s="9">
        <v>1004817</v>
      </c>
    </row>
    <row r="14" spans="1:12">
      <c r="A14" s="2">
        <v>12</v>
      </c>
      <c r="B14" s="8">
        <v>45999</v>
      </c>
      <c r="C14" s="2" t="s">
        <v>20</v>
      </c>
      <c r="D14" s="2">
        <v>47.8</v>
      </c>
      <c r="E14" s="2">
        <v>48.3</v>
      </c>
      <c r="F14" s="2">
        <v>46.9</v>
      </c>
      <c r="G14" s="2">
        <v>46.9</v>
      </c>
      <c r="H14" s="2">
        <v>47.8</v>
      </c>
      <c r="I14" s="2">
        <v>46.4</v>
      </c>
      <c r="J14" s="9">
        <v>1345</v>
      </c>
      <c r="K14" s="2">
        <v>51.112000000000002</v>
      </c>
      <c r="L14" s="9">
        <v>1070713</v>
      </c>
    </row>
    <row r="15" spans="1:12">
      <c r="A15" s="2">
        <v>13</v>
      </c>
      <c r="B15" s="8">
        <v>45998</v>
      </c>
      <c r="C15" s="2" t="s">
        <v>20</v>
      </c>
      <c r="D15" s="2">
        <v>46.4</v>
      </c>
      <c r="E15" s="2">
        <v>48.9</v>
      </c>
      <c r="F15" s="2">
        <v>46</v>
      </c>
      <c r="G15" s="2">
        <v>48.9</v>
      </c>
      <c r="H15" s="2">
        <v>46.4</v>
      </c>
      <c r="I15" s="2">
        <v>48</v>
      </c>
      <c r="J15" s="9">
        <v>1123</v>
      </c>
      <c r="K15" s="2">
        <v>29.15</v>
      </c>
      <c r="L15" s="9">
        <v>620803</v>
      </c>
    </row>
    <row r="16" spans="1:12">
      <c r="A16" s="2">
        <v>14</v>
      </c>
      <c r="B16" s="8">
        <v>45995</v>
      </c>
      <c r="C16" s="2" t="s">
        <v>20</v>
      </c>
      <c r="D16" s="2">
        <v>48</v>
      </c>
      <c r="E16" s="2">
        <v>51.4</v>
      </c>
      <c r="F16" s="2">
        <v>47.6</v>
      </c>
      <c r="G16" s="2">
        <v>51.4</v>
      </c>
      <c r="H16" s="2">
        <v>48</v>
      </c>
      <c r="I16" s="2">
        <v>52.7</v>
      </c>
      <c r="J16" s="9">
        <v>2834</v>
      </c>
      <c r="K16" s="2">
        <v>126.916</v>
      </c>
      <c r="L16" s="9">
        <v>2553708</v>
      </c>
    </row>
    <row r="17" spans="1:12">
      <c r="A17" s="2">
        <v>15</v>
      </c>
      <c r="B17" s="8">
        <v>45994</v>
      </c>
      <c r="C17" s="2" t="s">
        <v>20</v>
      </c>
      <c r="D17" s="2">
        <v>0</v>
      </c>
      <c r="E17" s="2">
        <v>0</v>
      </c>
      <c r="F17" s="2">
        <v>0</v>
      </c>
      <c r="G17" s="2">
        <v>0</v>
      </c>
      <c r="H17" s="2">
        <v>52.7</v>
      </c>
      <c r="I17" s="2">
        <v>52.7</v>
      </c>
      <c r="J17" s="2">
        <v>0</v>
      </c>
      <c r="K17" s="2">
        <v>0</v>
      </c>
      <c r="L17" s="2">
        <v>0</v>
      </c>
    </row>
    <row r="18" spans="1:12">
      <c r="A18" s="2">
        <v>16</v>
      </c>
      <c r="B18" s="8">
        <v>45993</v>
      </c>
      <c r="C18" s="2" t="s">
        <v>20</v>
      </c>
      <c r="D18" s="2">
        <v>52.7</v>
      </c>
      <c r="E18" s="2">
        <v>53.1</v>
      </c>
      <c r="F18" s="2">
        <v>50.9</v>
      </c>
      <c r="G18" s="2">
        <v>51.2</v>
      </c>
      <c r="H18" s="2">
        <v>52.7</v>
      </c>
      <c r="I18" s="2">
        <v>51.2</v>
      </c>
      <c r="J18" s="9">
        <v>2218</v>
      </c>
      <c r="K18" s="2">
        <v>115.235</v>
      </c>
      <c r="L18" s="9">
        <v>2211205</v>
      </c>
    </row>
    <row r="19" spans="1:12">
      <c r="A19" s="2">
        <v>17</v>
      </c>
      <c r="B19" s="8">
        <v>45992</v>
      </c>
      <c r="C19" s="2" t="s">
        <v>20</v>
      </c>
      <c r="D19" s="2">
        <v>51.2</v>
      </c>
      <c r="E19" s="2">
        <v>52.4</v>
      </c>
      <c r="F19" s="2">
        <v>50.6</v>
      </c>
      <c r="G19" s="2">
        <v>52</v>
      </c>
      <c r="H19" s="2">
        <v>51.2</v>
      </c>
      <c r="I19" s="2">
        <v>52.1</v>
      </c>
      <c r="J19" s="9">
        <v>2085</v>
      </c>
      <c r="K19" s="2">
        <v>67.284000000000006</v>
      </c>
      <c r="L19" s="9">
        <v>1312010</v>
      </c>
    </row>
    <row r="20" spans="1:12">
      <c r="A20" s="2">
        <v>18</v>
      </c>
      <c r="B20" s="8">
        <v>45991</v>
      </c>
      <c r="C20" s="2" t="s">
        <v>20</v>
      </c>
      <c r="D20" s="2">
        <v>52.1</v>
      </c>
      <c r="E20" s="2">
        <v>54.1</v>
      </c>
      <c r="F20" s="2">
        <v>51.7</v>
      </c>
      <c r="G20" s="2">
        <v>54</v>
      </c>
      <c r="H20" s="2">
        <v>52.1</v>
      </c>
      <c r="I20" s="2">
        <v>54</v>
      </c>
      <c r="J20" s="9">
        <v>2850</v>
      </c>
      <c r="K20" s="2">
        <v>116.426</v>
      </c>
      <c r="L20" s="9">
        <v>2201915</v>
      </c>
    </row>
    <row r="21" spans="1:12">
      <c r="A21" s="2">
        <v>19</v>
      </c>
      <c r="B21" s="8">
        <v>45988</v>
      </c>
      <c r="C21" s="2" t="s">
        <v>20</v>
      </c>
      <c r="D21" s="2">
        <v>54</v>
      </c>
      <c r="E21" s="2">
        <v>55.2</v>
      </c>
      <c r="F21" s="2">
        <v>53.8</v>
      </c>
      <c r="G21" s="2">
        <v>54.5</v>
      </c>
      <c r="H21" s="2">
        <v>54</v>
      </c>
      <c r="I21" s="2">
        <v>55</v>
      </c>
      <c r="J21" s="9">
        <v>3344</v>
      </c>
      <c r="K21" s="2">
        <v>198.59899999999999</v>
      </c>
      <c r="L21" s="9">
        <v>3642994</v>
      </c>
    </row>
    <row r="22" spans="1:12">
      <c r="A22" s="2">
        <v>20</v>
      </c>
      <c r="B22" s="8">
        <v>45987</v>
      </c>
      <c r="C22" s="2" t="s">
        <v>20</v>
      </c>
      <c r="D22" s="2">
        <v>55</v>
      </c>
      <c r="E22" s="2">
        <v>56</v>
      </c>
      <c r="F22" s="2">
        <v>54.2</v>
      </c>
      <c r="G22" s="2">
        <v>54.9</v>
      </c>
      <c r="H22" s="2">
        <v>55</v>
      </c>
      <c r="I22" s="2">
        <v>54.5</v>
      </c>
      <c r="J22" s="9">
        <v>4096</v>
      </c>
      <c r="K22" s="2">
        <v>190.83799999999999</v>
      </c>
      <c r="L22" s="9">
        <v>3461644</v>
      </c>
    </row>
    <row r="23" spans="1:12">
      <c r="A23" s="2">
        <v>21</v>
      </c>
      <c r="B23" s="8">
        <v>45986</v>
      </c>
      <c r="C23" s="2" t="s">
        <v>20</v>
      </c>
      <c r="D23" s="2">
        <v>54.5</v>
      </c>
      <c r="E23" s="2">
        <v>55</v>
      </c>
      <c r="F23" s="2">
        <v>52.5</v>
      </c>
      <c r="G23" s="2">
        <v>53</v>
      </c>
      <c r="H23" s="2">
        <v>54.5</v>
      </c>
      <c r="I23" s="2">
        <v>53</v>
      </c>
      <c r="J23" s="9">
        <v>4053</v>
      </c>
      <c r="K23" s="2">
        <v>207.75200000000001</v>
      </c>
      <c r="L23" s="9">
        <v>3853562</v>
      </c>
    </row>
    <row r="24" spans="1:12">
      <c r="A24" s="2">
        <v>22</v>
      </c>
      <c r="B24" s="8">
        <v>45985</v>
      </c>
      <c r="C24" s="2" t="s">
        <v>20</v>
      </c>
      <c r="D24" s="2">
        <v>53</v>
      </c>
      <c r="E24" s="2">
        <v>54</v>
      </c>
      <c r="F24" s="2">
        <v>52.4</v>
      </c>
      <c r="G24" s="2">
        <v>53.5</v>
      </c>
      <c r="H24" s="2">
        <v>53</v>
      </c>
      <c r="I24" s="2">
        <v>53.2</v>
      </c>
      <c r="J24" s="9">
        <v>2783</v>
      </c>
      <c r="K24" s="2">
        <v>121.467</v>
      </c>
      <c r="L24" s="9">
        <v>2286274</v>
      </c>
    </row>
    <row r="25" spans="1:12">
      <c r="A25" s="2">
        <v>23</v>
      </c>
      <c r="B25" s="8">
        <v>45984</v>
      </c>
      <c r="C25" s="2" t="s">
        <v>20</v>
      </c>
      <c r="D25" s="2">
        <v>53.2</v>
      </c>
      <c r="E25" s="2">
        <v>53.5</v>
      </c>
      <c r="F25" s="2">
        <v>48.3</v>
      </c>
      <c r="G25" s="2">
        <v>50.1</v>
      </c>
      <c r="H25" s="2">
        <v>53.2</v>
      </c>
      <c r="I25" s="2">
        <v>50.3</v>
      </c>
      <c r="J25" s="9">
        <v>3354</v>
      </c>
      <c r="K25" s="2">
        <v>113.554</v>
      </c>
      <c r="L25" s="9">
        <v>2216294</v>
      </c>
    </row>
    <row r="26" spans="1:12">
      <c r="A26" s="2">
        <v>24</v>
      </c>
      <c r="B26" s="8">
        <v>45981</v>
      </c>
      <c r="C26" s="2" t="s">
        <v>20</v>
      </c>
      <c r="D26" s="2">
        <v>50.3</v>
      </c>
      <c r="E26" s="2">
        <v>53.3</v>
      </c>
      <c r="F26" s="2">
        <v>50.1</v>
      </c>
      <c r="G26" s="2">
        <v>52.3</v>
      </c>
      <c r="H26" s="2">
        <v>50.3</v>
      </c>
      <c r="I26" s="2">
        <v>52.2</v>
      </c>
      <c r="J26" s="9">
        <v>2819</v>
      </c>
      <c r="K26" s="2">
        <v>96.155000000000001</v>
      </c>
      <c r="L26" s="9">
        <v>1863942</v>
      </c>
    </row>
    <row r="27" spans="1:12">
      <c r="A27" s="2">
        <v>25</v>
      </c>
      <c r="B27" s="8">
        <v>45980</v>
      </c>
      <c r="C27" s="2" t="s">
        <v>20</v>
      </c>
      <c r="D27" s="2">
        <v>52.2</v>
      </c>
      <c r="E27" s="2">
        <v>52.7</v>
      </c>
      <c r="F27" s="2">
        <v>48.3</v>
      </c>
      <c r="G27" s="2">
        <v>49.5</v>
      </c>
      <c r="H27" s="2">
        <v>52.2</v>
      </c>
      <c r="I27" s="2">
        <v>48.8</v>
      </c>
      <c r="J27" s="9">
        <v>3188</v>
      </c>
      <c r="K27" s="2">
        <v>132.61799999999999</v>
      </c>
      <c r="L27" s="9">
        <v>2597255</v>
      </c>
    </row>
    <row r="28" spans="1:12">
      <c r="A28" s="2">
        <v>26</v>
      </c>
      <c r="B28" s="8">
        <v>45979</v>
      </c>
      <c r="C28" s="2" t="s">
        <v>20</v>
      </c>
      <c r="D28" s="2">
        <v>48.8</v>
      </c>
      <c r="E28" s="2">
        <v>49.6</v>
      </c>
      <c r="F28" s="2">
        <v>47</v>
      </c>
      <c r="G28" s="2">
        <v>48.6</v>
      </c>
      <c r="H28" s="2">
        <v>48.8</v>
      </c>
      <c r="I28" s="2">
        <v>48.8</v>
      </c>
      <c r="J28" s="9">
        <v>1940</v>
      </c>
      <c r="K28" s="2">
        <v>59.72</v>
      </c>
      <c r="L28" s="9">
        <v>1231597</v>
      </c>
    </row>
    <row r="29" spans="1:12">
      <c r="A29" s="2">
        <v>27</v>
      </c>
      <c r="B29" s="8">
        <v>45978</v>
      </c>
      <c r="C29" s="2" t="s">
        <v>20</v>
      </c>
      <c r="D29" s="2">
        <v>48.8</v>
      </c>
      <c r="E29" s="2">
        <v>50.7</v>
      </c>
      <c r="F29" s="2">
        <v>48</v>
      </c>
      <c r="G29" s="2">
        <v>50</v>
      </c>
      <c r="H29" s="2">
        <v>48.8</v>
      </c>
      <c r="I29" s="2">
        <v>49.8</v>
      </c>
      <c r="J29" s="9">
        <v>1962</v>
      </c>
      <c r="K29" s="2">
        <v>61.162999999999997</v>
      </c>
      <c r="L29" s="9">
        <v>1236183</v>
      </c>
    </row>
    <row r="30" spans="1:12">
      <c r="A30" s="2">
        <v>28</v>
      </c>
      <c r="B30" s="8">
        <v>45977</v>
      </c>
      <c r="C30" s="2" t="s">
        <v>20</v>
      </c>
      <c r="D30" s="2">
        <v>49.8</v>
      </c>
      <c r="E30" s="2">
        <v>50.2</v>
      </c>
      <c r="F30" s="2">
        <v>47.1</v>
      </c>
      <c r="G30" s="2">
        <v>48.4</v>
      </c>
      <c r="H30" s="2">
        <v>49.8</v>
      </c>
      <c r="I30" s="2">
        <v>47.5</v>
      </c>
      <c r="J30" s="9">
        <v>1753</v>
      </c>
      <c r="K30" s="2">
        <v>64.123999999999995</v>
      </c>
      <c r="L30" s="9">
        <v>1315363</v>
      </c>
    </row>
    <row r="31" spans="1:12">
      <c r="A31" s="2">
        <v>29</v>
      </c>
      <c r="B31" s="8">
        <v>45974</v>
      </c>
      <c r="C31" s="2" t="s">
        <v>20</v>
      </c>
      <c r="D31" s="2">
        <v>47.5</v>
      </c>
      <c r="E31" s="2">
        <v>48.6</v>
      </c>
      <c r="F31" s="2">
        <v>45.7</v>
      </c>
      <c r="G31" s="2">
        <v>48.6</v>
      </c>
      <c r="H31" s="2">
        <v>47.5</v>
      </c>
      <c r="I31" s="2">
        <v>46.6</v>
      </c>
      <c r="J31" s="9">
        <v>2414</v>
      </c>
      <c r="K31" s="2">
        <v>70.92</v>
      </c>
      <c r="L31" s="9">
        <v>1502009</v>
      </c>
    </row>
    <row r="32" spans="1:12">
      <c r="A32" s="2">
        <v>30</v>
      </c>
      <c r="B32" s="8">
        <v>45973</v>
      </c>
      <c r="C32" s="2" t="s">
        <v>20</v>
      </c>
      <c r="D32" s="2">
        <v>46.6</v>
      </c>
      <c r="E32" s="2">
        <v>51.3</v>
      </c>
      <c r="F32" s="2">
        <v>46</v>
      </c>
      <c r="G32" s="2">
        <v>50</v>
      </c>
      <c r="H32" s="2">
        <v>46.6</v>
      </c>
      <c r="I32" s="2">
        <v>49.9</v>
      </c>
      <c r="J32" s="9">
        <v>1738</v>
      </c>
      <c r="K32" s="2">
        <v>54.387</v>
      </c>
      <c r="L32" s="9">
        <v>1114804</v>
      </c>
    </row>
    <row r="33" spans="1:12">
      <c r="A33" s="2">
        <v>31</v>
      </c>
      <c r="B33" s="8">
        <v>45972</v>
      </c>
      <c r="C33" s="2" t="s">
        <v>20</v>
      </c>
      <c r="D33" s="2">
        <v>49.9</v>
      </c>
      <c r="E33" s="2">
        <v>50.4</v>
      </c>
      <c r="F33" s="2">
        <v>47.2</v>
      </c>
      <c r="G33" s="2">
        <v>47.5</v>
      </c>
      <c r="H33" s="2">
        <v>49.9</v>
      </c>
      <c r="I33" s="2">
        <v>47.4</v>
      </c>
      <c r="J33" s="9">
        <v>2113</v>
      </c>
      <c r="K33" s="2">
        <v>69.683999999999997</v>
      </c>
      <c r="L33" s="9">
        <v>1422179</v>
      </c>
    </row>
    <row r="34" spans="1:12">
      <c r="A34" s="2">
        <v>32</v>
      </c>
      <c r="B34" s="8">
        <v>45971</v>
      </c>
      <c r="C34" s="2" t="s">
        <v>20</v>
      </c>
      <c r="D34" s="2">
        <v>47.4</v>
      </c>
      <c r="E34" s="2">
        <v>48.4</v>
      </c>
      <c r="F34" s="2">
        <v>46</v>
      </c>
      <c r="G34" s="2">
        <v>47.5</v>
      </c>
      <c r="H34" s="2">
        <v>47.4</v>
      </c>
      <c r="I34" s="2">
        <v>47.4</v>
      </c>
      <c r="J34" s="9">
        <v>1062</v>
      </c>
      <c r="K34" s="2">
        <v>32.149000000000001</v>
      </c>
      <c r="L34" s="9">
        <v>680864</v>
      </c>
    </row>
    <row r="35" spans="1:12">
      <c r="A35" s="2">
        <v>33</v>
      </c>
      <c r="B35" s="8">
        <v>45970</v>
      </c>
      <c r="C35" s="2" t="s">
        <v>20</v>
      </c>
      <c r="D35" s="2">
        <v>47.4</v>
      </c>
      <c r="E35" s="2">
        <v>48.8</v>
      </c>
      <c r="F35" s="2">
        <v>45.9</v>
      </c>
      <c r="G35" s="2">
        <v>46.5</v>
      </c>
      <c r="H35" s="2">
        <v>47.4</v>
      </c>
      <c r="I35" s="2">
        <v>45.9</v>
      </c>
      <c r="J35" s="9">
        <v>2101</v>
      </c>
      <c r="K35" s="2">
        <v>69.658000000000001</v>
      </c>
      <c r="L35" s="9">
        <v>1463422</v>
      </c>
    </row>
    <row r="36" spans="1:12">
      <c r="A36" s="2">
        <v>34</v>
      </c>
      <c r="B36" s="8">
        <v>45967</v>
      </c>
      <c r="C36" s="2" t="s">
        <v>20</v>
      </c>
      <c r="D36" s="2">
        <v>45.9</v>
      </c>
      <c r="E36" s="2">
        <v>46.2</v>
      </c>
      <c r="F36" s="2">
        <v>42.4</v>
      </c>
      <c r="G36" s="2">
        <v>42.5</v>
      </c>
      <c r="H36" s="2">
        <v>45.9</v>
      </c>
      <c r="I36" s="2">
        <v>42.5</v>
      </c>
      <c r="J36" s="9">
        <v>1837</v>
      </c>
      <c r="K36" s="2">
        <v>47.262</v>
      </c>
      <c r="L36" s="9">
        <v>1046583</v>
      </c>
    </row>
    <row r="37" spans="1:12">
      <c r="A37" s="2">
        <v>35</v>
      </c>
      <c r="B37" s="8">
        <v>45966</v>
      </c>
      <c r="C37" s="2" t="s">
        <v>20</v>
      </c>
      <c r="D37" s="2">
        <v>42.9</v>
      </c>
      <c r="E37" s="2">
        <v>43.4</v>
      </c>
      <c r="F37" s="2">
        <v>41.4</v>
      </c>
      <c r="G37" s="2">
        <v>42.1</v>
      </c>
      <c r="H37" s="2">
        <v>42.5</v>
      </c>
      <c r="I37" s="2">
        <v>41.7</v>
      </c>
      <c r="J37" s="2">
        <v>719</v>
      </c>
      <c r="K37" s="2">
        <v>16.681999999999999</v>
      </c>
      <c r="L37" s="9">
        <v>391929</v>
      </c>
    </row>
    <row r="38" spans="1:12">
      <c r="A38" s="2">
        <v>36</v>
      </c>
      <c r="B38" s="8">
        <v>45965</v>
      </c>
      <c r="C38" s="2" t="s">
        <v>20</v>
      </c>
      <c r="D38" s="2">
        <v>41.7</v>
      </c>
      <c r="E38" s="2">
        <v>43</v>
      </c>
      <c r="F38" s="2">
        <v>41.6</v>
      </c>
      <c r="G38" s="2">
        <v>43</v>
      </c>
      <c r="H38" s="2">
        <v>41.7</v>
      </c>
      <c r="I38" s="2">
        <v>41.7</v>
      </c>
      <c r="J38" s="2">
        <v>583</v>
      </c>
      <c r="K38" s="2">
        <v>10.571999999999999</v>
      </c>
      <c r="L38" s="9">
        <v>251599</v>
      </c>
    </row>
    <row r="39" spans="1:12">
      <c r="A39" s="2">
        <v>37</v>
      </c>
      <c r="B39" s="8">
        <v>45964</v>
      </c>
      <c r="C39" s="2" t="s">
        <v>20</v>
      </c>
      <c r="D39" s="2">
        <v>41.7</v>
      </c>
      <c r="E39" s="2">
        <v>44.2</v>
      </c>
      <c r="F39" s="2">
        <v>41.5</v>
      </c>
      <c r="G39" s="2">
        <v>44.2</v>
      </c>
      <c r="H39" s="2">
        <v>41.7</v>
      </c>
      <c r="I39" s="2">
        <v>43.7</v>
      </c>
      <c r="J39" s="2">
        <v>836</v>
      </c>
      <c r="K39" s="2">
        <v>19.620999999999999</v>
      </c>
      <c r="L39" s="9">
        <v>458460</v>
      </c>
    </row>
    <row r="40" spans="1:12">
      <c r="A40" s="2">
        <v>38</v>
      </c>
      <c r="B40" s="8">
        <v>45963</v>
      </c>
      <c r="C40" s="2" t="s">
        <v>20</v>
      </c>
      <c r="D40" s="2">
        <v>43.7</v>
      </c>
      <c r="E40" s="2">
        <v>44.6</v>
      </c>
      <c r="F40" s="2">
        <v>43.6</v>
      </c>
      <c r="G40" s="2">
        <v>44.2</v>
      </c>
      <c r="H40" s="2">
        <v>43.7</v>
      </c>
      <c r="I40" s="2">
        <v>44</v>
      </c>
      <c r="J40" s="2">
        <v>595</v>
      </c>
      <c r="K40" s="2">
        <v>16.282</v>
      </c>
      <c r="L40" s="9">
        <v>370358</v>
      </c>
    </row>
    <row r="41" spans="1:12">
      <c r="A41" s="2">
        <v>39</v>
      </c>
      <c r="B41" s="8">
        <v>45960</v>
      </c>
      <c r="C41" s="2" t="s">
        <v>20</v>
      </c>
      <c r="D41" s="2">
        <v>44</v>
      </c>
      <c r="E41" s="2">
        <v>45</v>
      </c>
      <c r="F41" s="2">
        <v>43.7</v>
      </c>
      <c r="G41" s="2">
        <v>44.9</v>
      </c>
      <c r="H41" s="2">
        <v>44</v>
      </c>
      <c r="I41" s="2">
        <v>44.9</v>
      </c>
      <c r="J41" s="9">
        <v>1041</v>
      </c>
      <c r="K41" s="2">
        <v>28.263999999999999</v>
      </c>
      <c r="L41" s="9">
        <v>639926</v>
      </c>
    </row>
    <row r="42" spans="1:12">
      <c r="A42" s="2">
        <v>40</v>
      </c>
      <c r="B42" s="8">
        <v>45959</v>
      </c>
      <c r="C42" s="2" t="s">
        <v>20</v>
      </c>
      <c r="D42" s="2">
        <v>44.9</v>
      </c>
      <c r="E42" s="2">
        <v>45.1</v>
      </c>
      <c r="F42" s="2">
        <v>42.2</v>
      </c>
      <c r="G42" s="2">
        <v>43</v>
      </c>
      <c r="H42" s="2">
        <v>44.9</v>
      </c>
      <c r="I42" s="2">
        <v>42.9</v>
      </c>
      <c r="J42" s="9">
        <v>1150</v>
      </c>
      <c r="K42" s="2">
        <v>34.448999999999998</v>
      </c>
      <c r="L42" s="9">
        <v>788623</v>
      </c>
    </row>
    <row r="43" spans="1:12">
      <c r="A43" s="2">
        <v>41</v>
      </c>
      <c r="B43" s="8">
        <v>45958</v>
      </c>
      <c r="C43" s="2" t="s">
        <v>20</v>
      </c>
      <c r="D43" s="2">
        <v>42.9</v>
      </c>
      <c r="E43" s="2">
        <v>43.6</v>
      </c>
      <c r="F43" s="2">
        <v>40.799999999999997</v>
      </c>
      <c r="G43" s="2">
        <v>40.799999999999997</v>
      </c>
      <c r="H43" s="2">
        <v>42.9</v>
      </c>
      <c r="I43" s="2">
        <v>40</v>
      </c>
      <c r="J43" s="9">
        <v>1738</v>
      </c>
      <c r="K43" s="2">
        <v>47.305</v>
      </c>
      <c r="L43" s="9">
        <v>1124341</v>
      </c>
    </row>
    <row r="44" spans="1:12">
      <c r="A44" s="2">
        <v>42</v>
      </c>
      <c r="B44" s="8">
        <v>45957</v>
      </c>
      <c r="C44" s="2" t="s">
        <v>20</v>
      </c>
      <c r="D44" s="2">
        <v>40</v>
      </c>
      <c r="E44" s="2">
        <v>40.1</v>
      </c>
      <c r="F44" s="2">
        <v>37.5</v>
      </c>
      <c r="G44" s="2">
        <v>37.799999999999997</v>
      </c>
      <c r="H44" s="2">
        <v>40</v>
      </c>
      <c r="I44" s="2">
        <v>37.700000000000003</v>
      </c>
      <c r="J44" s="2">
        <v>925</v>
      </c>
      <c r="K44" s="2">
        <v>24.038</v>
      </c>
      <c r="L44" s="9">
        <v>612420</v>
      </c>
    </row>
    <row r="45" spans="1:12">
      <c r="A45" s="2">
        <v>43</v>
      </c>
      <c r="B45" s="8">
        <v>45956</v>
      </c>
      <c r="C45" s="2" t="s">
        <v>20</v>
      </c>
      <c r="D45" s="2">
        <v>37.700000000000003</v>
      </c>
      <c r="E45" s="2">
        <v>38.5</v>
      </c>
      <c r="F45" s="2">
        <v>37.6</v>
      </c>
      <c r="G45" s="2">
        <v>38.5</v>
      </c>
      <c r="H45" s="2">
        <v>37.700000000000003</v>
      </c>
      <c r="I45" s="2">
        <v>38.4</v>
      </c>
      <c r="J45" s="2">
        <v>286</v>
      </c>
      <c r="K45" s="2">
        <v>6.3630000000000004</v>
      </c>
      <c r="L45" s="9">
        <v>167239</v>
      </c>
    </row>
    <row r="46" spans="1:12">
      <c r="A46" s="2">
        <v>44</v>
      </c>
      <c r="B46" s="8">
        <v>45953</v>
      </c>
      <c r="C46" s="2" t="s">
        <v>20</v>
      </c>
      <c r="D46" s="2">
        <v>38.4</v>
      </c>
      <c r="E46" s="2">
        <v>38.700000000000003</v>
      </c>
      <c r="F46" s="2">
        <v>37.9</v>
      </c>
      <c r="G46" s="2">
        <v>38.6</v>
      </c>
      <c r="H46" s="2">
        <v>38.4</v>
      </c>
      <c r="I46" s="2">
        <v>38</v>
      </c>
      <c r="J46" s="2">
        <v>197</v>
      </c>
      <c r="K46" s="2">
        <v>5.9480000000000004</v>
      </c>
      <c r="L46" s="9">
        <v>155136</v>
      </c>
    </row>
    <row r="47" spans="1:12">
      <c r="A47" s="2">
        <v>45</v>
      </c>
      <c r="B47" s="8">
        <v>45952</v>
      </c>
      <c r="C47" s="2" t="s">
        <v>20</v>
      </c>
      <c r="D47" s="2">
        <v>38</v>
      </c>
      <c r="E47" s="2">
        <v>38.5</v>
      </c>
      <c r="F47" s="2">
        <v>37.200000000000003</v>
      </c>
      <c r="G47" s="2">
        <v>37.299999999999997</v>
      </c>
      <c r="H47" s="2">
        <v>38</v>
      </c>
      <c r="I47" s="2">
        <v>37.6</v>
      </c>
      <c r="J47" s="2">
        <v>346</v>
      </c>
      <c r="K47" s="2">
        <v>9.6010000000000009</v>
      </c>
      <c r="L47" s="9">
        <v>253351</v>
      </c>
    </row>
    <row r="48" spans="1:12">
      <c r="A48" s="2">
        <v>46</v>
      </c>
      <c r="B48" s="8">
        <v>45951</v>
      </c>
      <c r="C48" s="2" t="s">
        <v>20</v>
      </c>
      <c r="D48" s="2">
        <v>37.6</v>
      </c>
      <c r="E48" s="2">
        <v>39.1</v>
      </c>
      <c r="F48" s="2">
        <v>37.1</v>
      </c>
      <c r="G48" s="2">
        <v>38.700000000000003</v>
      </c>
      <c r="H48" s="2">
        <v>37.6</v>
      </c>
      <c r="I48" s="2">
        <v>38</v>
      </c>
      <c r="J48" s="2">
        <v>443</v>
      </c>
      <c r="K48" s="2">
        <v>11.525</v>
      </c>
      <c r="L48" s="9">
        <v>299100</v>
      </c>
    </row>
    <row r="49" spans="1:12">
      <c r="A49" s="2">
        <v>47</v>
      </c>
      <c r="B49" s="8">
        <v>45950</v>
      </c>
      <c r="C49" s="2" t="s">
        <v>20</v>
      </c>
      <c r="D49" s="2">
        <v>38</v>
      </c>
      <c r="E49" s="2">
        <v>38.4</v>
      </c>
      <c r="F49" s="2">
        <v>36.5</v>
      </c>
      <c r="G49" s="2">
        <v>36.799999999999997</v>
      </c>
      <c r="H49" s="2">
        <v>38</v>
      </c>
      <c r="I49" s="2">
        <v>37.1</v>
      </c>
      <c r="J49" s="2">
        <v>277</v>
      </c>
      <c r="K49" s="2">
        <v>4.899</v>
      </c>
      <c r="L49" s="9">
        <v>130607</v>
      </c>
    </row>
    <row r="50" spans="1:12">
      <c r="A50" s="2">
        <v>48</v>
      </c>
      <c r="B50" s="8">
        <v>45949</v>
      </c>
      <c r="C50" s="2" t="s">
        <v>20</v>
      </c>
      <c r="D50" s="2">
        <v>37.1</v>
      </c>
      <c r="E50" s="2">
        <v>39.299999999999997</v>
      </c>
      <c r="F50" s="2">
        <v>37</v>
      </c>
      <c r="G50" s="2">
        <v>39.299999999999997</v>
      </c>
      <c r="H50" s="2">
        <v>37.1</v>
      </c>
      <c r="I50" s="2">
        <v>38.299999999999997</v>
      </c>
      <c r="J50" s="2">
        <v>353</v>
      </c>
      <c r="K50" s="2">
        <v>6.97</v>
      </c>
      <c r="L50" s="9">
        <v>184140</v>
      </c>
    </row>
    <row r="51" spans="1:12">
      <c r="A51" s="2">
        <v>49</v>
      </c>
      <c r="B51" s="8">
        <v>45946</v>
      </c>
      <c r="C51" s="2" t="s">
        <v>20</v>
      </c>
      <c r="D51" s="2">
        <v>38.200000000000003</v>
      </c>
      <c r="E51" s="2">
        <v>39.799999999999997</v>
      </c>
      <c r="F51" s="2">
        <v>38.1</v>
      </c>
      <c r="G51" s="2">
        <v>39</v>
      </c>
      <c r="H51" s="2">
        <v>38.299999999999997</v>
      </c>
      <c r="I51" s="2">
        <v>38.5</v>
      </c>
      <c r="J51" s="2">
        <v>330</v>
      </c>
      <c r="K51" s="2">
        <v>7.1849999999999996</v>
      </c>
      <c r="L51" s="9">
        <v>186391</v>
      </c>
    </row>
    <row r="52" spans="1:12">
      <c r="A52" s="2">
        <v>50</v>
      </c>
      <c r="B52" s="8">
        <v>45945</v>
      </c>
      <c r="C52" s="2" t="s">
        <v>20</v>
      </c>
      <c r="D52" s="2">
        <v>38.5</v>
      </c>
      <c r="E52" s="2">
        <v>40.299999999999997</v>
      </c>
      <c r="F52" s="2">
        <v>38.299999999999997</v>
      </c>
      <c r="G52" s="2">
        <v>40.200000000000003</v>
      </c>
      <c r="H52" s="2">
        <v>38.5</v>
      </c>
      <c r="I52" s="2">
        <v>40</v>
      </c>
      <c r="J52" s="2">
        <v>386</v>
      </c>
      <c r="K52" s="2">
        <v>9.0329999999999995</v>
      </c>
      <c r="L52" s="9">
        <v>232304</v>
      </c>
    </row>
    <row r="53" spans="1:12">
      <c r="A53" s="2">
        <v>51</v>
      </c>
      <c r="B53" s="8">
        <v>45944</v>
      </c>
      <c r="C53" s="2" t="s">
        <v>20</v>
      </c>
      <c r="D53" s="2">
        <v>40</v>
      </c>
      <c r="E53" s="2">
        <v>42.2</v>
      </c>
      <c r="F53" s="2">
        <v>38.700000000000003</v>
      </c>
      <c r="G53" s="2">
        <v>41.7</v>
      </c>
      <c r="H53" s="2">
        <v>40</v>
      </c>
      <c r="I53" s="2">
        <v>41.1</v>
      </c>
      <c r="J53" s="2">
        <v>521</v>
      </c>
      <c r="K53" s="2">
        <v>14.895</v>
      </c>
      <c r="L53" s="9">
        <v>362516</v>
      </c>
    </row>
    <row r="54" spans="1:12">
      <c r="A54" s="2">
        <v>52</v>
      </c>
      <c r="B54" s="8">
        <v>45943</v>
      </c>
      <c r="C54" s="2" t="s">
        <v>20</v>
      </c>
      <c r="D54" s="2">
        <v>41.1</v>
      </c>
      <c r="E54" s="2">
        <v>41.8</v>
      </c>
      <c r="F54" s="2">
        <v>40.799999999999997</v>
      </c>
      <c r="G54" s="2">
        <v>41.8</v>
      </c>
      <c r="H54" s="2">
        <v>41.1</v>
      </c>
      <c r="I54" s="2">
        <v>40.6</v>
      </c>
      <c r="J54" s="2">
        <v>339</v>
      </c>
      <c r="K54" s="2">
        <v>7.62</v>
      </c>
      <c r="L54" s="9">
        <v>184990</v>
      </c>
    </row>
    <row r="55" spans="1:12">
      <c r="A55" s="2">
        <v>53</v>
      </c>
      <c r="B55" s="8">
        <v>45942</v>
      </c>
      <c r="C55" s="2" t="s">
        <v>20</v>
      </c>
      <c r="D55" s="2">
        <v>40.6</v>
      </c>
      <c r="E55" s="2">
        <v>42.8</v>
      </c>
      <c r="F55" s="2">
        <v>40.4</v>
      </c>
      <c r="G55" s="2">
        <v>42.8</v>
      </c>
      <c r="H55" s="2">
        <v>40.6</v>
      </c>
      <c r="I55" s="2">
        <v>42</v>
      </c>
      <c r="J55" s="2">
        <v>395</v>
      </c>
      <c r="K55" s="2">
        <v>5.4409999999999998</v>
      </c>
      <c r="L55" s="9">
        <v>131715</v>
      </c>
    </row>
    <row r="56" spans="1:12">
      <c r="A56" s="2">
        <v>54</v>
      </c>
      <c r="B56" s="8">
        <v>45939</v>
      </c>
      <c r="C56" s="2" t="s">
        <v>20</v>
      </c>
      <c r="D56" s="2">
        <v>42</v>
      </c>
      <c r="E56" s="2">
        <v>43.5</v>
      </c>
      <c r="F56" s="2">
        <v>41.9</v>
      </c>
      <c r="G56" s="2">
        <v>43.3</v>
      </c>
      <c r="H56" s="2">
        <v>42</v>
      </c>
      <c r="I56" s="2">
        <v>42.8</v>
      </c>
      <c r="J56" s="2">
        <v>497</v>
      </c>
      <c r="K56" s="2">
        <v>10.381</v>
      </c>
      <c r="L56" s="9">
        <v>243713</v>
      </c>
    </row>
    <row r="57" spans="1:12">
      <c r="A57" s="2">
        <v>55</v>
      </c>
      <c r="B57" s="8">
        <v>45938</v>
      </c>
      <c r="C57" s="2" t="s">
        <v>20</v>
      </c>
      <c r="D57" s="2">
        <v>42.8</v>
      </c>
      <c r="E57" s="2">
        <v>44.7</v>
      </c>
      <c r="F57" s="2">
        <v>42.2</v>
      </c>
      <c r="G57" s="2">
        <v>44.7</v>
      </c>
      <c r="H57" s="2">
        <v>42.8</v>
      </c>
      <c r="I57" s="2">
        <v>44.5</v>
      </c>
      <c r="J57" s="2">
        <v>787</v>
      </c>
      <c r="K57" s="2">
        <v>18.123000000000001</v>
      </c>
      <c r="L57" s="9">
        <v>416270</v>
      </c>
    </row>
    <row r="58" spans="1:12">
      <c r="A58" s="2">
        <v>56</v>
      </c>
      <c r="B58" s="8">
        <v>45937</v>
      </c>
      <c r="C58" s="2" t="s">
        <v>20</v>
      </c>
      <c r="D58" s="2">
        <v>44.5</v>
      </c>
      <c r="E58" s="2">
        <v>46.1</v>
      </c>
      <c r="F58" s="2">
        <v>44.4</v>
      </c>
      <c r="G58" s="2">
        <v>46</v>
      </c>
      <c r="H58" s="2">
        <v>44.5</v>
      </c>
      <c r="I58" s="2">
        <v>45.7</v>
      </c>
      <c r="J58" s="2">
        <v>596</v>
      </c>
      <c r="K58" s="2">
        <v>15.657999999999999</v>
      </c>
      <c r="L58" s="9">
        <v>347843</v>
      </c>
    </row>
    <row r="59" spans="1:12">
      <c r="A59" s="2">
        <v>57</v>
      </c>
      <c r="B59" s="8">
        <v>45936</v>
      </c>
      <c r="C59" s="2" t="s">
        <v>20</v>
      </c>
      <c r="D59" s="2">
        <v>45.7</v>
      </c>
      <c r="E59" s="2">
        <v>46.8</v>
      </c>
      <c r="F59" s="2">
        <v>45.5</v>
      </c>
      <c r="G59" s="2">
        <v>46.1</v>
      </c>
      <c r="H59" s="2">
        <v>45.7</v>
      </c>
      <c r="I59" s="2">
        <v>46.2</v>
      </c>
      <c r="J59" s="2">
        <v>490</v>
      </c>
      <c r="K59" s="2">
        <v>15.266</v>
      </c>
      <c r="L59" s="9">
        <v>331744</v>
      </c>
    </row>
    <row r="60" spans="1:12">
      <c r="A60" s="2">
        <v>58</v>
      </c>
      <c r="B60" s="8">
        <v>45935</v>
      </c>
      <c r="C60" s="2" t="s">
        <v>20</v>
      </c>
      <c r="D60" s="2">
        <v>46.8</v>
      </c>
      <c r="E60" s="2">
        <v>47.1</v>
      </c>
      <c r="F60" s="2">
        <v>46</v>
      </c>
      <c r="G60" s="2">
        <v>47</v>
      </c>
      <c r="H60" s="2">
        <v>46.2</v>
      </c>
      <c r="I60" s="2">
        <v>46.5</v>
      </c>
      <c r="J60" s="2">
        <v>423</v>
      </c>
      <c r="K60" s="2">
        <v>11.891999999999999</v>
      </c>
      <c r="L60" s="9">
        <v>255642</v>
      </c>
    </row>
    <row r="61" spans="1:12">
      <c r="A61" s="2">
        <v>59</v>
      </c>
      <c r="B61" s="8">
        <v>45930</v>
      </c>
      <c r="C61" s="2" t="s">
        <v>20</v>
      </c>
      <c r="D61" s="2">
        <v>46.5</v>
      </c>
      <c r="E61" s="2">
        <v>47.5</v>
      </c>
      <c r="F61" s="2">
        <v>46.1</v>
      </c>
      <c r="G61" s="2">
        <v>47.5</v>
      </c>
      <c r="H61" s="2">
        <v>46.5</v>
      </c>
      <c r="I61" s="2">
        <v>46.5</v>
      </c>
      <c r="J61" s="2">
        <v>389</v>
      </c>
      <c r="K61" s="2">
        <v>9.8550000000000004</v>
      </c>
      <c r="L61" s="9">
        <v>210905</v>
      </c>
    </row>
    <row r="62" spans="1:12">
      <c r="A62" s="2">
        <v>60</v>
      </c>
      <c r="B62" s="8">
        <v>45929</v>
      </c>
      <c r="C62" s="2" t="s">
        <v>20</v>
      </c>
      <c r="D62" s="2">
        <v>46.5</v>
      </c>
      <c r="E62" s="2">
        <v>48.3</v>
      </c>
      <c r="F62" s="2">
        <v>45.9</v>
      </c>
      <c r="G62" s="2">
        <v>48.3</v>
      </c>
      <c r="H62" s="2">
        <v>46.5</v>
      </c>
      <c r="I62" s="2">
        <v>46.8</v>
      </c>
      <c r="J62" s="2">
        <v>554</v>
      </c>
      <c r="K62" s="2">
        <v>19.164000000000001</v>
      </c>
      <c r="L62" s="9">
        <v>411098</v>
      </c>
    </row>
    <row r="63" spans="1:12">
      <c r="A63" s="2">
        <v>61</v>
      </c>
      <c r="B63" s="8">
        <v>45928</v>
      </c>
      <c r="C63" s="2" t="s">
        <v>20</v>
      </c>
      <c r="D63" s="2">
        <v>46.8</v>
      </c>
      <c r="E63" s="2">
        <v>48.1</v>
      </c>
      <c r="F63" s="2">
        <v>46.6</v>
      </c>
      <c r="G63" s="2">
        <v>48</v>
      </c>
      <c r="H63" s="2">
        <v>46.8</v>
      </c>
      <c r="I63" s="2">
        <v>48.1</v>
      </c>
      <c r="J63" s="2">
        <v>466</v>
      </c>
      <c r="K63" s="2">
        <v>10.795999999999999</v>
      </c>
      <c r="L63" s="9">
        <v>228777</v>
      </c>
    </row>
    <row r="64" spans="1:12">
      <c r="A64" s="2">
        <v>62</v>
      </c>
      <c r="B64" s="8">
        <v>45925</v>
      </c>
      <c r="C64" s="2" t="s">
        <v>20</v>
      </c>
      <c r="D64" s="2">
        <v>48.1</v>
      </c>
      <c r="E64" s="2">
        <v>49.2</v>
      </c>
      <c r="F64" s="2">
        <v>47.9</v>
      </c>
      <c r="G64" s="2">
        <v>48.7</v>
      </c>
      <c r="H64" s="2">
        <v>48.1</v>
      </c>
      <c r="I64" s="2">
        <v>48.4</v>
      </c>
      <c r="J64" s="2">
        <v>704</v>
      </c>
      <c r="K64" s="2">
        <v>20.545999999999999</v>
      </c>
      <c r="L64" s="9">
        <v>422455</v>
      </c>
    </row>
    <row r="65" spans="1:12">
      <c r="A65" s="2">
        <v>63</v>
      </c>
      <c r="B65" s="8">
        <v>45924</v>
      </c>
      <c r="C65" s="2" t="s">
        <v>20</v>
      </c>
      <c r="D65" s="2">
        <v>48.4</v>
      </c>
      <c r="E65" s="2">
        <v>48.7</v>
      </c>
      <c r="F65" s="2">
        <v>46.8</v>
      </c>
      <c r="G65" s="2">
        <v>47.4</v>
      </c>
      <c r="H65" s="2">
        <v>48.4</v>
      </c>
      <c r="I65" s="2">
        <v>46.5</v>
      </c>
      <c r="J65" s="2">
        <v>598</v>
      </c>
      <c r="K65" s="2">
        <v>13.468999999999999</v>
      </c>
      <c r="L65" s="9">
        <v>282293</v>
      </c>
    </row>
    <row r="66" spans="1:12">
      <c r="A66" s="2">
        <v>64</v>
      </c>
      <c r="B66" s="8">
        <v>45923</v>
      </c>
      <c r="C66" s="2" t="s">
        <v>20</v>
      </c>
      <c r="D66" s="2">
        <v>46.5</v>
      </c>
      <c r="E66" s="2">
        <v>46.9</v>
      </c>
      <c r="F66" s="2">
        <v>45.4</v>
      </c>
      <c r="G66" s="2">
        <v>46.2</v>
      </c>
      <c r="H66" s="2">
        <v>46.5</v>
      </c>
      <c r="I66" s="2">
        <v>45.7</v>
      </c>
      <c r="J66" s="2">
        <v>468</v>
      </c>
      <c r="K66" s="2">
        <v>8.3140000000000001</v>
      </c>
      <c r="L66" s="9">
        <v>179861</v>
      </c>
    </row>
    <row r="67" spans="1:12">
      <c r="A67" s="2">
        <v>65</v>
      </c>
      <c r="B67" s="8">
        <v>45922</v>
      </c>
      <c r="C67" s="2" t="s">
        <v>20</v>
      </c>
      <c r="D67" s="2">
        <v>45.7</v>
      </c>
      <c r="E67" s="2">
        <v>46</v>
      </c>
      <c r="F67" s="2">
        <v>44.6</v>
      </c>
      <c r="G67" s="2">
        <v>45.7</v>
      </c>
      <c r="H67" s="2">
        <v>45.7</v>
      </c>
      <c r="I67" s="2">
        <v>45.3</v>
      </c>
      <c r="J67" s="2">
        <v>593</v>
      </c>
      <c r="K67" s="2">
        <v>11.396000000000001</v>
      </c>
      <c r="L67" s="9">
        <v>250297</v>
      </c>
    </row>
    <row r="68" spans="1:12">
      <c r="A68" s="2">
        <v>66</v>
      </c>
      <c r="B68" s="8">
        <v>45921</v>
      </c>
      <c r="C68" s="2" t="s">
        <v>20</v>
      </c>
      <c r="D68" s="2">
        <v>45.3</v>
      </c>
      <c r="E68" s="2">
        <v>48.8</v>
      </c>
      <c r="F68" s="2">
        <v>44.8</v>
      </c>
      <c r="G68" s="2">
        <v>48.8</v>
      </c>
      <c r="H68" s="2">
        <v>45.3</v>
      </c>
      <c r="I68" s="2">
        <v>47.6</v>
      </c>
      <c r="J68" s="2">
        <v>642</v>
      </c>
      <c r="K68" s="2">
        <v>13.819000000000001</v>
      </c>
      <c r="L68" s="9">
        <v>296290</v>
      </c>
    </row>
    <row r="69" spans="1:12">
      <c r="A69" s="2">
        <v>67</v>
      </c>
      <c r="B69" s="8">
        <v>45918</v>
      </c>
      <c r="C69" s="2" t="s">
        <v>20</v>
      </c>
      <c r="D69" s="2">
        <v>47.6</v>
      </c>
      <c r="E69" s="2">
        <v>48.9</v>
      </c>
      <c r="F69" s="2">
        <v>47.4</v>
      </c>
      <c r="G69" s="2">
        <v>48.6</v>
      </c>
      <c r="H69" s="2">
        <v>47.6</v>
      </c>
      <c r="I69" s="2">
        <v>48.6</v>
      </c>
      <c r="J69" s="2">
        <v>582</v>
      </c>
      <c r="K69" s="2">
        <v>14.217000000000001</v>
      </c>
      <c r="L69" s="9">
        <v>296333</v>
      </c>
    </row>
    <row r="70" spans="1:12">
      <c r="A70" s="2">
        <v>68</v>
      </c>
      <c r="B70" s="8">
        <v>45917</v>
      </c>
      <c r="C70" s="2" t="s">
        <v>20</v>
      </c>
      <c r="D70" s="2">
        <v>48.6</v>
      </c>
      <c r="E70" s="2">
        <v>49.7</v>
      </c>
      <c r="F70" s="2">
        <v>48.5</v>
      </c>
      <c r="G70" s="2">
        <v>48.9</v>
      </c>
      <c r="H70" s="2">
        <v>48.6</v>
      </c>
      <c r="I70" s="2">
        <v>48.7</v>
      </c>
      <c r="J70" s="2">
        <v>557</v>
      </c>
      <c r="K70" s="2">
        <v>16.771000000000001</v>
      </c>
      <c r="L70" s="9">
        <v>341662</v>
      </c>
    </row>
    <row r="71" spans="1:12">
      <c r="A71" s="2">
        <v>69</v>
      </c>
      <c r="B71" s="8">
        <v>45916</v>
      </c>
      <c r="C71" s="2" t="s">
        <v>20</v>
      </c>
      <c r="D71" s="2">
        <v>48.7</v>
      </c>
      <c r="E71" s="2">
        <v>49.1</v>
      </c>
      <c r="F71" s="2">
        <v>47.9</v>
      </c>
      <c r="G71" s="2">
        <v>47.9</v>
      </c>
      <c r="H71" s="2">
        <v>48.7</v>
      </c>
      <c r="I71" s="2">
        <v>47.7</v>
      </c>
      <c r="J71" s="2">
        <v>546</v>
      </c>
      <c r="K71" s="2">
        <v>16.576000000000001</v>
      </c>
      <c r="L71" s="9">
        <v>341500</v>
      </c>
    </row>
    <row r="72" spans="1:12">
      <c r="A72" s="2">
        <v>70</v>
      </c>
      <c r="B72" s="8">
        <v>45915</v>
      </c>
      <c r="C72" s="2" t="s">
        <v>20</v>
      </c>
      <c r="D72" s="2">
        <v>47.7</v>
      </c>
      <c r="E72" s="2">
        <v>48.9</v>
      </c>
      <c r="F72" s="2">
        <v>47.5</v>
      </c>
      <c r="G72" s="2">
        <v>47.8</v>
      </c>
      <c r="H72" s="2">
        <v>47.7</v>
      </c>
      <c r="I72" s="2">
        <v>47.7</v>
      </c>
      <c r="J72" s="2">
        <v>722</v>
      </c>
      <c r="K72" s="2">
        <v>21.873000000000001</v>
      </c>
      <c r="L72" s="9">
        <v>455866</v>
      </c>
    </row>
    <row r="73" spans="1:12">
      <c r="A73" s="2">
        <v>71</v>
      </c>
      <c r="B73" s="8">
        <v>45914</v>
      </c>
      <c r="C73" s="2" t="s">
        <v>20</v>
      </c>
      <c r="D73" s="2">
        <v>47.7</v>
      </c>
      <c r="E73" s="2">
        <v>50.5</v>
      </c>
      <c r="F73" s="2">
        <v>47.1</v>
      </c>
      <c r="G73" s="2">
        <v>49.8</v>
      </c>
      <c r="H73" s="2">
        <v>47.7</v>
      </c>
      <c r="I73" s="2">
        <v>49.4</v>
      </c>
      <c r="J73" s="9">
        <v>1273</v>
      </c>
      <c r="K73" s="2">
        <v>38.040999999999997</v>
      </c>
      <c r="L73" s="9">
        <v>773756</v>
      </c>
    </row>
    <row r="74" spans="1:12">
      <c r="A74" s="2">
        <v>72</v>
      </c>
      <c r="B74" s="8">
        <v>45911</v>
      </c>
      <c r="C74" s="2" t="s">
        <v>20</v>
      </c>
      <c r="D74" s="2">
        <v>49.4</v>
      </c>
      <c r="E74" s="2">
        <v>50</v>
      </c>
      <c r="F74" s="2">
        <v>47.5</v>
      </c>
      <c r="G74" s="2">
        <v>48.8</v>
      </c>
      <c r="H74" s="2">
        <v>49.4</v>
      </c>
      <c r="I74" s="2">
        <v>48.8</v>
      </c>
      <c r="J74" s="2">
        <v>957</v>
      </c>
      <c r="K74" s="2">
        <v>30.434000000000001</v>
      </c>
      <c r="L74" s="9">
        <v>623320</v>
      </c>
    </row>
    <row r="75" spans="1:12">
      <c r="A75" s="2">
        <v>73</v>
      </c>
      <c r="B75" s="8">
        <v>45910</v>
      </c>
      <c r="C75" s="2" t="s">
        <v>20</v>
      </c>
      <c r="D75" s="2">
        <v>48.8</v>
      </c>
      <c r="E75" s="2">
        <v>51.6</v>
      </c>
      <c r="F75" s="2">
        <v>48.5</v>
      </c>
      <c r="G75" s="2">
        <v>51.2</v>
      </c>
      <c r="H75" s="2">
        <v>48.8</v>
      </c>
      <c r="I75" s="2">
        <v>51.5</v>
      </c>
      <c r="J75" s="9">
        <v>1519</v>
      </c>
      <c r="K75" s="2">
        <v>50.530999999999999</v>
      </c>
      <c r="L75" s="9">
        <v>1007608</v>
      </c>
    </row>
    <row r="76" spans="1:12">
      <c r="A76" s="2">
        <v>74</v>
      </c>
      <c r="B76" s="8">
        <v>45909</v>
      </c>
      <c r="C76" s="2" t="s">
        <v>20</v>
      </c>
      <c r="D76" s="2">
        <v>51.5</v>
      </c>
      <c r="E76" s="2">
        <v>52.9</v>
      </c>
      <c r="F76" s="2">
        <v>51.2</v>
      </c>
      <c r="G76" s="2">
        <v>52.5</v>
      </c>
      <c r="H76" s="2">
        <v>51.5</v>
      </c>
      <c r="I76" s="2">
        <v>52.4</v>
      </c>
      <c r="J76" s="9">
        <v>2189</v>
      </c>
      <c r="K76" s="2">
        <v>76.344999999999999</v>
      </c>
      <c r="L76" s="9">
        <v>1472300</v>
      </c>
    </row>
    <row r="77" spans="1:12">
      <c r="A77" s="2">
        <v>75</v>
      </c>
      <c r="B77" s="8">
        <v>45908</v>
      </c>
      <c r="C77" s="2" t="s">
        <v>20</v>
      </c>
      <c r="D77" s="2">
        <v>52.4</v>
      </c>
      <c r="E77" s="2">
        <v>53.8</v>
      </c>
      <c r="F77" s="2">
        <v>49.7</v>
      </c>
      <c r="G77" s="2">
        <v>49.7</v>
      </c>
      <c r="H77" s="2">
        <v>52.4</v>
      </c>
      <c r="I77" s="2">
        <v>49.2</v>
      </c>
      <c r="J77" s="9">
        <v>3457</v>
      </c>
      <c r="K77" s="2">
        <v>162.74</v>
      </c>
      <c r="L77" s="9">
        <v>3131536</v>
      </c>
    </row>
    <row r="78" spans="1:12">
      <c r="A78" s="2">
        <v>76</v>
      </c>
      <c r="B78" s="8">
        <v>45907</v>
      </c>
      <c r="C78" s="2" t="s">
        <v>20</v>
      </c>
      <c r="D78" s="2">
        <v>49.2</v>
      </c>
      <c r="E78" s="2">
        <v>50.1</v>
      </c>
      <c r="F78" s="2">
        <v>48.5</v>
      </c>
      <c r="G78" s="2">
        <v>48.6</v>
      </c>
      <c r="H78" s="2">
        <v>49.2</v>
      </c>
      <c r="I78" s="2">
        <v>48.6</v>
      </c>
      <c r="J78" s="9">
        <v>1204</v>
      </c>
      <c r="K78" s="2">
        <v>60.09</v>
      </c>
      <c r="L78" s="9">
        <v>1218611</v>
      </c>
    </row>
    <row r="79" spans="1:12">
      <c r="A79" s="2">
        <v>77</v>
      </c>
      <c r="B79" s="8">
        <v>45904</v>
      </c>
      <c r="C79" s="2" t="s">
        <v>20</v>
      </c>
      <c r="D79" s="2">
        <v>48.6</v>
      </c>
      <c r="E79" s="2">
        <v>49.9</v>
      </c>
      <c r="F79" s="2">
        <v>48.2</v>
      </c>
      <c r="G79" s="2">
        <v>49.9</v>
      </c>
      <c r="H79" s="2">
        <v>48.6</v>
      </c>
      <c r="I79" s="2">
        <v>49.5</v>
      </c>
      <c r="J79" s="9">
        <v>1262</v>
      </c>
      <c r="K79" s="2">
        <v>42.191000000000003</v>
      </c>
      <c r="L79" s="9">
        <v>863515</v>
      </c>
    </row>
    <row r="80" spans="1:12">
      <c r="A80" s="2">
        <v>78</v>
      </c>
      <c r="B80" s="8">
        <v>45903</v>
      </c>
      <c r="C80" s="2" t="s">
        <v>20</v>
      </c>
      <c r="D80" s="2">
        <v>49.5</v>
      </c>
      <c r="E80" s="2">
        <v>51</v>
      </c>
      <c r="F80" s="2">
        <v>49.1</v>
      </c>
      <c r="G80" s="2">
        <v>49.8</v>
      </c>
      <c r="H80" s="2">
        <v>49.5</v>
      </c>
      <c r="I80" s="2">
        <v>49.3</v>
      </c>
      <c r="J80" s="9">
        <v>1822</v>
      </c>
      <c r="K80" s="2">
        <v>85.305000000000007</v>
      </c>
      <c r="L80" s="9">
        <v>1698835</v>
      </c>
    </row>
    <row r="81" spans="1:12">
      <c r="A81" s="2">
        <v>79</v>
      </c>
      <c r="B81" s="8">
        <v>45902</v>
      </c>
      <c r="C81" s="2" t="s">
        <v>20</v>
      </c>
      <c r="D81" s="2">
        <v>49.3</v>
      </c>
      <c r="E81" s="2">
        <v>49.7</v>
      </c>
      <c r="F81" s="2">
        <v>47.8</v>
      </c>
      <c r="G81" s="2">
        <v>48</v>
      </c>
      <c r="H81" s="2">
        <v>49.3</v>
      </c>
      <c r="I81" s="2">
        <v>47.7</v>
      </c>
      <c r="J81" s="9">
        <v>1821</v>
      </c>
      <c r="K81" s="2">
        <v>79.221999999999994</v>
      </c>
      <c r="L81" s="9">
        <v>1613895</v>
      </c>
    </row>
    <row r="82" spans="1:12">
      <c r="A82" s="2">
        <v>80</v>
      </c>
      <c r="B82" s="8">
        <v>45901</v>
      </c>
      <c r="C82" s="2" t="s">
        <v>20</v>
      </c>
      <c r="D82" s="2">
        <v>47.7</v>
      </c>
      <c r="E82" s="2">
        <v>49.7</v>
      </c>
      <c r="F82" s="2">
        <v>47.4</v>
      </c>
      <c r="G82" s="2">
        <v>48.9</v>
      </c>
      <c r="H82" s="2">
        <v>47.7</v>
      </c>
      <c r="I82" s="2">
        <v>48.9</v>
      </c>
      <c r="J82" s="9">
        <v>1704</v>
      </c>
      <c r="K82" s="2">
        <v>60.442</v>
      </c>
      <c r="L82" s="9">
        <v>1249179</v>
      </c>
    </row>
    <row r="83" spans="1:12">
      <c r="A83" s="2">
        <v>81</v>
      </c>
      <c r="B83" s="8">
        <v>45900</v>
      </c>
      <c r="C83" s="2" t="s">
        <v>20</v>
      </c>
      <c r="D83" s="2">
        <v>48.9</v>
      </c>
      <c r="E83" s="2">
        <v>51.8</v>
      </c>
      <c r="F83" s="2">
        <v>48.2</v>
      </c>
      <c r="G83" s="2">
        <v>50.8</v>
      </c>
      <c r="H83" s="2">
        <v>48.9</v>
      </c>
      <c r="I83" s="2">
        <v>50.6</v>
      </c>
      <c r="J83" s="9">
        <v>2627</v>
      </c>
      <c r="K83" s="2">
        <v>122.79</v>
      </c>
      <c r="L83" s="9">
        <v>2442775</v>
      </c>
    </row>
    <row r="84" spans="1:12">
      <c r="A84" s="2">
        <v>82</v>
      </c>
      <c r="B84" s="8">
        <v>45897</v>
      </c>
      <c r="C84" s="2" t="s">
        <v>20</v>
      </c>
      <c r="D84" s="2">
        <v>50.6</v>
      </c>
      <c r="E84" s="2">
        <v>51</v>
      </c>
      <c r="F84" s="2">
        <v>48.6</v>
      </c>
      <c r="G84" s="2">
        <v>50.1</v>
      </c>
      <c r="H84" s="2">
        <v>50.6</v>
      </c>
      <c r="I84" s="2">
        <v>49.7</v>
      </c>
      <c r="J84" s="9">
        <v>2405</v>
      </c>
      <c r="K84" s="2">
        <v>112.69</v>
      </c>
      <c r="L84" s="9">
        <v>2260795</v>
      </c>
    </row>
    <row r="85" spans="1:12">
      <c r="A85" s="2">
        <v>83</v>
      </c>
      <c r="B85" s="8">
        <v>45896</v>
      </c>
      <c r="C85" s="2" t="s">
        <v>20</v>
      </c>
      <c r="D85" s="2">
        <v>49.7</v>
      </c>
      <c r="E85" s="2">
        <v>51</v>
      </c>
      <c r="F85" s="2">
        <v>46.6</v>
      </c>
      <c r="G85" s="2">
        <v>47</v>
      </c>
      <c r="H85" s="2">
        <v>49.7</v>
      </c>
      <c r="I85" s="2">
        <v>47</v>
      </c>
      <c r="J85" s="9">
        <v>3272</v>
      </c>
      <c r="K85" s="2">
        <v>146.44999999999999</v>
      </c>
      <c r="L85" s="9">
        <v>3000503</v>
      </c>
    </row>
    <row r="86" spans="1:12">
      <c r="A86" s="2">
        <v>84</v>
      </c>
      <c r="B86" s="8">
        <v>45895</v>
      </c>
      <c r="C86" s="2" t="s">
        <v>20</v>
      </c>
      <c r="D86" s="2">
        <v>47</v>
      </c>
      <c r="E86" s="2">
        <v>48.7</v>
      </c>
      <c r="F86" s="2">
        <v>46.6</v>
      </c>
      <c r="G86" s="2">
        <v>47.6</v>
      </c>
      <c r="H86" s="2">
        <v>47</v>
      </c>
      <c r="I86" s="2">
        <v>47</v>
      </c>
      <c r="J86" s="9">
        <v>2395</v>
      </c>
      <c r="K86" s="2">
        <v>103.791</v>
      </c>
      <c r="L86" s="9">
        <v>2173618</v>
      </c>
    </row>
    <row r="87" spans="1:12">
      <c r="A87" s="2">
        <v>85</v>
      </c>
      <c r="B87" s="8">
        <v>45894</v>
      </c>
      <c r="C87" s="2" t="s">
        <v>20</v>
      </c>
      <c r="D87" s="2">
        <v>47</v>
      </c>
      <c r="E87" s="2">
        <v>47.1</v>
      </c>
      <c r="F87" s="2">
        <v>43.1</v>
      </c>
      <c r="G87" s="2">
        <v>43.5</v>
      </c>
      <c r="H87" s="2">
        <v>47</v>
      </c>
      <c r="I87" s="2">
        <v>42.9</v>
      </c>
      <c r="J87" s="9">
        <v>2882</v>
      </c>
      <c r="K87" s="2">
        <v>145.11600000000001</v>
      </c>
      <c r="L87" s="9">
        <v>3207689</v>
      </c>
    </row>
    <row r="88" spans="1:12">
      <c r="A88" s="2">
        <v>86</v>
      </c>
      <c r="B88" s="8">
        <v>45893</v>
      </c>
      <c r="C88" s="2" t="s">
        <v>20</v>
      </c>
      <c r="D88" s="2">
        <v>42.9</v>
      </c>
      <c r="E88" s="2">
        <v>43.5</v>
      </c>
      <c r="F88" s="2">
        <v>42.6</v>
      </c>
      <c r="G88" s="2">
        <v>42.6</v>
      </c>
      <c r="H88" s="2">
        <v>42.9</v>
      </c>
      <c r="I88" s="2">
        <v>42.6</v>
      </c>
      <c r="J88" s="2">
        <v>899</v>
      </c>
      <c r="K88" s="2">
        <v>39.665999999999997</v>
      </c>
      <c r="L88" s="9">
        <v>921469</v>
      </c>
    </row>
    <row r="89" spans="1:12">
      <c r="A89" s="2">
        <v>87</v>
      </c>
      <c r="B89" s="8">
        <v>45890</v>
      </c>
      <c r="C89" s="2" t="s">
        <v>20</v>
      </c>
      <c r="D89" s="2">
        <v>42.6</v>
      </c>
      <c r="E89" s="2">
        <v>43.5</v>
      </c>
      <c r="F89" s="2">
        <v>42.4</v>
      </c>
      <c r="G89" s="2">
        <v>42.9</v>
      </c>
      <c r="H89" s="2">
        <v>42.6</v>
      </c>
      <c r="I89" s="2">
        <v>42.9</v>
      </c>
      <c r="J89" s="2">
        <v>695</v>
      </c>
      <c r="K89" s="2">
        <v>27.757000000000001</v>
      </c>
      <c r="L89" s="9">
        <v>650112</v>
      </c>
    </row>
    <row r="90" spans="1:12">
      <c r="A90" s="2">
        <v>88</v>
      </c>
      <c r="B90" s="8">
        <v>45889</v>
      </c>
      <c r="C90" s="2" t="s">
        <v>20</v>
      </c>
      <c r="D90" s="2">
        <v>42.9</v>
      </c>
      <c r="E90" s="2">
        <v>44</v>
      </c>
      <c r="F90" s="2">
        <v>42.4</v>
      </c>
      <c r="G90" s="2">
        <v>42.9</v>
      </c>
      <c r="H90" s="2">
        <v>42.9</v>
      </c>
      <c r="I90" s="2">
        <v>42.4</v>
      </c>
      <c r="J90" s="9">
        <v>1246</v>
      </c>
      <c r="K90" s="2">
        <v>45.587000000000003</v>
      </c>
      <c r="L90" s="9">
        <v>1051838</v>
      </c>
    </row>
    <row r="91" spans="1:12">
      <c r="A91" s="2">
        <v>89</v>
      </c>
      <c r="B91" s="8">
        <v>45888</v>
      </c>
      <c r="C91" s="2" t="s">
        <v>20</v>
      </c>
      <c r="D91" s="2">
        <v>42.4</v>
      </c>
      <c r="E91" s="2">
        <v>43.5</v>
      </c>
      <c r="F91" s="2">
        <v>42.2</v>
      </c>
      <c r="G91" s="2">
        <v>43.4</v>
      </c>
      <c r="H91" s="2">
        <v>42.4</v>
      </c>
      <c r="I91" s="2">
        <v>43.1</v>
      </c>
      <c r="J91" s="2">
        <v>857</v>
      </c>
      <c r="K91" s="2">
        <v>32.710999999999999</v>
      </c>
      <c r="L91" s="9">
        <v>764452</v>
      </c>
    </row>
    <row r="92" spans="1:12">
      <c r="A92" s="2">
        <v>90</v>
      </c>
      <c r="B92" s="8">
        <v>45887</v>
      </c>
      <c r="C92" s="2" t="s">
        <v>20</v>
      </c>
      <c r="D92" s="2">
        <v>43.1</v>
      </c>
      <c r="E92" s="2">
        <v>43.3</v>
      </c>
      <c r="F92" s="2">
        <v>42.6</v>
      </c>
      <c r="G92" s="2">
        <v>43.1</v>
      </c>
      <c r="H92" s="2">
        <v>43.1</v>
      </c>
      <c r="I92" s="2">
        <v>42.6</v>
      </c>
      <c r="J92" s="9">
        <v>1063</v>
      </c>
      <c r="K92" s="2">
        <v>29.795999999999999</v>
      </c>
      <c r="L92" s="9">
        <v>694228</v>
      </c>
    </row>
    <row r="93" spans="1:12">
      <c r="A93" s="2">
        <v>91</v>
      </c>
      <c r="B93" s="8">
        <v>45886</v>
      </c>
      <c r="C93" s="2" t="s">
        <v>20</v>
      </c>
      <c r="D93" s="2">
        <v>42.6</v>
      </c>
      <c r="E93" s="2">
        <v>42.8</v>
      </c>
      <c r="F93" s="2">
        <v>41.4</v>
      </c>
      <c r="G93" s="2">
        <v>41.6</v>
      </c>
      <c r="H93" s="2">
        <v>42.6</v>
      </c>
      <c r="I93" s="2">
        <v>41.2</v>
      </c>
      <c r="J93" s="2">
        <v>793</v>
      </c>
      <c r="K93" s="2">
        <v>21.896000000000001</v>
      </c>
      <c r="L93" s="9">
        <v>518624</v>
      </c>
    </row>
    <row r="94" spans="1:12">
      <c r="A94" s="2">
        <v>92</v>
      </c>
      <c r="B94" s="8">
        <v>45883</v>
      </c>
      <c r="C94" s="2" t="s">
        <v>20</v>
      </c>
      <c r="D94" s="2">
        <v>41.2</v>
      </c>
      <c r="E94" s="2">
        <v>41.8</v>
      </c>
      <c r="F94" s="2">
        <v>40.9</v>
      </c>
      <c r="G94" s="2">
        <v>41.1</v>
      </c>
      <c r="H94" s="2">
        <v>41.2</v>
      </c>
      <c r="I94" s="2">
        <v>41</v>
      </c>
      <c r="J94" s="2">
        <v>421</v>
      </c>
      <c r="K94" s="2">
        <v>11.022</v>
      </c>
      <c r="L94" s="9">
        <v>266719</v>
      </c>
    </row>
    <row r="95" spans="1:12">
      <c r="A95" s="2">
        <v>93</v>
      </c>
      <c r="B95" s="8">
        <v>45882</v>
      </c>
      <c r="C95" s="2" t="s">
        <v>20</v>
      </c>
      <c r="D95" s="2">
        <v>41</v>
      </c>
      <c r="E95" s="2">
        <v>42.5</v>
      </c>
      <c r="F95" s="2">
        <v>40.9</v>
      </c>
      <c r="G95" s="2">
        <v>42.5</v>
      </c>
      <c r="H95" s="2">
        <v>41</v>
      </c>
      <c r="I95" s="2">
        <v>41.6</v>
      </c>
      <c r="J95" s="2">
        <v>743</v>
      </c>
      <c r="K95" s="2">
        <v>23.050999999999998</v>
      </c>
      <c r="L95" s="9">
        <v>558369</v>
      </c>
    </row>
    <row r="96" spans="1:12">
      <c r="A96" s="2">
        <v>94</v>
      </c>
      <c r="B96" s="8">
        <v>45881</v>
      </c>
      <c r="C96" s="2" t="s">
        <v>20</v>
      </c>
      <c r="D96" s="2">
        <v>41.6</v>
      </c>
      <c r="E96" s="2">
        <v>42.4</v>
      </c>
      <c r="F96" s="2">
        <v>41.5</v>
      </c>
      <c r="G96" s="2">
        <v>41.7</v>
      </c>
      <c r="H96" s="2">
        <v>41.6</v>
      </c>
      <c r="I96" s="2">
        <v>41.7</v>
      </c>
      <c r="J96" s="2">
        <v>462</v>
      </c>
      <c r="K96" s="2">
        <v>13.163</v>
      </c>
      <c r="L96" s="9">
        <v>314328</v>
      </c>
    </row>
    <row r="97" spans="1:12">
      <c r="A97" s="2">
        <v>95</v>
      </c>
      <c r="B97" s="8">
        <v>45880</v>
      </c>
      <c r="C97" s="2" t="s">
        <v>20</v>
      </c>
      <c r="D97" s="2">
        <v>41.7</v>
      </c>
      <c r="E97" s="2">
        <v>42.9</v>
      </c>
      <c r="F97" s="2">
        <v>41.5</v>
      </c>
      <c r="G97" s="2">
        <v>42.1</v>
      </c>
      <c r="H97" s="2">
        <v>41.7</v>
      </c>
      <c r="I97" s="2">
        <v>42</v>
      </c>
      <c r="J97" s="2">
        <v>702</v>
      </c>
      <c r="K97" s="2">
        <v>19.774000000000001</v>
      </c>
      <c r="L97" s="9">
        <v>468449</v>
      </c>
    </row>
    <row r="98" spans="1:12">
      <c r="A98" s="2">
        <v>96</v>
      </c>
      <c r="B98" s="8">
        <v>45879</v>
      </c>
      <c r="C98" s="2" t="s">
        <v>20</v>
      </c>
      <c r="D98" s="2">
        <v>42</v>
      </c>
      <c r="E98" s="2">
        <v>43.5</v>
      </c>
      <c r="F98" s="2">
        <v>41.6</v>
      </c>
      <c r="G98" s="2">
        <v>43.4</v>
      </c>
      <c r="H98" s="2">
        <v>42</v>
      </c>
      <c r="I98" s="2">
        <v>43.4</v>
      </c>
      <c r="J98" s="2">
        <v>965</v>
      </c>
      <c r="K98" s="2">
        <v>27.587</v>
      </c>
      <c r="L98" s="9">
        <v>647408</v>
      </c>
    </row>
    <row r="99" spans="1:12">
      <c r="A99" s="2">
        <v>97</v>
      </c>
      <c r="B99" s="8">
        <v>45876</v>
      </c>
      <c r="C99" s="2" t="s">
        <v>20</v>
      </c>
      <c r="D99" s="2">
        <v>43.4</v>
      </c>
      <c r="E99" s="2">
        <v>44.1</v>
      </c>
      <c r="F99" s="2">
        <v>43.2</v>
      </c>
      <c r="G99" s="2">
        <v>44</v>
      </c>
      <c r="H99" s="2">
        <v>43.4</v>
      </c>
      <c r="I99" s="2">
        <v>43.5</v>
      </c>
      <c r="J99" s="2">
        <v>588</v>
      </c>
      <c r="K99" s="2">
        <v>27.295999999999999</v>
      </c>
      <c r="L99" s="9">
        <v>626821</v>
      </c>
    </row>
    <row r="100" spans="1:12">
      <c r="A100" s="2">
        <v>98</v>
      </c>
      <c r="B100" s="8">
        <v>45875</v>
      </c>
      <c r="C100" s="2" t="s">
        <v>20</v>
      </c>
      <c r="D100" s="2">
        <v>43.5</v>
      </c>
      <c r="E100" s="2">
        <v>44.6</v>
      </c>
      <c r="F100" s="2">
        <v>43.2</v>
      </c>
      <c r="G100" s="2">
        <v>44.3</v>
      </c>
      <c r="H100" s="2">
        <v>43.5</v>
      </c>
      <c r="I100" s="2">
        <v>43.9</v>
      </c>
      <c r="J100" s="2">
        <v>807</v>
      </c>
      <c r="K100" s="2">
        <v>35.664000000000001</v>
      </c>
      <c r="L100" s="9">
        <v>812245</v>
      </c>
    </row>
    <row r="101" spans="1:12">
      <c r="A101" s="2">
        <v>99</v>
      </c>
      <c r="B101" s="8">
        <v>45873</v>
      </c>
      <c r="C101" s="2" t="s">
        <v>20</v>
      </c>
      <c r="D101" s="2">
        <v>43.9</v>
      </c>
      <c r="E101" s="2">
        <v>45.7</v>
      </c>
      <c r="F101" s="2">
        <v>43.8</v>
      </c>
      <c r="G101" s="2">
        <v>44.5</v>
      </c>
      <c r="H101" s="2">
        <v>43.9</v>
      </c>
      <c r="I101" s="2">
        <v>44.2</v>
      </c>
      <c r="J101" s="9">
        <v>1653</v>
      </c>
      <c r="K101" s="2">
        <v>72.230999999999995</v>
      </c>
      <c r="L101" s="9">
        <v>1612742</v>
      </c>
    </row>
    <row r="102" spans="1:12">
      <c r="A102" s="2">
        <v>100</v>
      </c>
      <c r="B102" s="8">
        <v>45872</v>
      </c>
      <c r="C102" s="2" t="s">
        <v>20</v>
      </c>
      <c r="D102" s="2">
        <v>44.2</v>
      </c>
      <c r="E102" s="2">
        <v>44.5</v>
      </c>
      <c r="F102" s="2">
        <v>41.9</v>
      </c>
      <c r="G102" s="2">
        <v>42.7</v>
      </c>
      <c r="H102" s="2">
        <v>44.2</v>
      </c>
      <c r="I102" s="2">
        <v>42.5</v>
      </c>
      <c r="J102" s="9">
        <v>1602</v>
      </c>
      <c r="K102" s="2">
        <v>61.067999999999998</v>
      </c>
      <c r="L102" s="9">
        <v>1406967</v>
      </c>
    </row>
    <row r="103" spans="1:12">
      <c r="A103" s="2">
        <v>101</v>
      </c>
      <c r="B103" s="8">
        <v>45869</v>
      </c>
      <c r="C103" s="2" t="s">
        <v>20</v>
      </c>
      <c r="D103" s="2">
        <v>42.5</v>
      </c>
      <c r="E103" s="2">
        <v>43.3</v>
      </c>
      <c r="F103" s="2">
        <v>42.3</v>
      </c>
      <c r="G103" s="2">
        <v>43.2</v>
      </c>
      <c r="H103" s="2">
        <v>42.5</v>
      </c>
      <c r="I103" s="2">
        <v>42.7</v>
      </c>
      <c r="J103" s="2">
        <v>959</v>
      </c>
      <c r="K103" s="2">
        <v>31.5</v>
      </c>
      <c r="L103" s="9">
        <v>737108</v>
      </c>
    </row>
    <row r="104" spans="1:12">
      <c r="A104" s="2">
        <v>102</v>
      </c>
      <c r="B104" s="8">
        <v>45868</v>
      </c>
      <c r="C104" s="2" t="s">
        <v>20</v>
      </c>
      <c r="D104" s="2">
        <v>42.7</v>
      </c>
      <c r="E104" s="2">
        <v>43.8</v>
      </c>
      <c r="F104" s="2">
        <v>42.5</v>
      </c>
      <c r="G104" s="2">
        <v>43.4</v>
      </c>
      <c r="H104" s="2">
        <v>42.7</v>
      </c>
      <c r="I104" s="2">
        <v>43.1</v>
      </c>
      <c r="J104" s="2">
        <v>865</v>
      </c>
      <c r="K104" s="2">
        <v>31.068999999999999</v>
      </c>
      <c r="L104" s="9">
        <v>722359</v>
      </c>
    </row>
    <row r="105" spans="1:12">
      <c r="A105" s="2">
        <v>103</v>
      </c>
      <c r="B105" s="8">
        <v>45867</v>
      </c>
      <c r="C105" s="2" t="s">
        <v>20</v>
      </c>
      <c r="D105" s="2">
        <v>43.1</v>
      </c>
      <c r="E105" s="2">
        <v>44.3</v>
      </c>
      <c r="F105" s="2">
        <v>42.9</v>
      </c>
      <c r="G105" s="2">
        <v>44.1</v>
      </c>
      <c r="H105" s="2">
        <v>43.1</v>
      </c>
      <c r="I105" s="2">
        <v>43.4</v>
      </c>
      <c r="J105" s="9">
        <v>1109</v>
      </c>
      <c r="K105" s="2">
        <v>44.625</v>
      </c>
      <c r="L105" s="9">
        <v>1023196</v>
      </c>
    </row>
    <row r="106" spans="1:12">
      <c r="A106" s="2">
        <v>104</v>
      </c>
      <c r="B106" s="8">
        <v>45866</v>
      </c>
      <c r="C106" s="2" t="s">
        <v>20</v>
      </c>
      <c r="D106" s="2">
        <v>43.4</v>
      </c>
      <c r="E106" s="2">
        <v>44.1</v>
      </c>
      <c r="F106" s="2">
        <v>43.2</v>
      </c>
      <c r="G106" s="2">
        <v>43.7</v>
      </c>
      <c r="H106" s="2">
        <v>43.4</v>
      </c>
      <c r="I106" s="2">
        <v>43.1</v>
      </c>
      <c r="J106" s="2">
        <v>876</v>
      </c>
      <c r="K106" s="2">
        <v>31.41</v>
      </c>
      <c r="L106" s="9">
        <v>721853</v>
      </c>
    </row>
    <row r="107" spans="1:12">
      <c r="A107" s="2">
        <v>105</v>
      </c>
      <c r="B107" s="8">
        <v>45865</v>
      </c>
      <c r="C107" s="2" t="s">
        <v>20</v>
      </c>
      <c r="D107" s="2">
        <v>43.1</v>
      </c>
      <c r="E107" s="2">
        <v>44.8</v>
      </c>
      <c r="F107" s="2">
        <v>42.9</v>
      </c>
      <c r="G107" s="2">
        <v>44.1</v>
      </c>
      <c r="H107" s="2">
        <v>43.1</v>
      </c>
      <c r="I107" s="2">
        <v>44</v>
      </c>
      <c r="J107" s="9">
        <v>1318</v>
      </c>
      <c r="K107" s="2">
        <v>48.401000000000003</v>
      </c>
      <c r="L107" s="9">
        <v>1107686</v>
      </c>
    </row>
    <row r="108" spans="1:12">
      <c r="A108" s="2">
        <v>106</v>
      </c>
      <c r="B108" s="8">
        <v>45862</v>
      </c>
      <c r="C108" s="2" t="s">
        <v>20</v>
      </c>
      <c r="D108" s="2">
        <v>44</v>
      </c>
      <c r="E108" s="2">
        <v>45.2</v>
      </c>
      <c r="F108" s="2">
        <v>43.7</v>
      </c>
      <c r="G108" s="2">
        <v>44.7</v>
      </c>
      <c r="H108" s="2">
        <v>44</v>
      </c>
      <c r="I108" s="2">
        <v>44.7</v>
      </c>
      <c r="J108" s="9">
        <v>1414</v>
      </c>
      <c r="K108" s="2">
        <v>65.176000000000002</v>
      </c>
      <c r="L108" s="9">
        <v>1471626</v>
      </c>
    </row>
    <row r="109" spans="1:12">
      <c r="A109" s="2">
        <v>107</v>
      </c>
      <c r="B109" s="8">
        <v>45861</v>
      </c>
      <c r="C109" s="2" t="s">
        <v>20</v>
      </c>
      <c r="D109" s="2">
        <v>44.7</v>
      </c>
      <c r="E109" s="2">
        <v>46.5</v>
      </c>
      <c r="F109" s="2">
        <v>42.5</v>
      </c>
      <c r="G109" s="2">
        <v>42.5</v>
      </c>
      <c r="H109" s="2">
        <v>44.7</v>
      </c>
      <c r="I109" s="2">
        <v>42.5</v>
      </c>
      <c r="J109" s="9">
        <v>2296</v>
      </c>
      <c r="K109" s="2">
        <v>94.828999999999994</v>
      </c>
      <c r="L109" s="9">
        <v>2134575</v>
      </c>
    </row>
    <row r="110" spans="1:12">
      <c r="A110" s="2">
        <v>108</v>
      </c>
      <c r="B110" s="8">
        <v>45860</v>
      </c>
      <c r="C110" s="2" t="s">
        <v>20</v>
      </c>
      <c r="D110" s="2">
        <v>42.5</v>
      </c>
      <c r="E110" s="2">
        <v>43.1</v>
      </c>
      <c r="F110" s="2">
        <v>42.1</v>
      </c>
      <c r="G110" s="2">
        <v>42.3</v>
      </c>
      <c r="H110" s="2">
        <v>42.5</v>
      </c>
      <c r="I110" s="2">
        <v>42.4</v>
      </c>
      <c r="J110" s="2">
        <v>906</v>
      </c>
      <c r="K110" s="2">
        <v>38.454999999999998</v>
      </c>
      <c r="L110" s="9">
        <v>903137</v>
      </c>
    </row>
    <row r="111" spans="1:12">
      <c r="A111" s="2">
        <v>109</v>
      </c>
      <c r="B111" s="8">
        <v>45859</v>
      </c>
      <c r="C111" s="2" t="s">
        <v>20</v>
      </c>
      <c r="D111" s="2">
        <v>42.4</v>
      </c>
      <c r="E111" s="2">
        <v>43.8</v>
      </c>
      <c r="F111" s="2">
        <v>42</v>
      </c>
      <c r="G111" s="2">
        <v>43.4</v>
      </c>
      <c r="H111" s="2">
        <v>42.4</v>
      </c>
      <c r="I111" s="2">
        <v>43.1</v>
      </c>
      <c r="J111" s="9">
        <v>1158</v>
      </c>
      <c r="K111" s="2">
        <v>50.633000000000003</v>
      </c>
      <c r="L111" s="9">
        <v>1181760</v>
      </c>
    </row>
    <row r="112" spans="1:12">
      <c r="A112" s="2">
        <v>110</v>
      </c>
      <c r="B112" s="8">
        <v>45858</v>
      </c>
      <c r="C112" s="2" t="s">
        <v>20</v>
      </c>
      <c r="D112" s="2">
        <v>43.1</v>
      </c>
      <c r="E112" s="2">
        <v>44.3</v>
      </c>
      <c r="F112" s="2">
        <v>42.3</v>
      </c>
      <c r="G112" s="2">
        <v>42.3</v>
      </c>
      <c r="H112" s="2">
        <v>43.1</v>
      </c>
      <c r="I112" s="2">
        <v>42.3</v>
      </c>
      <c r="J112" s="9">
        <v>1409</v>
      </c>
      <c r="K112" s="2">
        <v>63.722000000000001</v>
      </c>
      <c r="L112" s="9">
        <v>1468571</v>
      </c>
    </row>
    <row r="113" spans="1:12">
      <c r="A113" s="2">
        <v>111</v>
      </c>
      <c r="B113" s="8">
        <v>45855</v>
      </c>
      <c r="C113" s="2" t="s">
        <v>20</v>
      </c>
      <c r="D113" s="2">
        <v>42.3</v>
      </c>
      <c r="E113" s="2">
        <v>43.6</v>
      </c>
      <c r="F113" s="2">
        <v>42</v>
      </c>
      <c r="G113" s="2">
        <v>43.3</v>
      </c>
      <c r="H113" s="2">
        <v>42.3</v>
      </c>
      <c r="I113" s="2">
        <v>43.3</v>
      </c>
      <c r="J113" s="9">
        <v>1526</v>
      </c>
      <c r="K113" s="2">
        <v>57.692</v>
      </c>
      <c r="L113" s="9">
        <v>1348116</v>
      </c>
    </row>
    <row r="114" spans="1:12">
      <c r="A114" s="2">
        <v>112</v>
      </c>
      <c r="B114" s="8">
        <v>45854</v>
      </c>
      <c r="C114" s="2" t="s">
        <v>20</v>
      </c>
      <c r="D114" s="2">
        <v>43.3</v>
      </c>
      <c r="E114" s="2">
        <v>44.4</v>
      </c>
      <c r="F114" s="2">
        <v>42.7</v>
      </c>
      <c r="G114" s="2">
        <v>43</v>
      </c>
      <c r="H114" s="2">
        <v>43.3</v>
      </c>
      <c r="I114" s="2">
        <v>42.4</v>
      </c>
      <c r="J114" s="9">
        <v>1879</v>
      </c>
      <c r="K114" s="2">
        <v>69.180999999999997</v>
      </c>
      <c r="L114" s="9">
        <v>1589991</v>
      </c>
    </row>
    <row r="115" spans="1:12">
      <c r="A115" s="2">
        <v>113</v>
      </c>
      <c r="B115" s="8">
        <v>45853</v>
      </c>
      <c r="C115" s="2" t="s">
        <v>20</v>
      </c>
      <c r="D115" s="2">
        <v>42.4</v>
      </c>
      <c r="E115" s="2">
        <v>43.1</v>
      </c>
      <c r="F115" s="2">
        <v>40.6</v>
      </c>
      <c r="G115" s="2">
        <v>41</v>
      </c>
      <c r="H115" s="2">
        <v>42.4</v>
      </c>
      <c r="I115" s="2">
        <v>40.9</v>
      </c>
      <c r="J115" s="9">
        <v>1745</v>
      </c>
      <c r="K115" s="2">
        <v>69.766000000000005</v>
      </c>
      <c r="L115" s="9">
        <v>1669518</v>
      </c>
    </row>
    <row r="116" spans="1:12">
      <c r="A116" s="2">
        <v>114</v>
      </c>
      <c r="B116" s="8">
        <v>45852</v>
      </c>
      <c r="C116" s="2" t="s">
        <v>20</v>
      </c>
      <c r="D116" s="2">
        <v>40.9</v>
      </c>
      <c r="E116" s="2">
        <v>42.4</v>
      </c>
      <c r="F116" s="2">
        <v>40.799999999999997</v>
      </c>
      <c r="G116" s="2">
        <v>41.9</v>
      </c>
      <c r="H116" s="2">
        <v>40.9</v>
      </c>
      <c r="I116" s="2">
        <v>41.7</v>
      </c>
      <c r="J116" s="9">
        <v>1324</v>
      </c>
      <c r="K116" s="2">
        <v>43.209000000000003</v>
      </c>
      <c r="L116" s="9">
        <v>1039460</v>
      </c>
    </row>
    <row r="117" spans="1:12">
      <c r="A117" s="2">
        <v>115</v>
      </c>
      <c r="B117" s="8">
        <v>45851</v>
      </c>
      <c r="C117" s="2" t="s">
        <v>20</v>
      </c>
      <c r="D117" s="2">
        <v>41.7</v>
      </c>
      <c r="E117" s="2">
        <v>42.9</v>
      </c>
      <c r="F117" s="2">
        <v>40</v>
      </c>
      <c r="G117" s="2">
        <v>40.9</v>
      </c>
      <c r="H117" s="2">
        <v>41.7</v>
      </c>
      <c r="I117" s="2">
        <v>40.9</v>
      </c>
      <c r="J117" s="9">
        <v>2250</v>
      </c>
      <c r="K117" s="2">
        <v>83.988</v>
      </c>
      <c r="L117" s="9">
        <v>2013340</v>
      </c>
    </row>
    <row r="118" spans="1:12">
      <c r="A118" s="2">
        <v>116</v>
      </c>
      <c r="B118" s="8">
        <v>45848</v>
      </c>
      <c r="C118" s="2" t="s">
        <v>20</v>
      </c>
      <c r="D118" s="2">
        <v>40.9</v>
      </c>
      <c r="E118" s="2">
        <v>42.8</v>
      </c>
      <c r="F118" s="2">
        <v>40.5</v>
      </c>
      <c r="G118" s="2">
        <v>42.3</v>
      </c>
      <c r="H118" s="2">
        <v>40.9</v>
      </c>
      <c r="I118" s="2">
        <v>41.3</v>
      </c>
      <c r="J118" s="9">
        <v>1344</v>
      </c>
      <c r="K118" s="2">
        <v>47.747</v>
      </c>
      <c r="L118" s="9">
        <v>1161153</v>
      </c>
    </row>
    <row r="119" spans="1:12">
      <c r="A119" s="2">
        <v>117</v>
      </c>
      <c r="B119" s="8">
        <v>45847</v>
      </c>
      <c r="C119" s="2" t="s">
        <v>20</v>
      </c>
      <c r="D119" s="2">
        <v>41.3</v>
      </c>
      <c r="E119" s="2">
        <v>41.3</v>
      </c>
      <c r="F119" s="2">
        <v>38</v>
      </c>
      <c r="G119" s="2">
        <v>38</v>
      </c>
      <c r="H119" s="2">
        <v>41.3</v>
      </c>
      <c r="I119" s="2">
        <v>37.6</v>
      </c>
      <c r="J119" s="9">
        <v>1932</v>
      </c>
      <c r="K119" s="2">
        <v>89.391000000000005</v>
      </c>
      <c r="L119" s="9">
        <v>2224756</v>
      </c>
    </row>
    <row r="120" spans="1:12">
      <c r="A120" s="2">
        <v>118</v>
      </c>
      <c r="B120" s="8">
        <v>45846</v>
      </c>
      <c r="C120" s="2" t="s">
        <v>20</v>
      </c>
      <c r="D120" s="2">
        <v>37.6</v>
      </c>
      <c r="E120" s="2">
        <v>37.9</v>
      </c>
      <c r="F120" s="2">
        <v>36.799999999999997</v>
      </c>
      <c r="G120" s="2">
        <v>36.9</v>
      </c>
      <c r="H120" s="2">
        <v>37.6</v>
      </c>
      <c r="I120" s="2">
        <v>36.799999999999997</v>
      </c>
      <c r="J120" s="2">
        <v>776</v>
      </c>
      <c r="K120" s="2">
        <v>31.97</v>
      </c>
      <c r="L120" s="9">
        <v>854550</v>
      </c>
    </row>
    <row r="121" spans="1:12">
      <c r="A121" s="2">
        <v>119</v>
      </c>
      <c r="B121" s="8">
        <v>45845</v>
      </c>
      <c r="C121" s="2" t="s">
        <v>20</v>
      </c>
      <c r="D121" s="2">
        <v>36.799999999999997</v>
      </c>
      <c r="E121" s="2">
        <v>37.299999999999997</v>
      </c>
      <c r="F121" s="2">
        <v>36.6</v>
      </c>
      <c r="G121" s="2">
        <v>37.200000000000003</v>
      </c>
      <c r="H121" s="2">
        <v>36.799999999999997</v>
      </c>
      <c r="I121" s="2">
        <v>36.9</v>
      </c>
      <c r="J121" s="2">
        <v>537</v>
      </c>
      <c r="K121" s="2">
        <v>19.135999999999999</v>
      </c>
      <c r="L121" s="9">
        <v>517488</v>
      </c>
    </row>
    <row r="122" spans="1:12">
      <c r="A122" s="2">
        <v>120</v>
      </c>
      <c r="B122" s="8">
        <v>45841</v>
      </c>
      <c r="C122" s="2" t="s">
        <v>20</v>
      </c>
      <c r="D122" s="2">
        <v>36.9</v>
      </c>
      <c r="E122" s="2">
        <v>37.6</v>
      </c>
      <c r="F122" s="2">
        <v>36.799999999999997</v>
      </c>
      <c r="G122" s="2">
        <v>37.6</v>
      </c>
      <c r="H122" s="2">
        <v>36.9</v>
      </c>
      <c r="I122" s="2">
        <v>37.4</v>
      </c>
      <c r="J122" s="2">
        <v>647</v>
      </c>
      <c r="K122" s="2">
        <v>19.251000000000001</v>
      </c>
      <c r="L122" s="9">
        <v>517938</v>
      </c>
    </row>
    <row r="123" spans="1:12">
      <c r="A123" s="2">
        <v>121</v>
      </c>
      <c r="B123" s="8">
        <v>45840</v>
      </c>
      <c r="C123" s="2" t="s">
        <v>20</v>
      </c>
      <c r="D123" s="2">
        <v>37.4</v>
      </c>
      <c r="E123" s="2">
        <v>37.9</v>
      </c>
      <c r="F123" s="2">
        <v>36.200000000000003</v>
      </c>
      <c r="G123" s="2">
        <v>36.200000000000003</v>
      </c>
      <c r="H123" s="2">
        <v>37.4</v>
      </c>
      <c r="I123" s="2">
        <v>36.1</v>
      </c>
      <c r="J123" s="2">
        <v>814</v>
      </c>
      <c r="K123" s="2">
        <v>35.152999999999999</v>
      </c>
      <c r="L123" s="9">
        <v>939873</v>
      </c>
    </row>
    <row r="124" spans="1:12">
      <c r="A124" s="2">
        <v>122</v>
      </c>
      <c r="B124" s="8">
        <v>45838</v>
      </c>
      <c r="C124" s="2" t="s">
        <v>20</v>
      </c>
      <c r="D124" s="2">
        <v>36.1</v>
      </c>
      <c r="E124" s="2">
        <v>36.700000000000003</v>
      </c>
      <c r="F124" s="2">
        <v>35.9</v>
      </c>
      <c r="G124" s="2">
        <v>36.4</v>
      </c>
      <c r="H124" s="2">
        <v>36.1</v>
      </c>
      <c r="I124" s="2">
        <v>36.4</v>
      </c>
      <c r="J124" s="2">
        <v>701</v>
      </c>
      <c r="K124" s="2">
        <v>20.146999999999998</v>
      </c>
      <c r="L124" s="9">
        <v>556288</v>
      </c>
    </row>
    <row r="125" spans="1:12">
      <c r="A125" s="2">
        <v>123</v>
      </c>
      <c r="B125" s="8">
        <v>45837</v>
      </c>
      <c r="C125" s="2" t="s">
        <v>20</v>
      </c>
      <c r="D125" s="2">
        <v>36.4</v>
      </c>
      <c r="E125" s="2">
        <v>36.799999999999997</v>
      </c>
      <c r="F125" s="2">
        <v>36.299999999999997</v>
      </c>
      <c r="G125" s="2">
        <v>36.4</v>
      </c>
      <c r="H125" s="2">
        <v>36.4</v>
      </c>
      <c r="I125" s="2">
        <v>36.4</v>
      </c>
      <c r="J125" s="2">
        <v>470</v>
      </c>
      <c r="K125" s="2">
        <v>14.805</v>
      </c>
      <c r="L125" s="9">
        <v>404771</v>
      </c>
    </row>
    <row r="126" spans="1:12">
      <c r="A126" s="2">
        <v>124</v>
      </c>
      <c r="B126" s="8">
        <v>45834</v>
      </c>
      <c r="C126" s="2" t="s">
        <v>20</v>
      </c>
      <c r="D126" s="2">
        <v>36.4</v>
      </c>
      <c r="E126" s="2">
        <v>37</v>
      </c>
      <c r="F126" s="2">
        <v>36.299999999999997</v>
      </c>
      <c r="G126" s="2">
        <v>36.5</v>
      </c>
      <c r="H126" s="2">
        <v>36.4</v>
      </c>
      <c r="I126" s="2">
        <v>36.299999999999997</v>
      </c>
      <c r="J126" s="2">
        <v>692</v>
      </c>
      <c r="K126" s="2">
        <v>17.882999999999999</v>
      </c>
      <c r="L126" s="9">
        <v>487980</v>
      </c>
    </row>
    <row r="127" spans="1:12">
      <c r="A127" s="2">
        <v>125</v>
      </c>
      <c r="B127" s="8">
        <v>45833</v>
      </c>
      <c r="C127" s="2" t="s">
        <v>20</v>
      </c>
      <c r="D127" s="2">
        <v>36.299999999999997</v>
      </c>
      <c r="E127" s="2">
        <v>36.5</v>
      </c>
      <c r="F127" s="2">
        <v>36.1</v>
      </c>
      <c r="G127" s="2">
        <v>36.200000000000003</v>
      </c>
      <c r="H127" s="2">
        <v>36.299999999999997</v>
      </c>
      <c r="I127" s="2">
        <v>35.799999999999997</v>
      </c>
      <c r="J127" s="2">
        <v>558</v>
      </c>
      <c r="K127" s="2">
        <v>12.662000000000001</v>
      </c>
      <c r="L127" s="9">
        <v>348927</v>
      </c>
    </row>
    <row r="128" spans="1:12">
      <c r="A128" s="2">
        <v>126</v>
      </c>
      <c r="B128" s="8">
        <v>45832</v>
      </c>
      <c r="C128" s="2" t="s">
        <v>20</v>
      </c>
      <c r="D128" s="2">
        <v>35.799999999999997</v>
      </c>
      <c r="E128" s="2">
        <v>36.700000000000003</v>
      </c>
      <c r="F128" s="2">
        <v>35.6</v>
      </c>
      <c r="G128" s="2">
        <v>36.200000000000003</v>
      </c>
      <c r="H128" s="2">
        <v>35.799999999999997</v>
      </c>
      <c r="I128" s="2">
        <v>35.9</v>
      </c>
      <c r="J128" s="2">
        <v>566</v>
      </c>
      <c r="K128" s="2">
        <v>15.472</v>
      </c>
      <c r="L128" s="9">
        <v>427723</v>
      </c>
    </row>
    <row r="129" spans="1:12">
      <c r="A129" s="2">
        <v>127</v>
      </c>
      <c r="B129" s="8">
        <v>45831</v>
      </c>
      <c r="C129" s="2" t="s">
        <v>20</v>
      </c>
      <c r="D129" s="2">
        <v>35.9</v>
      </c>
      <c r="E129" s="2">
        <v>36.1</v>
      </c>
      <c r="F129" s="2">
        <v>35.1</v>
      </c>
      <c r="G129" s="2">
        <v>35.4</v>
      </c>
      <c r="H129" s="2">
        <v>35.9</v>
      </c>
      <c r="I129" s="2">
        <v>34.700000000000003</v>
      </c>
      <c r="J129" s="2">
        <v>424</v>
      </c>
      <c r="K129" s="2">
        <v>9.8130000000000006</v>
      </c>
      <c r="L129" s="9">
        <v>275863</v>
      </c>
    </row>
    <row r="130" spans="1:12">
      <c r="A130" s="2">
        <v>128</v>
      </c>
      <c r="B130" s="8">
        <v>45830</v>
      </c>
      <c r="C130" s="2" t="s">
        <v>20</v>
      </c>
      <c r="D130" s="2">
        <v>34.700000000000003</v>
      </c>
      <c r="E130" s="2">
        <v>36.700000000000003</v>
      </c>
      <c r="F130" s="2">
        <v>34.4</v>
      </c>
      <c r="G130" s="2">
        <v>36.700000000000003</v>
      </c>
      <c r="H130" s="2">
        <v>34.700000000000003</v>
      </c>
      <c r="I130" s="2">
        <v>36.700000000000003</v>
      </c>
      <c r="J130" s="2">
        <v>918</v>
      </c>
      <c r="K130" s="2">
        <v>24.709</v>
      </c>
      <c r="L130" s="9">
        <v>695940</v>
      </c>
    </row>
    <row r="131" spans="1:12">
      <c r="A131" s="2">
        <v>129</v>
      </c>
      <c r="B131" s="8">
        <v>45827</v>
      </c>
      <c r="C131" s="2" t="s">
        <v>20</v>
      </c>
      <c r="D131" s="2">
        <v>36.700000000000003</v>
      </c>
      <c r="E131" s="2">
        <v>38.200000000000003</v>
      </c>
      <c r="F131" s="2">
        <v>36.299999999999997</v>
      </c>
      <c r="G131" s="2">
        <v>38.200000000000003</v>
      </c>
      <c r="H131" s="2">
        <v>36.700000000000003</v>
      </c>
      <c r="I131" s="2">
        <v>37.9</v>
      </c>
      <c r="J131" s="2">
        <v>790</v>
      </c>
      <c r="K131" s="2">
        <v>23.49</v>
      </c>
      <c r="L131" s="9">
        <v>631111</v>
      </c>
    </row>
    <row r="132" spans="1:12">
      <c r="A132" s="2">
        <v>130</v>
      </c>
      <c r="B132" s="8">
        <v>45826</v>
      </c>
      <c r="C132" s="2" t="s">
        <v>20</v>
      </c>
      <c r="D132" s="2">
        <v>37.9</v>
      </c>
      <c r="E132" s="2">
        <v>38.5</v>
      </c>
      <c r="F132" s="2">
        <v>37.4</v>
      </c>
      <c r="G132" s="2">
        <v>37.5</v>
      </c>
      <c r="H132" s="2">
        <v>37.9</v>
      </c>
      <c r="I132" s="2">
        <v>37.5</v>
      </c>
      <c r="J132" s="2">
        <v>748</v>
      </c>
      <c r="K132" s="2">
        <v>20.62</v>
      </c>
      <c r="L132" s="9">
        <v>543439</v>
      </c>
    </row>
    <row r="133" spans="1:12">
      <c r="A133" s="2">
        <v>131</v>
      </c>
      <c r="B133" s="8">
        <v>45825</v>
      </c>
      <c r="C133" s="2" t="s">
        <v>20</v>
      </c>
      <c r="D133" s="2">
        <v>37.5</v>
      </c>
      <c r="E133" s="2">
        <v>39.200000000000003</v>
      </c>
      <c r="F133" s="2">
        <v>37.4</v>
      </c>
      <c r="G133" s="2">
        <v>38.6</v>
      </c>
      <c r="H133" s="2">
        <v>37.5</v>
      </c>
      <c r="I133" s="2">
        <v>38.700000000000003</v>
      </c>
      <c r="J133" s="9">
        <v>1132</v>
      </c>
      <c r="K133" s="2">
        <v>30.228999999999999</v>
      </c>
      <c r="L133" s="9">
        <v>788685</v>
      </c>
    </row>
    <row r="134" spans="1:12">
      <c r="A134" s="2">
        <v>132</v>
      </c>
      <c r="B134" s="8">
        <v>45824</v>
      </c>
      <c r="C134" s="2" t="s">
        <v>20</v>
      </c>
      <c r="D134" s="2">
        <v>38.700000000000003</v>
      </c>
      <c r="E134" s="2">
        <v>38.799999999999997</v>
      </c>
      <c r="F134" s="2">
        <v>37.799999999999997</v>
      </c>
      <c r="G134" s="2">
        <v>38</v>
      </c>
      <c r="H134" s="2">
        <v>38.700000000000003</v>
      </c>
      <c r="I134" s="2">
        <v>37.9</v>
      </c>
      <c r="J134" s="2">
        <v>910</v>
      </c>
      <c r="K134" s="2">
        <v>29.315999999999999</v>
      </c>
      <c r="L134" s="9">
        <v>762463</v>
      </c>
    </row>
    <row r="135" spans="1:12">
      <c r="A135" s="2">
        <v>133</v>
      </c>
      <c r="B135" s="8">
        <v>45823</v>
      </c>
      <c r="C135" s="2" t="s">
        <v>20</v>
      </c>
      <c r="D135" s="2">
        <v>37.9</v>
      </c>
      <c r="E135" s="2">
        <v>38</v>
      </c>
      <c r="F135" s="2">
        <v>36</v>
      </c>
      <c r="G135" s="2">
        <v>36.5</v>
      </c>
      <c r="H135" s="2">
        <v>37.9</v>
      </c>
      <c r="I135" s="2">
        <v>36.700000000000003</v>
      </c>
      <c r="J135" s="2">
        <v>693</v>
      </c>
      <c r="K135" s="2">
        <v>17.329999999999998</v>
      </c>
      <c r="L135" s="9">
        <v>466013</v>
      </c>
    </row>
    <row r="136" spans="1:12">
      <c r="A136" s="2">
        <v>134</v>
      </c>
      <c r="B136" s="8">
        <v>45812</v>
      </c>
      <c r="C136" s="2" t="s">
        <v>20</v>
      </c>
      <c r="D136" s="2">
        <v>36.700000000000003</v>
      </c>
      <c r="E136" s="2">
        <v>36.799999999999997</v>
      </c>
      <c r="F136" s="2">
        <v>36.200000000000003</v>
      </c>
      <c r="G136" s="2">
        <v>36.700000000000003</v>
      </c>
      <c r="H136" s="2">
        <v>36.700000000000003</v>
      </c>
      <c r="I136" s="2">
        <v>36.299999999999997</v>
      </c>
      <c r="J136" s="2">
        <v>318</v>
      </c>
      <c r="K136" s="2">
        <v>8.52</v>
      </c>
      <c r="L136" s="9">
        <v>232764</v>
      </c>
    </row>
    <row r="137" spans="1:12">
      <c r="A137" s="2">
        <v>135</v>
      </c>
      <c r="B137" s="8">
        <v>45811</v>
      </c>
      <c r="C137" s="2" t="s">
        <v>20</v>
      </c>
      <c r="D137" s="2">
        <v>36.299999999999997</v>
      </c>
      <c r="E137" s="2">
        <v>37</v>
      </c>
      <c r="F137" s="2">
        <v>36.200000000000003</v>
      </c>
      <c r="G137" s="2">
        <v>36.700000000000003</v>
      </c>
      <c r="H137" s="2">
        <v>36.299999999999997</v>
      </c>
      <c r="I137" s="2">
        <v>36.700000000000003</v>
      </c>
      <c r="J137" s="2">
        <v>520</v>
      </c>
      <c r="K137" s="2">
        <v>8.6590000000000007</v>
      </c>
      <c r="L137" s="9">
        <v>237801</v>
      </c>
    </row>
    <row r="138" spans="1:12">
      <c r="A138" s="2">
        <v>136</v>
      </c>
      <c r="B138" s="8">
        <v>45810</v>
      </c>
      <c r="C138" s="2" t="s">
        <v>20</v>
      </c>
      <c r="D138" s="2">
        <v>36.700000000000003</v>
      </c>
      <c r="E138" s="2">
        <v>37.299999999999997</v>
      </c>
      <c r="F138" s="2">
        <v>36.6</v>
      </c>
      <c r="G138" s="2">
        <v>36.9</v>
      </c>
      <c r="H138" s="2">
        <v>36.700000000000003</v>
      </c>
      <c r="I138" s="2">
        <v>36.9</v>
      </c>
      <c r="J138" s="2">
        <v>484</v>
      </c>
      <c r="K138" s="2">
        <v>10.93</v>
      </c>
      <c r="L138" s="9">
        <v>295999</v>
      </c>
    </row>
    <row r="139" spans="1:12">
      <c r="A139" s="2">
        <v>137</v>
      </c>
      <c r="B139" s="8">
        <v>45809</v>
      </c>
      <c r="C139" s="2" t="s">
        <v>20</v>
      </c>
      <c r="D139" s="2">
        <v>36.9</v>
      </c>
      <c r="E139" s="2">
        <v>37.6</v>
      </c>
      <c r="F139" s="2">
        <v>36.799999999999997</v>
      </c>
      <c r="G139" s="2">
        <v>37.1</v>
      </c>
      <c r="H139" s="2">
        <v>36.9</v>
      </c>
      <c r="I139" s="2">
        <v>37.1</v>
      </c>
      <c r="J139" s="2">
        <v>444</v>
      </c>
      <c r="K139" s="2">
        <v>10.195</v>
      </c>
      <c r="L139" s="9">
        <v>274581</v>
      </c>
    </row>
    <row r="140" spans="1:12">
      <c r="A140" s="2">
        <v>138</v>
      </c>
      <c r="B140" s="8">
        <v>45806</v>
      </c>
      <c r="C140" s="2" t="s">
        <v>20</v>
      </c>
      <c r="D140" s="2">
        <v>37.1</v>
      </c>
      <c r="E140" s="2">
        <v>37.299999999999997</v>
      </c>
      <c r="F140" s="2">
        <v>36.200000000000003</v>
      </c>
      <c r="G140" s="2">
        <v>36.9</v>
      </c>
      <c r="H140" s="2">
        <v>37.1</v>
      </c>
      <c r="I140" s="2">
        <v>36.4</v>
      </c>
      <c r="J140" s="2">
        <v>830</v>
      </c>
      <c r="K140" s="2">
        <v>16.513999999999999</v>
      </c>
      <c r="L140" s="9">
        <v>447237</v>
      </c>
    </row>
    <row r="141" spans="1:12">
      <c r="A141" s="2">
        <v>139</v>
      </c>
      <c r="B141" s="8">
        <v>45805</v>
      </c>
      <c r="C141" s="2" t="s">
        <v>20</v>
      </c>
      <c r="D141" s="2">
        <v>36.4</v>
      </c>
      <c r="E141" s="2">
        <v>36.700000000000003</v>
      </c>
      <c r="F141" s="2">
        <v>35.700000000000003</v>
      </c>
      <c r="G141" s="2">
        <v>36.299999999999997</v>
      </c>
      <c r="H141" s="2">
        <v>36.4</v>
      </c>
      <c r="I141" s="2">
        <v>36.1</v>
      </c>
      <c r="J141" s="2">
        <v>556</v>
      </c>
      <c r="K141" s="2">
        <v>13.73</v>
      </c>
      <c r="L141" s="9">
        <v>379876</v>
      </c>
    </row>
    <row r="142" spans="1:12">
      <c r="A142" s="2">
        <v>140</v>
      </c>
      <c r="B142" s="8">
        <v>45804</v>
      </c>
      <c r="C142" s="2" t="s">
        <v>20</v>
      </c>
      <c r="D142" s="2">
        <v>36.1</v>
      </c>
      <c r="E142" s="2">
        <v>37.200000000000003</v>
      </c>
      <c r="F142" s="2">
        <v>36</v>
      </c>
      <c r="G142" s="2">
        <v>37</v>
      </c>
      <c r="H142" s="2">
        <v>36.1</v>
      </c>
      <c r="I142" s="2">
        <v>36.700000000000003</v>
      </c>
      <c r="J142" s="2">
        <v>768</v>
      </c>
      <c r="K142" s="2">
        <v>17.635999999999999</v>
      </c>
      <c r="L142" s="9">
        <v>483721</v>
      </c>
    </row>
    <row r="143" spans="1:12">
      <c r="A143" s="2">
        <v>141</v>
      </c>
      <c r="B143" s="8">
        <v>45803</v>
      </c>
      <c r="C143" s="2" t="s">
        <v>20</v>
      </c>
      <c r="D143" s="2">
        <v>36.700000000000003</v>
      </c>
      <c r="E143" s="2">
        <v>38.4</v>
      </c>
      <c r="F143" s="2">
        <v>36.4</v>
      </c>
      <c r="G143" s="2">
        <v>38.200000000000003</v>
      </c>
      <c r="H143" s="2">
        <v>36.700000000000003</v>
      </c>
      <c r="I143" s="2">
        <v>38</v>
      </c>
      <c r="J143" s="9">
        <v>1159</v>
      </c>
      <c r="K143" s="2">
        <v>25.231000000000002</v>
      </c>
      <c r="L143" s="9">
        <v>675785</v>
      </c>
    </row>
    <row r="144" spans="1:12">
      <c r="A144" s="2">
        <v>142</v>
      </c>
      <c r="B144" s="8">
        <v>45802</v>
      </c>
      <c r="C144" s="2" t="s">
        <v>20</v>
      </c>
      <c r="D144" s="2">
        <v>38</v>
      </c>
      <c r="E144" s="2">
        <v>38.4</v>
      </c>
      <c r="F144" s="2">
        <v>35.799999999999997</v>
      </c>
      <c r="G144" s="2">
        <v>36.200000000000003</v>
      </c>
      <c r="H144" s="2">
        <v>38</v>
      </c>
      <c r="I144" s="2">
        <v>36</v>
      </c>
      <c r="J144" s="9">
        <v>1606</v>
      </c>
      <c r="K144" s="2">
        <v>37.134</v>
      </c>
      <c r="L144" s="9">
        <v>985231</v>
      </c>
    </row>
    <row r="145" spans="1:12">
      <c r="A145" s="2">
        <v>143</v>
      </c>
      <c r="B145" s="8">
        <v>45801</v>
      </c>
      <c r="C145" s="2" t="s">
        <v>20</v>
      </c>
      <c r="D145" s="2">
        <v>36</v>
      </c>
      <c r="E145" s="2">
        <v>37.200000000000003</v>
      </c>
      <c r="F145" s="2">
        <v>35.799999999999997</v>
      </c>
      <c r="G145" s="2">
        <v>37</v>
      </c>
      <c r="H145" s="2">
        <v>36</v>
      </c>
      <c r="I145" s="2">
        <v>36.700000000000003</v>
      </c>
      <c r="J145" s="2">
        <v>819</v>
      </c>
      <c r="K145" s="2">
        <v>17.747</v>
      </c>
      <c r="L145" s="9">
        <v>487452</v>
      </c>
    </row>
    <row r="146" spans="1:12">
      <c r="A146" s="2">
        <v>144</v>
      </c>
      <c r="B146" s="8">
        <v>45799</v>
      </c>
      <c r="C146" s="2" t="s">
        <v>20</v>
      </c>
      <c r="D146" s="2">
        <v>36.700000000000003</v>
      </c>
      <c r="E146" s="2">
        <v>37.700000000000003</v>
      </c>
      <c r="F146" s="2">
        <v>36.5</v>
      </c>
      <c r="G146" s="2">
        <v>37.4</v>
      </c>
      <c r="H146" s="2">
        <v>36.700000000000003</v>
      </c>
      <c r="I146" s="2">
        <v>37.200000000000003</v>
      </c>
      <c r="J146" s="2">
        <v>772</v>
      </c>
      <c r="K146" s="2">
        <v>13.237</v>
      </c>
      <c r="L146" s="9">
        <v>356709</v>
      </c>
    </row>
    <row r="147" spans="1:12">
      <c r="A147" s="2">
        <v>145</v>
      </c>
      <c r="B147" s="8">
        <v>45798</v>
      </c>
      <c r="C147" s="2" t="s">
        <v>20</v>
      </c>
      <c r="D147" s="2">
        <v>37.200000000000003</v>
      </c>
      <c r="E147" s="2">
        <v>38.299999999999997</v>
      </c>
      <c r="F147" s="2">
        <v>37.1</v>
      </c>
      <c r="G147" s="2">
        <v>38</v>
      </c>
      <c r="H147" s="2">
        <v>37.200000000000003</v>
      </c>
      <c r="I147" s="2">
        <v>37.700000000000003</v>
      </c>
      <c r="J147" s="2">
        <v>842</v>
      </c>
      <c r="K147" s="2">
        <v>19.782</v>
      </c>
      <c r="L147" s="9">
        <v>525620</v>
      </c>
    </row>
    <row r="148" spans="1:12">
      <c r="A148" s="2">
        <v>146</v>
      </c>
      <c r="B148" s="8">
        <v>45797</v>
      </c>
      <c r="C148" s="2" t="s">
        <v>20</v>
      </c>
      <c r="D148" s="2">
        <v>37.700000000000003</v>
      </c>
      <c r="E148" s="2">
        <v>37.9</v>
      </c>
      <c r="F148" s="2">
        <v>36.9</v>
      </c>
      <c r="G148" s="2">
        <v>37.200000000000003</v>
      </c>
      <c r="H148" s="2">
        <v>37.700000000000003</v>
      </c>
      <c r="I148" s="2">
        <v>36.9</v>
      </c>
      <c r="J148" s="2">
        <v>756</v>
      </c>
      <c r="K148" s="2">
        <v>13.215</v>
      </c>
      <c r="L148" s="9">
        <v>353249</v>
      </c>
    </row>
    <row r="149" spans="1:12">
      <c r="A149" s="2">
        <v>147</v>
      </c>
      <c r="B149" s="8">
        <v>45796</v>
      </c>
      <c r="C149" s="2" t="s">
        <v>20</v>
      </c>
      <c r="D149" s="2">
        <v>36.9</v>
      </c>
      <c r="E149" s="2">
        <v>37.299999999999997</v>
      </c>
      <c r="F149" s="2">
        <v>35.700000000000003</v>
      </c>
      <c r="G149" s="2">
        <v>36.9</v>
      </c>
      <c r="H149" s="2">
        <v>36.9</v>
      </c>
      <c r="I149" s="2">
        <v>36.299999999999997</v>
      </c>
      <c r="J149" s="9">
        <v>1038</v>
      </c>
      <c r="K149" s="2">
        <v>24.657</v>
      </c>
      <c r="L149" s="9">
        <v>672603</v>
      </c>
    </row>
    <row r="150" spans="1:12">
      <c r="A150" s="2">
        <v>148</v>
      </c>
      <c r="B150" s="8">
        <v>45795</v>
      </c>
      <c r="C150" s="2" t="s">
        <v>20</v>
      </c>
      <c r="D150" s="2">
        <v>36.299999999999997</v>
      </c>
      <c r="E150" s="2">
        <v>39.4</v>
      </c>
      <c r="F150" s="2">
        <v>36</v>
      </c>
      <c r="G150" s="2">
        <v>38.700000000000003</v>
      </c>
      <c r="H150" s="2">
        <v>36.299999999999997</v>
      </c>
      <c r="I150" s="2">
        <v>38.5</v>
      </c>
      <c r="J150" s="9">
        <v>1230</v>
      </c>
      <c r="K150" s="2">
        <v>26.356000000000002</v>
      </c>
      <c r="L150" s="9">
        <v>698260</v>
      </c>
    </row>
    <row r="151" spans="1:12">
      <c r="A151" s="2">
        <v>149</v>
      </c>
      <c r="B151" s="8">
        <v>45794</v>
      </c>
      <c r="C151" s="2" t="s">
        <v>20</v>
      </c>
      <c r="D151" s="2">
        <v>38.5</v>
      </c>
      <c r="E151" s="2">
        <v>38.9</v>
      </c>
      <c r="F151" s="2">
        <v>35.700000000000003</v>
      </c>
      <c r="G151" s="2">
        <v>36.200000000000003</v>
      </c>
      <c r="H151" s="2">
        <v>38.5</v>
      </c>
      <c r="I151" s="2">
        <v>35.799999999999997</v>
      </c>
      <c r="J151" s="9">
        <v>1256</v>
      </c>
      <c r="K151" s="2">
        <v>22.908999999999999</v>
      </c>
      <c r="L151" s="9">
        <v>611035</v>
      </c>
    </row>
    <row r="152" spans="1:12">
      <c r="A152" s="2">
        <v>150</v>
      </c>
      <c r="B152" s="8">
        <v>45792</v>
      </c>
      <c r="C152" s="2" t="s">
        <v>20</v>
      </c>
      <c r="D152" s="2">
        <v>35.799999999999997</v>
      </c>
      <c r="E152" s="2">
        <v>38.1</v>
      </c>
      <c r="F152" s="2">
        <v>35.200000000000003</v>
      </c>
      <c r="G152" s="2">
        <v>37.700000000000003</v>
      </c>
      <c r="H152" s="2">
        <v>35.799999999999997</v>
      </c>
      <c r="I152" s="2">
        <v>37.5</v>
      </c>
      <c r="J152" s="2">
        <v>968</v>
      </c>
      <c r="K152" s="2">
        <v>21.797999999999998</v>
      </c>
      <c r="L152" s="9">
        <v>596283</v>
      </c>
    </row>
    <row r="153" spans="1:12">
      <c r="A153" s="2">
        <v>151</v>
      </c>
      <c r="B153" s="8">
        <v>45791</v>
      </c>
      <c r="C153" s="2" t="s">
        <v>20</v>
      </c>
      <c r="D153" s="2">
        <v>37.5</v>
      </c>
      <c r="E153" s="2">
        <v>39</v>
      </c>
      <c r="F153" s="2">
        <v>37</v>
      </c>
      <c r="G153" s="2">
        <v>38.5</v>
      </c>
      <c r="H153" s="2">
        <v>37.5</v>
      </c>
      <c r="I153" s="2">
        <v>38.6</v>
      </c>
      <c r="J153" s="9">
        <v>1233</v>
      </c>
      <c r="K153" s="2">
        <v>35.567999999999998</v>
      </c>
      <c r="L153" s="9">
        <v>934248</v>
      </c>
    </row>
    <row r="154" spans="1:12">
      <c r="A154" s="2">
        <v>152</v>
      </c>
      <c r="B154" s="8">
        <v>45790</v>
      </c>
      <c r="C154" s="2" t="s">
        <v>20</v>
      </c>
      <c r="D154" s="2">
        <v>38.6</v>
      </c>
      <c r="E154" s="2">
        <v>41.3</v>
      </c>
      <c r="F154" s="2">
        <v>38.200000000000003</v>
      </c>
      <c r="G154" s="2">
        <v>40.4</v>
      </c>
      <c r="H154" s="2">
        <v>38.6</v>
      </c>
      <c r="I154" s="2">
        <v>40.299999999999997</v>
      </c>
      <c r="J154" s="9">
        <v>1314</v>
      </c>
      <c r="K154" s="2">
        <v>33.380000000000003</v>
      </c>
      <c r="L154" s="9">
        <v>838196</v>
      </c>
    </row>
    <row r="155" spans="1:12">
      <c r="A155" s="2">
        <v>153</v>
      </c>
      <c r="B155" s="8">
        <v>45789</v>
      </c>
      <c r="C155" s="2" t="s">
        <v>20</v>
      </c>
      <c r="D155" s="2">
        <v>40.299999999999997</v>
      </c>
      <c r="E155" s="2">
        <v>42.3</v>
      </c>
      <c r="F155" s="2">
        <v>39.1</v>
      </c>
      <c r="G155" s="2">
        <v>42.2</v>
      </c>
      <c r="H155" s="2">
        <v>40.299999999999997</v>
      </c>
      <c r="I155" s="2">
        <v>41.5</v>
      </c>
      <c r="J155" s="9">
        <v>1401</v>
      </c>
      <c r="K155" s="2">
        <v>40.058</v>
      </c>
      <c r="L155" s="9">
        <v>980397</v>
      </c>
    </row>
    <row r="156" spans="1:12">
      <c r="A156" s="2">
        <v>154</v>
      </c>
      <c r="B156" s="8">
        <v>45785</v>
      </c>
      <c r="C156" s="2" t="s">
        <v>20</v>
      </c>
      <c r="D156" s="2">
        <v>41.5</v>
      </c>
      <c r="E156" s="2">
        <v>41.8</v>
      </c>
      <c r="F156" s="2">
        <v>39.5</v>
      </c>
      <c r="G156" s="2">
        <v>39.5</v>
      </c>
      <c r="H156" s="2">
        <v>41.5</v>
      </c>
      <c r="I156" s="2">
        <v>39.5</v>
      </c>
      <c r="J156" s="9">
        <v>1406</v>
      </c>
      <c r="K156" s="2">
        <v>40.887</v>
      </c>
      <c r="L156" s="9">
        <v>993655</v>
      </c>
    </row>
    <row r="157" spans="1:12">
      <c r="A157" s="2">
        <v>155</v>
      </c>
      <c r="B157" s="8">
        <v>45784</v>
      </c>
      <c r="C157" s="2" t="s">
        <v>20</v>
      </c>
      <c r="D157" s="2">
        <v>39.5</v>
      </c>
      <c r="E157" s="2">
        <v>43.1</v>
      </c>
      <c r="F157" s="2">
        <v>39</v>
      </c>
      <c r="G157" s="2">
        <v>43.1</v>
      </c>
      <c r="H157" s="2">
        <v>39.5</v>
      </c>
      <c r="I157" s="2">
        <v>43.3</v>
      </c>
      <c r="J157" s="9">
        <v>2187</v>
      </c>
      <c r="K157" s="2">
        <v>74.004999999999995</v>
      </c>
      <c r="L157" s="9">
        <v>1801303</v>
      </c>
    </row>
    <row r="158" spans="1:12">
      <c r="A158" s="2">
        <v>156</v>
      </c>
      <c r="B158" s="8">
        <v>45783</v>
      </c>
      <c r="C158" s="2" t="s">
        <v>20</v>
      </c>
      <c r="D158" s="2">
        <v>43.3</v>
      </c>
      <c r="E158" s="2">
        <v>44.8</v>
      </c>
      <c r="F158" s="2">
        <v>41.9</v>
      </c>
      <c r="G158" s="2">
        <v>42.5</v>
      </c>
      <c r="H158" s="2">
        <v>43.3</v>
      </c>
      <c r="I158" s="2">
        <v>42.8</v>
      </c>
      <c r="J158" s="9">
        <v>2163</v>
      </c>
      <c r="K158" s="2">
        <v>77.126999999999995</v>
      </c>
      <c r="L158" s="9">
        <v>1766416</v>
      </c>
    </row>
    <row r="159" spans="1:12">
      <c r="A159" s="2">
        <v>157</v>
      </c>
      <c r="B159" s="8">
        <v>45782</v>
      </c>
      <c r="C159" s="2" t="s">
        <v>20</v>
      </c>
      <c r="D159" s="2">
        <v>42.8</v>
      </c>
      <c r="E159" s="2">
        <v>44.7</v>
      </c>
      <c r="F159" s="2">
        <v>41.5</v>
      </c>
      <c r="G159" s="2">
        <v>42.9</v>
      </c>
      <c r="H159" s="2">
        <v>42.8</v>
      </c>
      <c r="I159" s="2">
        <v>42.2</v>
      </c>
      <c r="J159" s="9">
        <v>2837</v>
      </c>
      <c r="K159" s="2">
        <v>77.561999999999998</v>
      </c>
      <c r="L159" s="9">
        <v>1802517</v>
      </c>
    </row>
    <row r="160" spans="1:12">
      <c r="A160" s="2">
        <v>158</v>
      </c>
      <c r="B160" s="8">
        <v>45781</v>
      </c>
      <c r="C160" s="2" t="s">
        <v>20</v>
      </c>
      <c r="D160" s="2">
        <v>42.2</v>
      </c>
      <c r="E160" s="2">
        <v>42.2</v>
      </c>
      <c r="F160" s="2">
        <v>38.5</v>
      </c>
      <c r="G160" s="2">
        <v>40.4</v>
      </c>
      <c r="H160" s="2">
        <v>42.2</v>
      </c>
      <c r="I160" s="2">
        <v>38.4</v>
      </c>
      <c r="J160" s="9">
        <v>1891</v>
      </c>
      <c r="K160" s="2">
        <v>59.941000000000003</v>
      </c>
      <c r="L160" s="9">
        <v>1476489</v>
      </c>
    </row>
    <row r="161" spans="1:12">
      <c r="A161" s="2">
        <v>159</v>
      </c>
      <c r="B161" s="8">
        <v>45777</v>
      </c>
      <c r="C161" s="2" t="s">
        <v>20</v>
      </c>
      <c r="D161" s="2">
        <v>38.4</v>
      </c>
      <c r="E161" s="2">
        <v>40.6</v>
      </c>
      <c r="F161" s="2">
        <v>38.1</v>
      </c>
      <c r="G161" s="2">
        <v>40.5</v>
      </c>
      <c r="H161" s="2">
        <v>38.4</v>
      </c>
      <c r="I161" s="2">
        <v>40.5</v>
      </c>
      <c r="J161" s="9">
        <v>2546</v>
      </c>
      <c r="K161" s="2">
        <v>66.739999999999995</v>
      </c>
      <c r="L161" s="9">
        <v>1706583</v>
      </c>
    </row>
    <row r="162" spans="1:12">
      <c r="A162" s="2">
        <v>160</v>
      </c>
      <c r="B162" s="8">
        <v>45776</v>
      </c>
      <c r="C162" s="2" t="s">
        <v>20</v>
      </c>
      <c r="D162" s="2">
        <v>40.5</v>
      </c>
      <c r="E162" s="2">
        <v>41.5</v>
      </c>
      <c r="F162" s="2">
        <v>36.9</v>
      </c>
      <c r="G162" s="2">
        <v>38.5</v>
      </c>
      <c r="H162" s="2">
        <v>40.5</v>
      </c>
      <c r="I162" s="2">
        <v>39.700000000000003</v>
      </c>
      <c r="J162" s="9">
        <v>2059</v>
      </c>
      <c r="K162" s="2">
        <v>50.423999999999999</v>
      </c>
      <c r="L162" s="9">
        <v>1273671</v>
      </c>
    </row>
    <row r="163" spans="1:12">
      <c r="A163" s="2">
        <v>161</v>
      </c>
      <c r="B163" s="8">
        <v>45775</v>
      </c>
      <c r="C163" s="2" t="s">
        <v>20</v>
      </c>
      <c r="D163" s="2">
        <v>39.700000000000003</v>
      </c>
      <c r="E163" s="2">
        <v>44</v>
      </c>
      <c r="F163" s="2">
        <v>39.6</v>
      </c>
      <c r="G163" s="2">
        <v>43.6</v>
      </c>
      <c r="H163" s="2">
        <v>39.700000000000003</v>
      </c>
      <c r="I163" s="2">
        <v>44</v>
      </c>
      <c r="J163" s="9">
        <v>3930</v>
      </c>
      <c r="K163" s="2">
        <v>134.85300000000001</v>
      </c>
      <c r="L163" s="9">
        <v>3239972</v>
      </c>
    </row>
    <row r="164" spans="1:12">
      <c r="A164" s="2">
        <v>162</v>
      </c>
      <c r="B164" s="8">
        <v>45774</v>
      </c>
      <c r="C164" s="2" t="s">
        <v>20</v>
      </c>
      <c r="D164" s="2">
        <v>44</v>
      </c>
      <c r="E164" s="2">
        <v>45.8</v>
      </c>
      <c r="F164" s="2">
        <v>43.4</v>
      </c>
      <c r="G164" s="2">
        <v>44</v>
      </c>
      <c r="H164" s="2">
        <v>44</v>
      </c>
      <c r="I164" s="2">
        <v>44.4</v>
      </c>
      <c r="J164" s="9">
        <v>3213</v>
      </c>
      <c r="K164" s="2">
        <v>108.845</v>
      </c>
      <c r="L164" s="9">
        <v>2449021</v>
      </c>
    </row>
    <row r="165" spans="1:12">
      <c r="A165" s="2">
        <v>163</v>
      </c>
      <c r="B165" s="8">
        <v>45771</v>
      </c>
      <c r="C165" s="2" t="s">
        <v>20</v>
      </c>
      <c r="D165" s="2">
        <v>44.4</v>
      </c>
      <c r="E165" s="2">
        <v>46.7</v>
      </c>
      <c r="F165" s="2">
        <v>44.1</v>
      </c>
      <c r="G165" s="2">
        <v>45</v>
      </c>
      <c r="H165" s="2">
        <v>44.4</v>
      </c>
      <c r="I165" s="2">
        <v>44.2</v>
      </c>
      <c r="J165" s="9">
        <v>3210</v>
      </c>
      <c r="K165" s="2">
        <v>92.884</v>
      </c>
      <c r="L165" s="9">
        <v>2044605</v>
      </c>
    </row>
    <row r="166" spans="1:12">
      <c r="A166" s="2">
        <v>164</v>
      </c>
      <c r="B166" s="8">
        <v>45770</v>
      </c>
      <c r="C166" s="2" t="s">
        <v>20</v>
      </c>
      <c r="D166" s="2">
        <v>44.2</v>
      </c>
      <c r="E166" s="2">
        <v>44.2</v>
      </c>
      <c r="F166" s="2">
        <v>39.299999999999997</v>
      </c>
      <c r="G166" s="2">
        <v>40.5</v>
      </c>
      <c r="H166" s="2">
        <v>44.2</v>
      </c>
      <c r="I166" s="2">
        <v>40.200000000000003</v>
      </c>
      <c r="J166" s="9">
        <v>2599</v>
      </c>
      <c r="K166" s="2">
        <v>128.12299999999999</v>
      </c>
      <c r="L166" s="9">
        <v>3019716</v>
      </c>
    </row>
    <row r="167" spans="1:12">
      <c r="A167" s="2">
        <v>165</v>
      </c>
      <c r="B167" s="8">
        <v>45769</v>
      </c>
      <c r="C167" s="2" t="s">
        <v>20</v>
      </c>
      <c r="D167" s="2">
        <v>40.200000000000003</v>
      </c>
      <c r="E167" s="2">
        <v>43.3</v>
      </c>
      <c r="F167" s="2">
        <v>39.700000000000003</v>
      </c>
      <c r="G167" s="2">
        <v>41.9</v>
      </c>
      <c r="H167" s="2">
        <v>40.200000000000003</v>
      </c>
      <c r="I167" s="2">
        <v>41.2</v>
      </c>
      <c r="J167" s="9">
        <v>2775</v>
      </c>
      <c r="K167" s="2">
        <v>96.587000000000003</v>
      </c>
      <c r="L167" s="9">
        <v>2327682</v>
      </c>
    </row>
    <row r="168" spans="1:12">
      <c r="A168" s="2">
        <v>166</v>
      </c>
      <c r="B168" s="8">
        <v>45768</v>
      </c>
      <c r="C168" s="2" t="s">
        <v>20</v>
      </c>
      <c r="D168" s="2">
        <v>41.2</v>
      </c>
      <c r="E168" s="2">
        <v>41.2</v>
      </c>
      <c r="F168" s="2">
        <v>38</v>
      </c>
      <c r="G168" s="2">
        <v>38</v>
      </c>
      <c r="H168" s="2">
        <v>41.2</v>
      </c>
      <c r="I168" s="2">
        <v>37.5</v>
      </c>
      <c r="J168" s="9">
        <v>1945</v>
      </c>
      <c r="K168" s="2">
        <v>74.058000000000007</v>
      </c>
      <c r="L168" s="9">
        <v>1839815</v>
      </c>
    </row>
    <row r="169" spans="1:12">
      <c r="A169" s="2">
        <v>167</v>
      </c>
      <c r="B169" s="8">
        <v>45767</v>
      </c>
      <c r="C169" s="2" t="s">
        <v>20</v>
      </c>
      <c r="D169" s="2">
        <v>37.799999999999997</v>
      </c>
      <c r="E169" s="2">
        <v>39</v>
      </c>
      <c r="F169" s="2">
        <v>36.5</v>
      </c>
      <c r="G169" s="2">
        <v>39</v>
      </c>
      <c r="H169" s="2">
        <v>37.5</v>
      </c>
      <c r="I169" s="2">
        <v>38.299999999999997</v>
      </c>
      <c r="J169" s="9">
        <v>1517</v>
      </c>
      <c r="K169" s="2">
        <v>55.776000000000003</v>
      </c>
      <c r="L169" s="9">
        <v>1481619</v>
      </c>
    </row>
    <row r="170" spans="1:12">
      <c r="A170" s="2">
        <v>168</v>
      </c>
      <c r="B170" s="8">
        <v>45764</v>
      </c>
      <c r="C170" s="2" t="s">
        <v>20</v>
      </c>
      <c r="D170" s="2">
        <v>38.299999999999997</v>
      </c>
      <c r="E170" s="2">
        <v>39.9</v>
      </c>
      <c r="F170" s="2">
        <v>37.5</v>
      </c>
      <c r="G170" s="2">
        <v>39</v>
      </c>
      <c r="H170" s="2">
        <v>38.299999999999997</v>
      </c>
      <c r="I170" s="2">
        <v>37.6</v>
      </c>
      <c r="J170" s="9">
        <v>2217</v>
      </c>
      <c r="K170" s="2">
        <v>72.509</v>
      </c>
      <c r="L170" s="9">
        <v>1871281</v>
      </c>
    </row>
    <row r="171" spans="1:12">
      <c r="A171" s="2">
        <v>169</v>
      </c>
      <c r="B171" s="8">
        <v>45763</v>
      </c>
      <c r="C171" s="2" t="s">
        <v>20</v>
      </c>
      <c r="D171" s="2">
        <v>37.6</v>
      </c>
      <c r="E171" s="2">
        <v>37.6</v>
      </c>
      <c r="F171" s="2">
        <v>34.6</v>
      </c>
      <c r="G171" s="2">
        <v>34.700000000000003</v>
      </c>
      <c r="H171" s="2">
        <v>37.6</v>
      </c>
      <c r="I171" s="2">
        <v>34.200000000000003</v>
      </c>
      <c r="J171" s="9">
        <v>1602</v>
      </c>
      <c r="K171" s="2">
        <v>78.406999999999996</v>
      </c>
      <c r="L171" s="9">
        <v>2143454</v>
      </c>
    </row>
    <row r="172" spans="1:12">
      <c r="A172" s="2">
        <v>170</v>
      </c>
      <c r="B172" s="8">
        <v>45762</v>
      </c>
      <c r="C172" s="2" t="s">
        <v>20</v>
      </c>
      <c r="D172" s="2">
        <v>34.5</v>
      </c>
      <c r="E172" s="2">
        <v>34.5</v>
      </c>
      <c r="F172" s="2">
        <v>33</v>
      </c>
      <c r="G172" s="2">
        <v>33.299999999999997</v>
      </c>
      <c r="H172" s="2">
        <v>34.200000000000003</v>
      </c>
      <c r="I172" s="2">
        <v>33.299999999999997</v>
      </c>
      <c r="J172" s="2">
        <v>644</v>
      </c>
      <c r="K172" s="2">
        <v>18.007999999999999</v>
      </c>
      <c r="L172" s="9">
        <v>532380</v>
      </c>
    </row>
    <row r="173" spans="1:12">
      <c r="A173" s="2">
        <v>171</v>
      </c>
      <c r="B173" s="8">
        <v>45760</v>
      </c>
      <c r="C173" s="2" t="s">
        <v>20</v>
      </c>
      <c r="D173" s="2">
        <v>33.299999999999997</v>
      </c>
      <c r="E173" s="2">
        <v>34.200000000000003</v>
      </c>
      <c r="F173" s="2">
        <v>33.1</v>
      </c>
      <c r="G173" s="2">
        <v>33.9</v>
      </c>
      <c r="H173" s="2">
        <v>33.299999999999997</v>
      </c>
      <c r="I173" s="2">
        <v>33.6</v>
      </c>
      <c r="J173" s="2">
        <v>495</v>
      </c>
      <c r="K173" s="2">
        <v>9.0549999999999997</v>
      </c>
      <c r="L173" s="9">
        <v>269468</v>
      </c>
    </row>
    <row r="174" spans="1:12">
      <c r="A174" s="2">
        <v>172</v>
      </c>
      <c r="B174" s="8">
        <v>45757</v>
      </c>
      <c r="C174" s="2" t="s">
        <v>20</v>
      </c>
      <c r="D174" s="2">
        <v>33.6</v>
      </c>
      <c r="E174" s="2">
        <v>35</v>
      </c>
      <c r="F174" s="2">
        <v>33.1</v>
      </c>
      <c r="G174" s="2">
        <v>34.5</v>
      </c>
      <c r="H174" s="2">
        <v>33.6</v>
      </c>
      <c r="I174" s="2">
        <v>34.299999999999997</v>
      </c>
      <c r="J174" s="2">
        <v>750</v>
      </c>
      <c r="K174" s="2">
        <v>22.899000000000001</v>
      </c>
      <c r="L174" s="9">
        <v>667295</v>
      </c>
    </row>
    <row r="175" spans="1:12">
      <c r="A175" s="2">
        <v>173</v>
      </c>
      <c r="B175" s="8">
        <v>45756</v>
      </c>
      <c r="C175" s="2" t="s">
        <v>20</v>
      </c>
      <c r="D175" s="2">
        <v>34.299999999999997</v>
      </c>
      <c r="E175" s="2">
        <v>35</v>
      </c>
      <c r="F175" s="2">
        <v>33.200000000000003</v>
      </c>
      <c r="G175" s="2">
        <v>33.299999999999997</v>
      </c>
      <c r="H175" s="2">
        <v>34.299999999999997</v>
      </c>
      <c r="I175" s="2">
        <v>33.4</v>
      </c>
      <c r="J175" s="9">
        <v>1236</v>
      </c>
      <c r="K175" s="2">
        <v>38.124000000000002</v>
      </c>
      <c r="L175" s="9">
        <v>1112819</v>
      </c>
    </row>
    <row r="176" spans="1:12">
      <c r="A176" s="2">
        <v>174</v>
      </c>
      <c r="B176" s="8">
        <v>45755</v>
      </c>
      <c r="C176" s="2" t="s">
        <v>20</v>
      </c>
      <c r="D176" s="2">
        <v>33.4</v>
      </c>
      <c r="E176" s="2">
        <v>33.6</v>
      </c>
      <c r="F176" s="2">
        <v>31.8</v>
      </c>
      <c r="G176" s="2">
        <v>31.8</v>
      </c>
      <c r="H176" s="2">
        <v>33.4</v>
      </c>
      <c r="I176" s="2">
        <v>31.9</v>
      </c>
      <c r="J176" s="9">
        <v>1227</v>
      </c>
      <c r="K176" s="2">
        <v>26.23</v>
      </c>
      <c r="L176" s="9">
        <v>794534</v>
      </c>
    </row>
    <row r="177" spans="1:12">
      <c r="A177" s="2">
        <v>175</v>
      </c>
      <c r="B177" s="8">
        <v>45754</v>
      </c>
      <c r="C177" s="2" t="s">
        <v>20</v>
      </c>
      <c r="D177" s="2">
        <v>31.9</v>
      </c>
      <c r="E177" s="2">
        <v>32.299999999999997</v>
      </c>
      <c r="F177" s="2">
        <v>30.5</v>
      </c>
      <c r="G177" s="2">
        <v>30.8</v>
      </c>
      <c r="H177" s="2">
        <v>31.9</v>
      </c>
      <c r="I177" s="2">
        <v>30.3</v>
      </c>
      <c r="J177" s="2">
        <v>689</v>
      </c>
      <c r="K177" s="2">
        <v>14.141999999999999</v>
      </c>
      <c r="L177" s="9">
        <v>445515</v>
      </c>
    </row>
    <row r="178" spans="1:12">
      <c r="A178" s="2">
        <v>176</v>
      </c>
      <c r="B178" s="8">
        <v>45753</v>
      </c>
      <c r="C178" s="2" t="s">
        <v>20</v>
      </c>
      <c r="D178" s="2">
        <v>30.3</v>
      </c>
      <c r="E178" s="2">
        <v>30.7</v>
      </c>
      <c r="F178" s="2">
        <v>30.1</v>
      </c>
      <c r="G178" s="2">
        <v>30.1</v>
      </c>
      <c r="H178" s="2">
        <v>30.3</v>
      </c>
      <c r="I178" s="2">
        <v>30.8</v>
      </c>
      <c r="J178" s="2">
        <v>270</v>
      </c>
      <c r="K178" s="2">
        <v>5.1429999999999998</v>
      </c>
      <c r="L178" s="9">
        <v>169311</v>
      </c>
    </row>
    <row r="179" spans="1:12">
      <c r="A179" s="2">
        <v>177</v>
      </c>
      <c r="B179" s="8">
        <v>45743</v>
      </c>
      <c r="C179" s="2" t="s">
        <v>20</v>
      </c>
      <c r="D179" s="2">
        <v>30.8</v>
      </c>
      <c r="E179" s="2">
        <v>31.2</v>
      </c>
      <c r="F179" s="2">
        <v>30.7</v>
      </c>
      <c r="G179" s="2">
        <v>30.8</v>
      </c>
      <c r="H179" s="2">
        <v>30.8</v>
      </c>
      <c r="I179" s="2">
        <v>30.8</v>
      </c>
      <c r="J179" s="2">
        <v>171</v>
      </c>
      <c r="K179" s="2">
        <v>3.7909999999999999</v>
      </c>
      <c r="L179" s="9">
        <v>122779</v>
      </c>
    </row>
    <row r="180" spans="1:12">
      <c r="A180" s="2">
        <v>178</v>
      </c>
      <c r="B180" s="8">
        <v>45741</v>
      </c>
      <c r="C180" s="2" t="s">
        <v>20</v>
      </c>
      <c r="D180" s="2">
        <v>30.8</v>
      </c>
      <c r="E180" s="2">
        <v>31.4</v>
      </c>
      <c r="F180" s="2">
        <v>30.6</v>
      </c>
      <c r="G180" s="2">
        <v>31.3</v>
      </c>
      <c r="H180" s="2">
        <v>30.8</v>
      </c>
      <c r="I180" s="2">
        <v>31</v>
      </c>
      <c r="J180" s="2">
        <v>168</v>
      </c>
      <c r="K180" s="2">
        <v>2.5539999999999998</v>
      </c>
      <c r="L180" s="9">
        <v>82634</v>
      </c>
    </row>
    <row r="181" spans="1:12">
      <c r="A181" s="2">
        <v>179</v>
      </c>
      <c r="B181" s="8">
        <v>45740</v>
      </c>
      <c r="C181" s="2" t="s">
        <v>20</v>
      </c>
      <c r="D181" s="2">
        <v>31</v>
      </c>
      <c r="E181" s="2">
        <v>31.2</v>
      </c>
      <c r="F181" s="2">
        <v>30.5</v>
      </c>
      <c r="G181" s="2">
        <v>31.2</v>
      </c>
      <c r="H181" s="2">
        <v>31</v>
      </c>
      <c r="I181" s="2">
        <v>31.2</v>
      </c>
      <c r="J181" s="2">
        <v>511</v>
      </c>
      <c r="K181" s="2">
        <v>11.763</v>
      </c>
      <c r="L181" s="9">
        <v>382967</v>
      </c>
    </row>
    <row r="182" spans="1:12">
      <c r="A182" s="2">
        <v>180</v>
      </c>
      <c r="B182" s="8">
        <v>45739</v>
      </c>
      <c r="C182" s="2" t="s">
        <v>20</v>
      </c>
      <c r="D182" s="2">
        <v>31.3</v>
      </c>
      <c r="E182" s="2">
        <v>32</v>
      </c>
      <c r="F182" s="2">
        <v>31.2</v>
      </c>
      <c r="G182" s="2">
        <v>32</v>
      </c>
      <c r="H182" s="2">
        <v>31.2</v>
      </c>
      <c r="I182" s="2">
        <v>31.9</v>
      </c>
      <c r="J182" s="2">
        <v>184</v>
      </c>
      <c r="K182" s="2">
        <v>2.5059999999999998</v>
      </c>
      <c r="L182" s="9">
        <v>79633</v>
      </c>
    </row>
    <row r="183" spans="1:12">
      <c r="A183" s="2">
        <v>181</v>
      </c>
      <c r="B183" s="8">
        <v>45736</v>
      </c>
      <c r="C183" s="2" t="s">
        <v>20</v>
      </c>
      <c r="D183" s="2">
        <v>31.9</v>
      </c>
      <c r="E183" s="2">
        <v>32.700000000000003</v>
      </c>
      <c r="F183" s="2">
        <v>31.7</v>
      </c>
      <c r="G183" s="2">
        <v>31.8</v>
      </c>
      <c r="H183" s="2">
        <v>31.9</v>
      </c>
      <c r="I183" s="2">
        <v>32.200000000000003</v>
      </c>
      <c r="J183" s="2">
        <v>396</v>
      </c>
      <c r="K183" s="2">
        <v>9.3450000000000006</v>
      </c>
      <c r="L183" s="9">
        <v>291258</v>
      </c>
    </row>
    <row r="184" spans="1:12">
      <c r="A184" s="2">
        <v>182</v>
      </c>
      <c r="B184" s="8">
        <v>45735</v>
      </c>
      <c r="C184" s="2" t="s">
        <v>20</v>
      </c>
      <c r="D184" s="2">
        <v>32.200000000000003</v>
      </c>
      <c r="E184" s="2">
        <v>32.700000000000003</v>
      </c>
      <c r="F184" s="2">
        <v>32.1</v>
      </c>
      <c r="G184" s="2">
        <v>32.700000000000003</v>
      </c>
      <c r="H184" s="2">
        <v>32.200000000000003</v>
      </c>
      <c r="I184" s="2">
        <v>32.4</v>
      </c>
      <c r="J184" s="2">
        <v>243</v>
      </c>
      <c r="K184" s="2">
        <v>5.8979999999999997</v>
      </c>
      <c r="L184" s="9">
        <v>182403</v>
      </c>
    </row>
    <row r="185" spans="1:12">
      <c r="A185" s="2">
        <v>183</v>
      </c>
      <c r="B185" s="8">
        <v>45734</v>
      </c>
      <c r="C185" s="2" t="s">
        <v>20</v>
      </c>
      <c r="D185" s="2">
        <v>32.4</v>
      </c>
      <c r="E185" s="2">
        <v>32.799999999999997</v>
      </c>
      <c r="F185" s="2">
        <v>32.200000000000003</v>
      </c>
      <c r="G185" s="2">
        <v>32.200000000000003</v>
      </c>
      <c r="H185" s="2">
        <v>32.4</v>
      </c>
      <c r="I185" s="2">
        <v>32.200000000000003</v>
      </c>
      <c r="J185" s="2">
        <v>281</v>
      </c>
      <c r="K185" s="2">
        <v>7.093</v>
      </c>
      <c r="L185" s="9">
        <v>218713</v>
      </c>
    </row>
    <row r="186" spans="1:12">
      <c r="A186" s="2">
        <v>184</v>
      </c>
      <c r="B186" s="8">
        <v>45733</v>
      </c>
      <c r="C186" s="2" t="s">
        <v>20</v>
      </c>
      <c r="D186" s="2">
        <v>32.200000000000003</v>
      </c>
      <c r="E186" s="2">
        <v>33.1</v>
      </c>
      <c r="F186" s="2">
        <v>32</v>
      </c>
      <c r="G186" s="2">
        <v>32.6</v>
      </c>
      <c r="H186" s="2">
        <v>32.200000000000003</v>
      </c>
      <c r="I186" s="2">
        <v>32.6</v>
      </c>
      <c r="J186" s="2">
        <v>289</v>
      </c>
      <c r="K186" s="2">
        <v>5.5380000000000003</v>
      </c>
      <c r="L186" s="9">
        <v>171818</v>
      </c>
    </row>
    <row r="187" spans="1:12">
      <c r="A187" s="2">
        <v>185</v>
      </c>
      <c r="B187" s="8">
        <v>45732</v>
      </c>
      <c r="C187" s="2" t="s">
        <v>20</v>
      </c>
      <c r="D187" s="2">
        <v>32.6</v>
      </c>
      <c r="E187" s="2">
        <v>33.200000000000003</v>
      </c>
      <c r="F187" s="2">
        <v>32</v>
      </c>
      <c r="G187" s="2">
        <v>33</v>
      </c>
      <c r="H187" s="2">
        <v>32.6</v>
      </c>
      <c r="I187" s="2">
        <v>32.799999999999997</v>
      </c>
      <c r="J187" s="2">
        <v>240</v>
      </c>
      <c r="K187" s="2">
        <v>6.3659999999999997</v>
      </c>
      <c r="L187" s="9">
        <v>194567</v>
      </c>
    </row>
    <row r="188" spans="1:12">
      <c r="A188" s="2">
        <v>186</v>
      </c>
      <c r="B188" s="8">
        <v>45729</v>
      </c>
      <c r="C188" s="2" t="s">
        <v>20</v>
      </c>
      <c r="D188" s="2">
        <v>32.799999999999997</v>
      </c>
      <c r="E188" s="2">
        <v>33.299999999999997</v>
      </c>
      <c r="F188" s="2">
        <v>32.6</v>
      </c>
      <c r="G188" s="2">
        <v>33.299999999999997</v>
      </c>
      <c r="H188" s="2">
        <v>32.799999999999997</v>
      </c>
      <c r="I188" s="2">
        <v>33.200000000000003</v>
      </c>
      <c r="J188" s="2">
        <v>292</v>
      </c>
      <c r="K188" s="2">
        <v>9.8520000000000003</v>
      </c>
      <c r="L188" s="9">
        <v>299013</v>
      </c>
    </row>
    <row r="189" spans="1:12">
      <c r="A189" s="2">
        <v>187</v>
      </c>
      <c r="B189" s="8">
        <v>45728</v>
      </c>
      <c r="C189" s="2" t="s">
        <v>20</v>
      </c>
      <c r="D189" s="2">
        <v>33.200000000000003</v>
      </c>
      <c r="E189" s="2">
        <v>33.799999999999997</v>
      </c>
      <c r="F189" s="2">
        <v>33.1</v>
      </c>
      <c r="G189" s="2">
        <v>33.4</v>
      </c>
      <c r="H189" s="2">
        <v>33.200000000000003</v>
      </c>
      <c r="I189" s="2">
        <v>33.200000000000003</v>
      </c>
      <c r="J189" s="2">
        <v>333</v>
      </c>
      <c r="K189" s="2">
        <v>7.1070000000000002</v>
      </c>
      <c r="L189" s="9">
        <v>212494</v>
      </c>
    </row>
    <row r="190" spans="1:12">
      <c r="A190" s="2">
        <v>188</v>
      </c>
      <c r="B190" s="8">
        <v>45727</v>
      </c>
      <c r="C190" s="2" t="s">
        <v>20</v>
      </c>
      <c r="D190" s="2">
        <v>33.200000000000003</v>
      </c>
      <c r="E190" s="2">
        <v>33.4</v>
      </c>
      <c r="F190" s="2">
        <v>32.299999999999997</v>
      </c>
      <c r="G190" s="2">
        <v>32.5</v>
      </c>
      <c r="H190" s="2">
        <v>33.200000000000003</v>
      </c>
      <c r="I190" s="2">
        <v>32.299999999999997</v>
      </c>
      <c r="J190" s="2">
        <v>301</v>
      </c>
      <c r="K190" s="2">
        <v>5.556</v>
      </c>
      <c r="L190" s="9">
        <v>169332</v>
      </c>
    </row>
    <row r="191" spans="1:12">
      <c r="A191" s="2">
        <v>189</v>
      </c>
      <c r="B191" s="8">
        <v>45726</v>
      </c>
      <c r="C191" s="2" t="s">
        <v>20</v>
      </c>
      <c r="D191" s="2">
        <v>32.299999999999997</v>
      </c>
      <c r="E191" s="2">
        <v>32.9</v>
      </c>
      <c r="F191" s="2">
        <v>32.1</v>
      </c>
      <c r="G191" s="2">
        <v>32.9</v>
      </c>
      <c r="H191" s="2">
        <v>32.299999999999997</v>
      </c>
      <c r="I191" s="2">
        <v>32.700000000000003</v>
      </c>
      <c r="J191" s="2">
        <v>246</v>
      </c>
      <c r="K191" s="2">
        <v>5.18</v>
      </c>
      <c r="L191" s="9">
        <v>159829</v>
      </c>
    </row>
    <row r="192" spans="1:12">
      <c r="A192" s="2">
        <v>190</v>
      </c>
      <c r="B192" s="8">
        <v>45725</v>
      </c>
      <c r="C192" s="2" t="s">
        <v>20</v>
      </c>
      <c r="D192" s="2">
        <v>32.700000000000003</v>
      </c>
      <c r="E192" s="2">
        <v>33.5</v>
      </c>
      <c r="F192" s="2">
        <v>32.5</v>
      </c>
      <c r="G192" s="2">
        <v>33.5</v>
      </c>
      <c r="H192" s="2">
        <v>32.700000000000003</v>
      </c>
      <c r="I192" s="2">
        <v>33</v>
      </c>
      <c r="J192" s="2">
        <v>175</v>
      </c>
      <c r="K192" s="2">
        <v>3.5840000000000001</v>
      </c>
      <c r="L192" s="9">
        <v>109013</v>
      </c>
    </row>
    <row r="193" spans="1:12">
      <c r="A193" s="2">
        <v>191</v>
      </c>
      <c r="B193" s="8">
        <v>45722</v>
      </c>
      <c r="C193" s="2" t="s">
        <v>20</v>
      </c>
      <c r="D193" s="2">
        <v>33</v>
      </c>
      <c r="E193" s="2">
        <v>33.6</v>
      </c>
      <c r="F193" s="2">
        <v>32.799999999999997</v>
      </c>
      <c r="G193" s="2">
        <v>33.4</v>
      </c>
      <c r="H193" s="2">
        <v>33</v>
      </c>
      <c r="I193" s="2">
        <v>33</v>
      </c>
      <c r="J193" s="2">
        <v>214</v>
      </c>
      <c r="K193" s="2">
        <v>4.8</v>
      </c>
      <c r="L193" s="9">
        <v>144610</v>
      </c>
    </row>
    <row r="194" spans="1:12">
      <c r="A194" s="2">
        <v>192</v>
      </c>
      <c r="B194" s="8">
        <v>45721</v>
      </c>
      <c r="C194" s="2" t="s">
        <v>20</v>
      </c>
      <c r="D194" s="2">
        <v>33</v>
      </c>
      <c r="E194" s="2">
        <v>33.700000000000003</v>
      </c>
      <c r="F194" s="2">
        <v>32.9</v>
      </c>
      <c r="G194" s="2">
        <v>33.200000000000003</v>
      </c>
      <c r="H194" s="2">
        <v>33</v>
      </c>
      <c r="I194" s="2">
        <v>33.299999999999997</v>
      </c>
      <c r="J194" s="2">
        <v>239</v>
      </c>
      <c r="K194" s="2">
        <v>4.6230000000000002</v>
      </c>
      <c r="L194" s="9">
        <v>139340</v>
      </c>
    </row>
    <row r="195" spans="1:12">
      <c r="A195" s="2">
        <v>193</v>
      </c>
      <c r="B195" s="8">
        <v>45720</v>
      </c>
      <c r="C195" s="2" t="s">
        <v>20</v>
      </c>
      <c r="D195" s="2">
        <v>33.299999999999997</v>
      </c>
      <c r="E195" s="2">
        <v>33.9</v>
      </c>
      <c r="F195" s="2">
        <v>33.200000000000003</v>
      </c>
      <c r="G195" s="2">
        <v>33.9</v>
      </c>
      <c r="H195" s="2">
        <v>33.299999999999997</v>
      </c>
      <c r="I195" s="2">
        <v>33.799999999999997</v>
      </c>
      <c r="J195" s="2">
        <v>273</v>
      </c>
      <c r="K195" s="2">
        <v>5.5579999999999998</v>
      </c>
      <c r="L195" s="9">
        <v>166454</v>
      </c>
    </row>
    <row r="196" spans="1:12">
      <c r="A196" s="2">
        <v>194</v>
      </c>
      <c r="B196" s="8">
        <v>45719</v>
      </c>
      <c r="C196" s="2" t="s">
        <v>20</v>
      </c>
      <c r="D196" s="2">
        <v>33.799999999999997</v>
      </c>
      <c r="E196" s="2">
        <v>34.299999999999997</v>
      </c>
      <c r="F196" s="2">
        <v>33.700000000000003</v>
      </c>
      <c r="G196" s="2">
        <v>34.299999999999997</v>
      </c>
      <c r="H196" s="2">
        <v>33.799999999999997</v>
      </c>
      <c r="I196" s="2">
        <v>34.200000000000003</v>
      </c>
      <c r="J196" s="2">
        <v>255</v>
      </c>
      <c r="K196" s="2">
        <v>7.1929999999999996</v>
      </c>
      <c r="L196" s="9">
        <v>211585</v>
      </c>
    </row>
    <row r="197" spans="1:12">
      <c r="A197" s="2">
        <v>195</v>
      </c>
      <c r="B197" s="8">
        <v>45718</v>
      </c>
      <c r="C197" s="2" t="s">
        <v>20</v>
      </c>
      <c r="D197" s="2">
        <v>34.200000000000003</v>
      </c>
      <c r="E197" s="2">
        <v>34.700000000000003</v>
      </c>
      <c r="F197" s="2">
        <v>34</v>
      </c>
      <c r="G197" s="2">
        <v>34.5</v>
      </c>
      <c r="H197" s="2">
        <v>34.200000000000003</v>
      </c>
      <c r="I197" s="2">
        <v>34.5</v>
      </c>
      <c r="J197" s="2">
        <v>311</v>
      </c>
      <c r="K197" s="2">
        <v>9.7789999999999999</v>
      </c>
      <c r="L197" s="9">
        <v>284907</v>
      </c>
    </row>
    <row r="198" spans="1:12">
      <c r="A198" s="2">
        <v>196</v>
      </c>
      <c r="B198" s="8">
        <v>45715</v>
      </c>
      <c r="C198" s="2" t="s">
        <v>20</v>
      </c>
      <c r="D198" s="2">
        <v>34.5</v>
      </c>
      <c r="E198" s="2">
        <v>34.799999999999997</v>
      </c>
      <c r="F198" s="2">
        <v>34</v>
      </c>
      <c r="G198" s="2">
        <v>34</v>
      </c>
      <c r="H198" s="2">
        <v>34.5</v>
      </c>
      <c r="I198" s="2">
        <v>34.5</v>
      </c>
      <c r="J198" s="2">
        <v>353</v>
      </c>
      <c r="K198" s="2">
        <v>9.9250000000000007</v>
      </c>
      <c r="L198" s="9">
        <v>287618</v>
      </c>
    </row>
    <row r="199" spans="1:12">
      <c r="A199" s="2">
        <v>197</v>
      </c>
      <c r="B199" s="8">
        <v>45714</v>
      </c>
      <c r="C199" s="2" t="s">
        <v>20</v>
      </c>
      <c r="D199" s="2">
        <v>34.5</v>
      </c>
      <c r="E199" s="2">
        <v>35.4</v>
      </c>
      <c r="F199" s="2">
        <v>34</v>
      </c>
      <c r="G199" s="2">
        <v>35.299999999999997</v>
      </c>
      <c r="H199" s="2">
        <v>34.5</v>
      </c>
      <c r="I199" s="2">
        <v>35.1</v>
      </c>
      <c r="J199" s="2">
        <v>389</v>
      </c>
      <c r="K199" s="2">
        <v>13.319000000000001</v>
      </c>
      <c r="L199" s="9">
        <v>381840</v>
      </c>
    </row>
    <row r="200" spans="1:12">
      <c r="A200" s="2">
        <v>198</v>
      </c>
      <c r="B200" s="8">
        <v>45713</v>
      </c>
      <c r="C200" s="2" t="s">
        <v>20</v>
      </c>
      <c r="D200" s="2">
        <v>35.1</v>
      </c>
      <c r="E200" s="2">
        <v>35.299999999999997</v>
      </c>
      <c r="F200" s="2">
        <v>34.1</v>
      </c>
      <c r="G200" s="2">
        <v>34.299999999999997</v>
      </c>
      <c r="H200" s="2">
        <v>35.1</v>
      </c>
      <c r="I200" s="2">
        <v>34</v>
      </c>
      <c r="J200" s="2">
        <v>892</v>
      </c>
      <c r="K200" s="2">
        <v>32.011000000000003</v>
      </c>
      <c r="L200" s="9">
        <v>920165</v>
      </c>
    </row>
    <row r="201" spans="1:12">
      <c r="A201" s="2">
        <v>199</v>
      </c>
      <c r="B201" s="8">
        <v>45712</v>
      </c>
      <c r="C201" s="2" t="s">
        <v>20</v>
      </c>
      <c r="D201" s="2">
        <v>34</v>
      </c>
      <c r="E201" s="2">
        <v>34.6</v>
      </c>
      <c r="F201" s="2">
        <v>33.799999999999997</v>
      </c>
      <c r="G201" s="2">
        <v>34.6</v>
      </c>
      <c r="H201" s="2">
        <v>34</v>
      </c>
      <c r="I201" s="2">
        <v>34.299999999999997</v>
      </c>
      <c r="J201" s="2">
        <v>480</v>
      </c>
      <c r="K201" s="2">
        <v>13.952</v>
      </c>
      <c r="L201" s="9">
        <v>408936</v>
      </c>
    </row>
    <row r="202" spans="1:12">
      <c r="A202" s="2">
        <v>200</v>
      </c>
      <c r="B202" s="8">
        <v>45711</v>
      </c>
      <c r="C202" s="2" t="s">
        <v>20</v>
      </c>
      <c r="D202" s="2">
        <v>34.299999999999997</v>
      </c>
      <c r="E202" s="2">
        <v>34.5</v>
      </c>
      <c r="F202" s="2">
        <v>33.5</v>
      </c>
      <c r="G202" s="2">
        <v>33.9</v>
      </c>
      <c r="H202" s="2">
        <v>34.299999999999997</v>
      </c>
      <c r="I202" s="2">
        <v>33.4</v>
      </c>
      <c r="J202" s="2">
        <v>383</v>
      </c>
      <c r="K202" s="2">
        <v>10.723000000000001</v>
      </c>
      <c r="L202" s="9">
        <v>315403</v>
      </c>
    </row>
    <row r="203" spans="1:12">
      <c r="A203" s="2">
        <v>201</v>
      </c>
      <c r="B203" s="8">
        <v>45708</v>
      </c>
      <c r="C203" s="2" t="s">
        <v>20</v>
      </c>
      <c r="D203" s="2">
        <v>33.4</v>
      </c>
      <c r="E203" s="2">
        <v>34.1</v>
      </c>
      <c r="F203" s="2">
        <v>33.200000000000003</v>
      </c>
      <c r="G203" s="2">
        <v>33.5</v>
      </c>
      <c r="H203" s="2">
        <v>33.4</v>
      </c>
      <c r="I203" s="2">
        <v>33.700000000000003</v>
      </c>
      <c r="J203" s="2">
        <v>260</v>
      </c>
      <c r="K203" s="2">
        <v>7.6</v>
      </c>
      <c r="L203" s="9">
        <v>227346</v>
      </c>
    </row>
    <row r="204" spans="1:12">
      <c r="A204" s="2">
        <v>202</v>
      </c>
      <c r="B204" s="8">
        <v>45707</v>
      </c>
      <c r="C204" s="2" t="s">
        <v>20</v>
      </c>
      <c r="D204" s="2">
        <v>33.700000000000003</v>
      </c>
      <c r="E204" s="2">
        <v>34.5</v>
      </c>
      <c r="F204" s="2">
        <v>33.6</v>
      </c>
      <c r="G204" s="2">
        <v>34.1</v>
      </c>
      <c r="H204" s="2">
        <v>33.700000000000003</v>
      </c>
      <c r="I204" s="2">
        <v>33.799999999999997</v>
      </c>
      <c r="J204" s="2">
        <v>293</v>
      </c>
      <c r="K204" s="2">
        <v>8.5429999999999993</v>
      </c>
      <c r="L204" s="9">
        <v>252901</v>
      </c>
    </row>
    <row r="205" spans="1:12">
      <c r="A205" s="2">
        <v>203</v>
      </c>
      <c r="B205" s="8">
        <v>45706</v>
      </c>
      <c r="C205" s="2" t="s">
        <v>20</v>
      </c>
      <c r="D205" s="2">
        <v>33.799999999999997</v>
      </c>
      <c r="E205" s="2">
        <v>34.4</v>
      </c>
      <c r="F205" s="2">
        <v>33.6</v>
      </c>
      <c r="G205" s="2">
        <v>34.1</v>
      </c>
      <c r="H205" s="2">
        <v>33.799999999999997</v>
      </c>
      <c r="I205" s="2">
        <v>34.200000000000003</v>
      </c>
      <c r="J205" s="2">
        <v>408</v>
      </c>
      <c r="K205" s="2">
        <v>10.016</v>
      </c>
      <c r="L205" s="9">
        <v>294572</v>
      </c>
    </row>
    <row r="206" spans="1:12">
      <c r="A206" s="2">
        <v>204</v>
      </c>
      <c r="B206" s="8">
        <v>45705</v>
      </c>
      <c r="C206" s="2" t="s">
        <v>20</v>
      </c>
      <c r="D206" s="2">
        <v>34.200000000000003</v>
      </c>
      <c r="E206" s="2">
        <v>34.5</v>
      </c>
      <c r="F206" s="2">
        <v>33.9</v>
      </c>
      <c r="G206" s="2">
        <v>34.4</v>
      </c>
      <c r="H206" s="2">
        <v>34.200000000000003</v>
      </c>
      <c r="I206" s="2">
        <v>34.1</v>
      </c>
      <c r="J206" s="2">
        <v>493</v>
      </c>
      <c r="K206" s="2">
        <v>15.581</v>
      </c>
      <c r="L206" s="9">
        <v>455229</v>
      </c>
    </row>
    <row r="207" spans="1:12">
      <c r="A207" s="2">
        <v>205</v>
      </c>
      <c r="B207" s="8">
        <v>45704</v>
      </c>
      <c r="C207" s="2" t="s">
        <v>20</v>
      </c>
      <c r="D207" s="2">
        <v>34.1</v>
      </c>
      <c r="E207" s="2">
        <v>34.5</v>
      </c>
      <c r="F207" s="2">
        <v>33.4</v>
      </c>
      <c r="G207" s="2">
        <v>33.799999999999997</v>
      </c>
      <c r="H207" s="2">
        <v>34.1</v>
      </c>
      <c r="I207" s="2">
        <v>33.799999999999997</v>
      </c>
      <c r="J207" s="2">
        <v>583</v>
      </c>
      <c r="K207" s="2">
        <v>13.146000000000001</v>
      </c>
      <c r="L207" s="9">
        <v>388222</v>
      </c>
    </row>
    <row r="208" spans="1:12">
      <c r="A208" s="2">
        <v>206</v>
      </c>
      <c r="B208" s="8">
        <v>45701</v>
      </c>
      <c r="C208" s="2" t="s">
        <v>20</v>
      </c>
      <c r="D208" s="2">
        <v>33.799999999999997</v>
      </c>
      <c r="E208" s="2">
        <v>34.6</v>
      </c>
      <c r="F208" s="2">
        <v>33.6</v>
      </c>
      <c r="G208" s="2">
        <v>34.200000000000003</v>
      </c>
      <c r="H208" s="2">
        <v>33.799999999999997</v>
      </c>
      <c r="I208" s="2">
        <v>34.4</v>
      </c>
      <c r="J208" s="2">
        <v>513</v>
      </c>
      <c r="K208" s="2">
        <v>10.718</v>
      </c>
      <c r="L208" s="9">
        <v>315705</v>
      </c>
    </row>
    <row r="209" spans="1:12">
      <c r="A209" s="2">
        <v>207</v>
      </c>
      <c r="B209" s="8">
        <v>45700</v>
      </c>
      <c r="C209" s="2" t="s">
        <v>20</v>
      </c>
      <c r="D209" s="2">
        <v>34.4</v>
      </c>
      <c r="E209" s="2">
        <v>35.6</v>
      </c>
      <c r="F209" s="2">
        <v>34.200000000000003</v>
      </c>
      <c r="G209" s="2">
        <v>34.700000000000003</v>
      </c>
      <c r="H209" s="2">
        <v>34.4</v>
      </c>
      <c r="I209" s="2">
        <v>34.5</v>
      </c>
      <c r="J209" s="2">
        <v>792</v>
      </c>
      <c r="K209" s="2">
        <v>23.113</v>
      </c>
      <c r="L209" s="9">
        <v>663160</v>
      </c>
    </row>
    <row r="210" spans="1:12">
      <c r="A210" s="2">
        <v>208</v>
      </c>
      <c r="B210" s="8">
        <v>45699</v>
      </c>
      <c r="C210" s="2" t="s">
        <v>20</v>
      </c>
      <c r="D210" s="2">
        <v>34.5</v>
      </c>
      <c r="E210" s="2">
        <v>35.700000000000003</v>
      </c>
      <c r="F210" s="2">
        <v>33.5</v>
      </c>
      <c r="G210" s="2">
        <v>33.700000000000003</v>
      </c>
      <c r="H210" s="2">
        <v>34.5</v>
      </c>
      <c r="I210" s="2">
        <v>33.299999999999997</v>
      </c>
      <c r="J210" s="9">
        <v>1463</v>
      </c>
      <c r="K210" s="2">
        <v>42.682000000000002</v>
      </c>
      <c r="L210" s="9">
        <v>1230040</v>
      </c>
    </row>
    <row r="211" spans="1:12">
      <c r="A211" s="2">
        <v>209</v>
      </c>
      <c r="B211" s="8">
        <v>45698</v>
      </c>
      <c r="C211" s="2" t="s">
        <v>20</v>
      </c>
      <c r="D211" s="2">
        <v>33.299999999999997</v>
      </c>
      <c r="E211" s="2">
        <v>33.6</v>
      </c>
      <c r="F211" s="2">
        <v>32</v>
      </c>
      <c r="G211" s="2">
        <v>32.9</v>
      </c>
      <c r="H211" s="2">
        <v>33.299999999999997</v>
      </c>
      <c r="I211" s="2">
        <v>32.700000000000003</v>
      </c>
      <c r="J211" s="2">
        <v>568</v>
      </c>
      <c r="K211" s="2">
        <v>11.871</v>
      </c>
      <c r="L211" s="9">
        <v>358436</v>
      </c>
    </row>
    <row r="212" spans="1:12">
      <c r="A212" s="2">
        <v>210</v>
      </c>
      <c r="B212" s="8">
        <v>45697</v>
      </c>
      <c r="C212" s="2" t="s">
        <v>20</v>
      </c>
      <c r="D212" s="2">
        <v>32.700000000000003</v>
      </c>
      <c r="E212" s="2">
        <v>34.299999999999997</v>
      </c>
      <c r="F212" s="2">
        <v>32.4</v>
      </c>
      <c r="G212" s="2">
        <v>34</v>
      </c>
      <c r="H212" s="2">
        <v>32.700000000000003</v>
      </c>
      <c r="I212" s="2">
        <v>33.700000000000003</v>
      </c>
      <c r="J212" s="2">
        <v>595</v>
      </c>
      <c r="K212" s="2">
        <v>14.367000000000001</v>
      </c>
      <c r="L212" s="9">
        <v>430775</v>
      </c>
    </row>
    <row r="213" spans="1:12">
      <c r="A213" s="2">
        <v>211</v>
      </c>
      <c r="B213" s="8">
        <v>45694</v>
      </c>
      <c r="C213" s="2" t="s">
        <v>20</v>
      </c>
      <c r="D213" s="2">
        <v>33.700000000000003</v>
      </c>
      <c r="E213" s="2">
        <v>33.9</v>
      </c>
      <c r="F213" s="2">
        <v>32</v>
      </c>
      <c r="G213" s="2">
        <v>32</v>
      </c>
      <c r="H213" s="2">
        <v>33.700000000000003</v>
      </c>
      <c r="I213" s="2">
        <v>31.9</v>
      </c>
      <c r="J213" s="9">
        <v>1325</v>
      </c>
      <c r="K213" s="2">
        <v>31.503</v>
      </c>
      <c r="L213" s="9">
        <v>952304</v>
      </c>
    </row>
    <row r="214" spans="1:12">
      <c r="A214" s="2">
        <v>212</v>
      </c>
      <c r="B214" s="8">
        <v>45693</v>
      </c>
      <c r="C214" s="2" t="s">
        <v>20</v>
      </c>
      <c r="D214" s="2">
        <v>31.9</v>
      </c>
      <c r="E214" s="2">
        <v>32</v>
      </c>
      <c r="F214" s="2">
        <v>31.5</v>
      </c>
      <c r="G214" s="2">
        <v>31.7</v>
      </c>
      <c r="H214" s="2">
        <v>31.9</v>
      </c>
      <c r="I214" s="2">
        <v>31.3</v>
      </c>
      <c r="J214" s="2">
        <v>498</v>
      </c>
      <c r="K214" s="2">
        <v>10.506</v>
      </c>
      <c r="L214" s="9">
        <v>330091</v>
      </c>
    </row>
    <row r="215" spans="1:12">
      <c r="A215" s="2">
        <v>213</v>
      </c>
      <c r="B215" s="8">
        <v>45692</v>
      </c>
      <c r="C215" s="2" t="s">
        <v>20</v>
      </c>
      <c r="D215" s="2">
        <v>31.3</v>
      </c>
      <c r="E215" s="2">
        <v>32.1</v>
      </c>
      <c r="F215" s="2">
        <v>31.2</v>
      </c>
      <c r="G215" s="2">
        <v>32</v>
      </c>
      <c r="H215" s="2">
        <v>31.3</v>
      </c>
      <c r="I215" s="2">
        <v>31.7</v>
      </c>
      <c r="J215" s="2">
        <v>507</v>
      </c>
      <c r="K215" s="2">
        <v>7.29</v>
      </c>
      <c r="L215" s="9">
        <v>231109</v>
      </c>
    </row>
    <row r="216" spans="1:12">
      <c r="A216" s="2">
        <v>214</v>
      </c>
      <c r="B216" s="8">
        <v>45691</v>
      </c>
      <c r="C216" s="2" t="s">
        <v>20</v>
      </c>
      <c r="D216" s="2">
        <v>31.7</v>
      </c>
      <c r="E216" s="2">
        <v>32.6</v>
      </c>
      <c r="F216" s="2">
        <v>31.6</v>
      </c>
      <c r="G216" s="2">
        <v>31.8</v>
      </c>
      <c r="H216" s="2">
        <v>31.7</v>
      </c>
      <c r="I216" s="2">
        <v>31.5</v>
      </c>
      <c r="J216" s="2">
        <v>497</v>
      </c>
      <c r="K216" s="2">
        <v>8.1739999999999995</v>
      </c>
      <c r="L216" s="9">
        <v>255111</v>
      </c>
    </row>
    <row r="217" spans="1:12">
      <c r="A217" s="2">
        <v>215</v>
      </c>
      <c r="B217" s="8">
        <v>45690</v>
      </c>
      <c r="C217" s="2" t="s">
        <v>20</v>
      </c>
      <c r="D217" s="2">
        <v>31.5</v>
      </c>
      <c r="E217" s="2">
        <v>32.299999999999997</v>
      </c>
      <c r="F217" s="2">
        <v>31.2</v>
      </c>
      <c r="G217" s="2">
        <v>31.7</v>
      </c>
      <c r="H217" s="2">
        <v>31.5</v>
      </c>
      <c r="I217" s="2">
        <v>31.7</v>
      </c>
      <c r="J217" s="2">
        <v>380</v>
      </c>
      <c r="K217" s="2">
        <v>6.532</v>
      </c>
      <c r="L217" s="9">
        <v>206263</v>
      </c>
    </row>
    <row r="218" spans="1:12">
      <c r="A218" s="2">
        <v>216</v>
      </c>
      <c r="B218" s="8">
        <v>45687</v>
      </c>
      <c r="C218" s="2" t="s">
        <v>20</v>
      </c>
      <c r="D218" s="2">
        <v>31.7</v>
      </c>
      <c r="E218" s="2">
        <v>32.799999999999997</v>
      </c>
      <c r="F218" s="2">
        <v>31.5</v>
      </c>
      <c r="G218" s="2">
        <v>32.700000000000003</v>
      </c>
      <c r="H218" s="2">
        <v>31.7</v>
      </c>
      <c r="I218" s="2">
        <v>32.700000000000003</v>
      </c>
      <c r="J218" s="2">
        <v>613</v>
      </c>
      <c r="K218" s="2">
        <v>12.372999999999999</v>
      </c>
      <c r="L218" s="9">
        <v>384774</v>
      </c>
    </row>
    <row r="219" spans="1:12">
      <c r="A219" s="2">
        <v>217</v>
      </c>
      <c r="B219" s="8">
        <v>45686</v>
      </c>
      <c r="C219" s="2" t="s">
        <v>20</v>
      </c>
      <c r="D219" s="2">
        <v>32.700000000000003</v>
      </c>
      <c r="E219" s="2">
        <v>33.799999999999997</v>
      </c>
      <c r="F219" s="2">
        <v>32.4</v>
      </c>
      <c r="G219" s="2">
        <v>33.799999999999997</v>
      </c>
      <c r="H219" s="2">
        <v>32.700000000000003</v>
      </c>
      <c r="I219" s="2">
        <v>33.4</v>
      </c>
      <c r="J219" s="2">
        <v>470</v>
      </c>
      <c r="K219" s="2">
        <v>8.0239999999999991</v>
      </c>
      <c r="L219" s="9">
        <v>243430</v>
      </c>
    </row>
    <row r="220" spans="1:12">
      <c r="A220" s="2">
        <v>218</v>
      </c>
      <c r="B220" s="8">
        <v>45685</v>
      </c>
      <c r="C220" s="2" t="s">
        <v>20</v>
      </c>
      <c r="D220" s="2">
        <v>33.4</v>
      </c>
      <c r="E220" s="2">
        <v>34.5</v>
      </c>
      <c r="F220" s="2">
        <v>32.799999999999997</v>
      </c>
      <c r="G220" s="2">
        <v>32.799999999999997</v>
      </c>
      <c r="H220" s="2">
        <v>33.4</v>
      </c>
      <c r="I220" s="2">
        <v>32.799999999999997</v>
      </c>
      <c r="J220" s="9">
        <v>1085</v>
      </c>
      <c r="K220" s="2">
        <v>29.183</v>
      </c>
      <c r="L220" s="9">
        <v>868102</v>
      </c>
    </row>
    <row r="221" spans="1:12">
      <c r="A221" s="2">
        <v>219</v>
      </c>
      <c r="B221" s="8">
        <v>45684</v>
      </c>
      <c r="C221" s="2" t="s">
        <v>20</v>
      </c>
      <c r="D221" s="2">
        <v>32.799999999999997</v>
      </c>
      <c r="E221" s="2">
        <v>33.9</v>
      </c>
      <c r="F221" s="2">
        <v>32.299999999999997</v>
      </c>
      <c r="G221" s="2">
        <v>33.9</v>
      </c>
      <c r="H221" s="2">
        <v>32.799999999999997</v>
      </c>
      <c r="I221" s="2">
        <v>33.799999999999997</v>
      </c>
      <c r="J221" s="2">
        <v>801</v>
      </c>
      <c r="K221" s="2">
        <v>14.77</v>
      </c>
      <c r="L221" s="9">
        <v>449816</v>
      </c>
    </row>
    <row r="222" spans="1:12">
      <c r="A222" s="2">
        <v>220</v>
      </c>
      <c r="B222" s="8">
        <v>45683</v>
      </c>
      <c r="C222" s="2" t="s">
        <v>20</v>
      </c>
      <c r="D222" s="2">
        <v>33.799999999999997</v>
      </c>
      <c r="E222" s="2">
        <v>34.9</v>
      </c>
      <c r="F222" s="2">
        <v>32.299999999999997</v>
      </c>
      <c r="G222" s="2">
        <v>32.299999999999997</v>
      </c>
      <c r="H222" s="2">
        <v>33.799999999999997</v>
      </c>
      <c r="I222" s="2">
        <v>31.8</v>
      </c>
      <c r="J222" s="9">
        <v>1717</v>
      </c>
      <c r="K222" s="2">
        <v>40.365000000000002</v>
      </c>
      <c r="L222" s="9">
        <v>1189287</v>
      </c>
    </row>
    <row r="223" spans="1:12">
      <c r="A223" s="2">
        <v>221</v>
      </c>
      <c r="B223" s="8">
        <v>45680</v>
      </c>
      <c r="C223" s="2" t="s">
        <v>20</v>
      </c>
      <c r="D223" s="2">
        <v>31.8</v>
      </c>
      <c r="E223" s="2">
        <v>32.1</v>
      </c>
      <c r="F223" s="2">
        <v>30.5</v>
      </c>
      <c r="G223" s="2">
        <v>30.6</v>
      </c>
      <c r="H223" s="2">
        <v>31.8</v>
      </c>
      <c r="I223" s="2">
        <v>30.4</v>
      </c>
      <c r="J223" s="2">
        <v>955</v>
      </c>
      <c r="K223" s="2">
        <v>18.963999999999999</v>
      </c>
      <c r="L223" s="9">
        <v>605032</v>
      </c>
    </row>
    <row r="224" spans="1:12">
      <c r="A224" s="2">
        <v>222</v>
      </c>
      <c r="B224" s="8">
        <v>45679</v>
      </c>
      <c r="C224" s="2" t="s">
        <v>20</v>
      </c>
      <c r="D224" s="2">
        <v>30.4</v>
      </c>
      <c r="E224" s="2">
        <v>31.3</v>
      </c>
      <c r="F224" s="2">
        <v>30.1</v>
      </c>
      <c r="G224" s="2">
        <v>31.3</v>
      </c>
      <c r="H224" s="2">
        <v>30.4</v>
      </c>
      <c r="I224" s="2">
        <v>30.9</v>
      </c>
      <c r="J224" s="2">
        <v>321</v>
      </c>
      <c r="K224" s="2">
        <v>6.17</v>
      </c>
      <c r="L224" s="9">
        <v>202425</v>
      </c>
    </row>
    <row r="225" spans="1:12">
      <c r="A225" s="2">
        <v>223</v>
      </c>
      <c r="B225" s="8">
        <v>45678</v>
      </c>
      <c r="C225" s="2" t="s">
        <v>20</v>
      </c>
      <c r="D225" s="2">
        <v>30.9</v>
      </c>
      <c r="E225" s="2">
        <v>32.1</v>
      </c>
      <c r="F225" s="2">
        <v>30.6</v>
      </c>
      <c r="G225" s="2">
        <v>32</v>
      </c>
      <c r="H225" s="2">
        <v>30.9</v>
      </c>
      <c r="I225" s="2">
        <v>31.4</v>
      </c>
      <c r="J225" s="2">
        <v>438</v>
      </c>
      <c r="K225" s="2">
        <v>9.2620000000000005</v>
      </c>
      <c r="L225" s="9">
        <v>294879</v>
      </c>
    </row>
    <row r="226" spans="1:12">
      <c r="A226" s="2">
        <v>224</v>
      </c>
      <c r="B226" s="8">
        <v>45677</v>
      </c>
      <c r="C226" s="2" t="s">
        <v>20</v>
      </c>
      <c r="D226" s="2">
        <v>31.4</v>
      </c>
      <c r="E226" s="2">
        <v>31.8</v>
      </c>
      <c r="F226" s="2">
        <v>29.5</v>
      </c>
      <c r="G226" s="2">
        <v>29.5</v>
      </c>
      <c r="H226" s="2">
        <v>31.4</v>
      </c>
      <c r="I226" s="2">
        <v>29.4</v>
      </c>
      <c r="J226" s="2">
        <v>726</v>
      </c>
      <c r="K226" s="2">
        <v>11.618</v>
      </c>
      <c r="L226" s="9">
        <v>376211</v>
      </c>
    </row>
    <row r="227" spans="1:12">
      <c r="A227" s="2">
        <v>225</v>
      </c>
      <c r="B227" s="8">
        <v>45676</v>
      </c>
      <c r="C227" s="2" t="s">
        <v>20</v>
      </c>
      <c r="D227" s="2">
        <v>29.4</v>
      </c>
      <c r="E227" s="2">
        <v>32</v>
      </c>
      <c r="F227" s="2">
        <v>29.3</v>
      </c>
      <c r="G227" s="2">
        <v>31.9</v>
      </c>
      <c r="H227" s="2">
        <v>29.4</v>
      </c>
      <c r="I227" s="2">
        <v>30.2</v>
      </c>
      <c r="J227" s="2">
        <v>428</v>
      </c>
      <c r="K227" s="2">
        <v>5.5869999999999997</v>
      </c>
      <c r="L227" s="9">
        <v>187999</v>
      </c>
    </row>
    <row r="228" spans="1:12">
      <c r="A228" s="2">
        <v>226</v>
      </c>
      <c r="B228" s="8">
        <v>45673</v>
      </c>
      <c r="C228" s="2" t="s">
        <v>20</v>
      </c>
      <c r="D228" s="2">
        <v>30.2</v>
      </c>
      <c r="E228" s="2">
        <v>31</v>
      </c>
      <c r="F228" s="2">
        <v>30.1</v>
      </c>
      <c r="G228" s="2">
        <v>30.8</v>
      </c>
      <c r="H228" s="2">
        <v>30.2</v>
      </c>
      <c r="I228" s="2">
        <v>30.8</v>
      </c>
      <c r="J228" s="2">
        <v>262</v>
      </c>
      <c r="K228" s="2">
        <v>2.8940000000000001</v>
      </c>
      <c r="L228" s="9">
        <v>94973</v>
      </c>
    </row>
    <row r="229" spans="1:12">
      <c r="A229" s="2">
        <v>227</v>
      </c>
      <c r="B229" s="8">
        <v>45672</v>
      </c>
      <c r="C229" s="2" t="s">
        <v>20</v>
      </c>
      <c r="D229" s="2">
        <v>30.8</v>
      </c>
      <c r="E229" s="2">
        <v>31.2</v>
      </c>
      <c r="F229" s="2">
        <v>30.3</v>
      </c>
      <c r="G229" s="2">
        <v>30.8</v>
      </c>
      <c r="H229" s="2">
        <v>30.8</v>
      </c>
      <c r="I229" s="2">
        <v>30.5</v>
      </c>
      <c r="J229" s="2">
        <v>199</v>
      </c>
      <c r="K229" s="2">
        <v>3.8290000000000002</v>
      </c>
      <c r="L229" s="9">
        <v>124494</v>
      </c>
    </row>
    <row r="230" spans="1:12">
      <c r="A230" s="2">
        <v>228</v>
      </c>
      <c r="B230" s="8">
        <v>45671</v>
      </c>
      <c r="C230" s="2" t="s">
        <v>20</v>
      </c>
      <c r="D230" s="2">
        <v>30.5</v>
      </c>
      <c r="E230" s="2">
        <v>31.5</v>
      </c>
      <c r="F230" s="2">
        <v>30.3</v>
      </c>
      <c r="G230" s="2">
        <v>30.5</v>
      </c>
      <c r="H230" s="2">
        <v>30.5</v>
      </c>
      <c r="I230" s="2">
        <v>30.2</v>
      </c>
      <c r="J230" s="2">
        <v>305</v>
      </c>
      <c r="K230" s="2">
        <v>4.8339999999999996</v>
      </c>
      <c r="L230" s="9">
        <v>157028</v>
      </c>
    </row>
    <row r="231" spans="1:12">
      <c r="A231" s="2">
        <v>229</v>
      </c>
      <c r="B231" s="8">
        <v>45670</v>
      </c>
      <c r="C231" s="2" t="s">
        <v>20</v>
      </c>
      <c r="D231" s="2">
        <v>30.2</v>
      </c>
      <c r="E231" s="2">
        <v>30.8</v>
      </c>
      <c r="F231" s="2">
        <v>30.1</v>
      </c>
      <c r="G231" s="2">
        <v>30.8</v>
      </c>
      <c r="H231" s="2">
        <v>30.2</v>
      </c>
      <c r="I231" s="2">
        <v>30.2</v>
      </c>
      <c r="J231" s="2">
        <v>137</v>
      </c>
      <c r="K231" s="2">
        <v>1.8879999999999999</v>
      </c>
      <c r="L231" s="9">
        <v>62234</v>
      </c>
    </row>
    <row r="232" spans="1:12">
      <c r="A232" s="2">
        <v>230</v>
      </c>
      <c r="B232" s="8">
        <v>45669</v>
      </c>
      <c r="C232" s="2" t="s">
        <v>20</v>
      </c>
      <c r="D232" s="2">
        <v>30.2</v>
      </c>
      <c r="E232" s="2">
        <v>31.7</v>
      </c>
      <c r="F232" s="2">
        <v>30</v>
      </c>
      <c r="G232" s="2">
        <v>31</v>
      </c>
      <c r="H232" s="2">
        <v>30.2</v>
      </c>
      <c r="I232" s="2">
        <v>31.2</v>
      </c>
      <c r="J232" s="2">
        <v>498</v>
      </c>
      <c r="K232" s="2">
        <v>8.391</v>
      </c>
      <c r="L232" s="9">
        <v>275991</v>
      </c>
    </row>
    <row r="233" spans="1:12">
      <c r="A233" s="2">
        <v>231</v>
      </c>
      <c r="B233" s="8">
        <v>45666</v>
      </c>
      <c r="C233" s="2" t="s">
        <v>20</v>
      </c>
      <c r="D233" s="2">
        <v>31.5</v>
      </c>
      <c r="E233" s="2">
        <v>31.9</v>
      </c>
      <c r="F233" s="2">
        <v>31</v>
      </c>
      <c r="G233" s="2">
        <v>31.5</v>
      </c>
      <c r="H233" s="2">
        <v>31.2</v>
      </c>
      <c r="I233" s="2">
        <v>31.5</v>
      </c>
      <c r="J233" s="2">
        <v>176</v>
      </c>
      <c r="K233" s="2">
        <v>2.5049999999999999</v>
      </c>
      <c r="L233" s="9">
        <v>80164</v>
      </c>
    </row>
    <row r="234" spans="1:12">
      <c r="A234" s="2">
        <v>232</v>
      </c>
      <c r="B234" s="8">
        <v>45665</v>
      </c>
      <c r="C234" s="2" t="s">
        <v>20</v>
      </c>
      <c r="D234" s="2">
        <v>31.5</v>
      </c>
      <c r="E234" s="2">
        <v>32.200000000000003</v>
      </c>
      <c r="F234" s="2">
        <v>31.4</v>
      </c>
      <c r="G234" s="2">
        <v>31.6</v>
      </c>
      <c r="H234" s="2">
        <v>31.5</v>
      </c>
      <c r="I234" s="2">
        <v>31.8</v>
      </c>
      <c r="J234" s="2">
        <v>194</v>
      </c>
      <c r="K234" s="2">
        <v>3.427</v>
      </c>
      <c r="L234" s="9">
        <v>108169</v>
      </c>
    </row>
    <row r="235" spans="1:12">
      <c r="A235" s="2">
        <v>233</v>
      </c>
      <c r="B235" s="8">
        <v>45664</v>
      </c>
      <c r="C235" s="2" t="s">
        <v>20</v>
      </c>
      <c r="D235" s="2">
        <v>31.8</v>
      </c>
      <c r="E235" s="2">
        <v>32.299999999999997</v>
      </c>
      <c r="F235" s="2">
        <v>31.7</v>
      </c>
      <c r="G235" s="2">
        <v>32.299999999999997</v>
      </c>
      <c r="H235" s="2">
        <v>31.8</v>
      </c>
      <c r="I235" s="2">
        <v>31.8</v>
      </c>
      <c r="J235" s="2">
        <v>200</v>
      </c>
      <c r="K235" s="2">
        <v>3.6019999999999999</v>
      </c>
      <c r="L235" s="9">
        <v>113038</v>
      </c>
    </row>
    <row r="236" spans="1:12">
      <c r="A236" s="2">
        <v>234</v>
      </c>
      <c r="B236" s="8">
        <v>45663</v>
      </c>
      <c r="C236" s="2" t="s">
        <v>20</v>
      </c>
      <c r="D236" s="2">
        <v>31.8</v>
      </c>
      <c r="E236" s="2">
        <v>32.200000000000003</v>
      </c>
      <c r="F236" s="2">
        <v>31.5</v>
      </c>
      <c r="G236" s="2">
        <v>31.8</v>
      </c>
      <c r="H236" s="2">
        <v>31.8</v>
      </c>
      <c r="I236" s="2">
        <v>31.6</v>
      </c>
      <c r="J236" s="2">
        <v>234</v>
      </c>
      <c r="K236" s="2">
        <v>5.0759999999999996</v>
      </c>
      <c r="L236" s="9">
        <v>159855</v>
      </c>
    </row>
    <row r="237" spans="1:12">
      <c r="A237" s="2">
        <v>235</v>
      </c>
      <c r="B237" s="8">
        <v>45662</v>
      </c>
      <c r="C237" s="2" t="s">
        <v>20</v>
      </c>
      <c r="D237" s="2">
        <v>31.6</v>
      </c>
      <c r="E237" s="2">
        <v>32.799999999999997</v>
      </c>
      <c r="F237" s="2">
        <v>31.1</v>
      </c>
      <c r="G237" s="2">
        <v>32.5</v>
      </c>
      <c r="H237" s="2">
        <v>31.6</v>
      </c>
      <c r="I237" s="2">
        <v>32.700000000000003</v>
      </c>
      <c r="J237" s="2">
        <v>175</v>
      </c>
      <c r="K237" s="2">
        <v>2.67</v>
      </c>
      <c r="L237" s="9">
        <v>83254</v>
      </c>
    </row>
    <row r="238" spans="1:12">
      <c r="A238" s="2">
        <v>236</v>
      </c>
      <c r="B238" s="8">
        <v>45659</v>
      </c>
      <c r="C238" s="2" t="s">
        <v>20</v>
      </c>
      <c r="D238" s="2">
        <v>32.700000000000003</v>
      </c>
      <c r="E238" s="2">
        <v>33.200000000000003</v>
      </c>
      <c r="F238" s="2">
        <v>32.6</v>
      </c>
      <c r="G238" s="2">
        <v>32.9</v>
      </c>
      <c r="H238" s="2">
        <v>32.700000000000003</v>
      </c>
      <c r="I238" s="2">
        <v>32.9</v>
      </c>
      <c r="J238" s="2">
        <v>128</v>
      </c>
      <c r="K238" s="2">
        <v>2.0249999999999999</v>
      </c>
      <c r="L238" s="9">
        <v>61846</v>
      </c>
    </row>
    <row r="239" spans="1:12">
      <c r="A239" s="2">
        <v>237</v>
      </c>
      <c r="B239" s="8">
        <v>45658</v>
      </c>
      <c r="C239" s="2" t="s">
        <v>20</v>
      </c>
      <c r="D239" s="2">
        <v>32.9</v>
      </c>
      <c r="E239" s="2">
        <v>33.5</v>
      </c>
      <c r="F239" s="2">
        <v>32.700000000000003</v>
      </c>
      <c r="G239" s="2">
        <v>33.5</v>
      </c>
      <c r="H239" s="2">
        <v>32.9</v>
      </c>
      <c r="I239" s="2">
        <v>33.1</v>
      </c>
      <c r="J239" s="2">
        <v>127</v>
      </c>
      <c r="K239" s="2">
        <v>1.532</v>
      </c>
      <c r="L239" s="9">
        <v>46386</v>
      </c>
    </row>
    <row r="240" spans="1:12">
      <c r="A240" s="2">
        <v>238</v>
      </c>
      <c r="B240" s="8">
        <v>45656</v>
      </c>
      <c r="C240" s="2" t="s">
        <v>20</v>
      </c>
      <c r="D240" s="2">
        <v>33.1</v>
      </c>
      <c r="E240" s="2">
        <v>33.799999999999997</v>
      </c>
      <c r="F240" s="2">
        <v>33</v>
      </c>
      <c r="G240" s="2">
        <v>33.200000000000003</v>
      </c>
      <c r="H240" s="2">
        <v>33.1</v>
      </c>
      <c r="I240" s="2">
        <v>33.4</v>
      </c>
      <c r="J240" s="2">
        <v>247</v>
      </c>
      <c r="K240" s="2">
        <v>3.79</v>
      </c>
      <c r="L240" s="9">
        <v>113906</v>
      </c>
    </row>
    <row r="241" spans="1:12">
      <c r="A241" s="2">
        <v>239</v>
      </c>
      <c r="B241" s="8">
        <v>45655</v>
      </c>
      <c r="C241" s="2" t="s">
        <v>20</v>
      </c>
      <c r="D241" s="2">
        <v>33.4</v>
      </c>
      <c r="E241" s="2">
        <v>33.9</v>
      </c>
      <c r="F241" s="2">
        <v>33.1</v>
      </c>
      <c r="G241" s="2">
        <v>33.1</v>
      </c>
      <c r="H241" s="2">
        <v>33.4</v>
      </c>
      <c r="I241" s="2">
        <v>33</v>
      </c>
      <c r="J241" s="2">
        <v>202</v>
      </c>
      <c r="K241" s="2">
        <v>3.8290000000000002</v>
      </c>
      <c r="L241" s="9">
        <v>114075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7A49-F4B9-4E30-8DD9-970F93ED0A3A}">
  <dimension ref="A1:L241"/>
  <sheetViews>
    <sheetView topLeftCell="A229" workbookViewId="0">
      <selection activeCell="D3" sqref="D3:D241"/>
    </sheetView>
  </sheetViews>
  <sheetFormatPr defaultRowHeight="14.25"/>
  <sheetData>
    <row r="1" spans="1:12" ht="30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8.5">
      <c r="A3" s="3">
        <v>1</v>
      </c>
      <c r="B3" s="4">
        <v>46015</v>
      </c>
      <c r="C3" s="5" t="s">
        <v>21</v>
      </c>
      <c r="D3" s="6">
        <v>160.5</v>
      </c>
      <c r="E3" s="6">
        <v>164</v>
      </c>
      <c r="F3" s="6">
        <v>148.19999999999999</v>
      </c>
      <c r="G3" s="6">
        <v>149.80000000000001</v>
      </c>
      <c r="H3" s="6">
        <v>160.5</v>
      </c>
      <c r="I3" s="6">
        <v>150.69999999999999</v>
      </c>
      <c r="J3" s="7">
        <v>4593</v>
      </c>
      <c r="K3" s="6">
        <v>129.785</v>
      </c>
      <c r="L3" s="7">
        <v>834973</v>
      </c>
    </row>
    <row r="4" spans="1:12" ht="28.5">
      <c r="A4" s="3">
        <v>2</v>
      </c>
      <c r="B4" s="4">
        <v>46014</v>
      </c>
      <c r="C4" s="5" t="s">
        <v>21</v>
      </c>
      <c r="D4" s="6">
        <v>150.69999999999999</v>
      </c>
      <c r="E4" s="6">
        <v>155.9</v>
      </c>
      <c r="F4" s="6">
        <v>149.4</v>
      </c>
      <c r="G4" s="6">
        <v>151</v>
      </c>
      <c r="H4" s="6">
        <v>150.69999999999999</v>
      </c>
      <c r="I4" s="6">
        <v>155</v>
      </c>
      <c r="J4" s="7">
        <v>3409</v>
      </c>
      <c r="K4" s="6">
        <v>92.271000000000001</v>
      </c>
      <c r="L4" s="7">
        <v>605081</v>
      </c>
    </row>
    <row r="5" spans="1:12" ht="28.5">
      <c r="A5" s="3">
        <v>3</v>
      </c>
      <c r="B5" s="4">
        <v>46013</v>
      </c>
      <c r="C5" s="5" t="s">
        <v>21</v>
      </c>
      <c r="D5" s="6">
        <v>155</v>
      </c>
      <c r="E5" s="6">
        <v>160</v>
      </c>
      <c r="F5" s="6">
        <v>152.30000000000001</v>
      </c>
      <c r="G5" s="6">
        <v>153</v>
      </c>
      <c r="H5" s="6">
        <v>155</v>
      </c>
      <c r="I5" s="6">
        <v>149.30000000000001</v>
      </c>
      <c r="J5" s="7">
        <v>3190</v>
      </c>
      <c r="K5" s="6">
        <v>98.055000000000007</v>
      </c>
      <c r="L5" s="7">
        <v>628536</v>
      </c>
    </row>
    <row r="6" spans="1:12" ht="28.5">
      <c r="A6" s="3">
        <v>4</v>
      </c>
      <c r="B6" s="4">
        <v>46012</v>
      </c>
      <c r="C6" s="5" t="s">
        <v>21</v>
      </c>
      <c r="D6" s="6">
        <v>149.30000000000001</v>
      </c>
      <c r="E6" s="6">
        <v>152.1</v>
      </c>
      <c r="F6" s="6">
        <v>140.30000000000001</v>
      </c>
      <c r="G6" s="6">
        <v>145</v>
      </c>
      <c r="H6" s="6">
        <v>149.30000000000001</v>
      </c>
      <c r="I6" s="6">
        <v>138.30000000000001</v>
      </c>
      <c r="J6" s="7">
        <v>3717</v>
      </c>
      <c r="K6" s="6">
        <v>126.45099999999999</v>
      </c>
      <c r="L6" s="7">
        <v>869234</v>
      </c>
    </row>
    <row r="7" spans="1:12" ht="28.5">
      <c r="A7" s="3">
        <v>5</v>
      </c>
      <c r="B7" s="4">
        <v>46009</v>
      </c>
      <c r="C7" s="5" t="s">
        <v>21</v>
      </c>
      <c r="D7" s="6">
        <v>138.30000000000001</v>
      </c>
      <c r="E7" s="6">
        <v>142</v>
      </c>
      <c r="F7" s="6">
        <v>137.30000000000001</v>
      </c>
      <c r="G7" s="6">
        <v>140</v>
      </c>
      <c r="H7" s="6">
        <v>138.30000000000001</v>
      </c>
      <c r="I7" s="6">
        <v>139.19999999999999</v>
      </c>
      <c r="J7" s="7">
        <v>1447</v>
      </c>
      <c r="K7" s="6">
        <v>32.165999999999997</v>
      </c>
      <c r="L7" s="7">
        <v>231283</v>
      </c>
    </row>
    <row r="8" spans="1:12" ht="28.5">
      <c r="A8" s="3">
        <v>6</v>
      </c>
      <c r="B8" s="4">
        <v>46008</v>
      </c>
      <c r="C8" s="5" t="s">
        <v>21</v>
      </c>
      <c r="D8" s="6">
        <v>139.19999999999999</v>
      </c>
      <c r="E8" s="6">
        <v>145.69999999999999</v>
      </c>
      <c r="F8" s="6">
        <v>138.5</v>
      </c>
      <c r="G8" s="6">
        <v>145</v>
      </c>
      <c r="H8" s="6">
        <v>139.19999999999999</v>
      </c>
      <c r="I8" s="6">
        <v>144.80000000000001</v>
      </c>
      <c r="J8" s="7">
        <v>1905</v>
      </c>
      <c r="K8" s="6">
        <v>55.124000000000002</v>
      </c>
      <c r="L8" s="7">
        <v>387469</v>
      </c>
    </row>
    <row r="9" spans="1:12" ht="28.5">
      <c r="A9" s="3">
        <v>7</v>
      </c>
      <c r="B9" s="4">
        <v>46006</v>
      </c>
      <c r="C9" s="5" t="s">
        <v>21</v>
      </c>
      <c r="D9" s="6">
        <v>144.80000000000001</v>
      </c>
      <c r="E9" s="6">
        <v>151</v>
      </c>
      <c r="F9" s="6">
        <v>144</v>
      </c>
      <c r="G9" s="6">
        <v>144.5</v>
      </c>
      <c r="H9" s="6">
        <v>144.80000000000001</v>
      </c>
      <c r="I9" s="6">
        <v>144.19999999999999</v>
      </c>
      <c r="J9" s="7">
        <v>3357</v>
      </c>
      <c r="K9" s="6">
        <v>97.867999999999995</v>
      </c>
      <c r="L9" s="7">
        <v>660659</v>
      </c>
    </row>
    <row r="10" spans="1:12" ht="28.5">
      <c r="A10" s="3">
        <v>8</v>
      </c>
      <c r="B10" s="4">
        <v>46005</v>
      </c>
      <c r="C10" s="5" t="s">
        <v>21</v>
      </c>
      <c r="D10" s="6">
        <v>144.19999999999999</v>
      </c>
      <c r="E10" s="6">
        <v>145.6</v>
      </c>
      <c r="F10" s="6">
        <v>138.9</v>
      </c>
      <c r="G10" s="6">
        <v>139.30000000000001</v>
      </c>
      <c r="H10" s="6">
        <v>144.19999999999999</v>
      </c>
      <c r="I10" s="6">
        <v>138.30000000000001</v>
      </c>
      <c r="J10" s="7">
        <v>2656</v>
      </c>
      <c r="K10" s="6">
        <v>81.781999999999996</v>
      </c>
      <c r="L10" s="7">
        <v>572403</v>
      </c>
    </row>
    <row r="11" spans="1:12" ht="28.5">
      <c r="A11" s="3">
        <v>9</v>
      </c>
      <c r="B11" s="4">
        <v>46002</v>
      </c>
      <c r="C11" s="5" t="s">
        <v>21</v>
      </c>
      <c r="D11" s="6">
        <v>138.30000000000001</v>
      </c>
      <c r="E11" s="6">
        <v>139.69999999999999</v>
      </c>
      <c r="F11" s="6">
        <v>135</v>
      </c>
      <c r="G11" s="6">
        <v>137</v>
      </c>
      <c r="H11" s="6">
        <v>138.30000000000001</v>
      </c>
      <c r="I11" s="6">
        <v>135.9</v>
      </c>
      <c r="J11" s="7">
        <v>1677</v>
      </c>
      <c r="K11" s="6">
        <v>35.308</v>
      </c>
      <c r="L11" s="7">
        <v>255844</v>
      </c>
    </row>
    <row r="12" spans="1:12" ht="28.5">
      <c r="A12" s="3">
        <v>10</v>
      </c>
      <c r="B12" s="4">
        <v>46001</v>
      </c>
      <c r="C12" s="5" t="s">
        <v>21</v>
      </c>
      <c r="D12" s="6">
        <v>135.9</v>
      </c>
      <c r="E12" s="6">
        <v>143.69999999999999</v>
      </c>
      <c r="F12" s="6">
        <v>135</v>
      </c>
      <c r="G12" s="6">
        <v>140</v>
      </c>
      <c r="H12" s="6">
        <v>135.9</v>
      </c>
      <c r="I12" s="6">
        <v>139.5</v>
      </c>
      <c r="J12" s="7">
        <v>2112</v>
      </c>
      <c r="K12" s="6">
        <v>51.075000000000003</v>
      </c>
      <c r="L12" s="7">
        <v>367850</v>
      </c>
    </row>
    <row r="13" spans="1:12" ht="28.5">
      <c r="A13" s="3">
        <v>11</v>
      </c>
      <c r="B13" s="4">
        <v>46000</v>
      </c>
      <c r="C13" s="5" t="s">
        <v>21</v>
      </c>
      <c r="D13" s="6">
        <v>139.5</v>
      </c>
      <c r="E13" s="6">
        <v>144.69999999999999</v>
      </c>
      <c r="F13" s="6">
        <v>138.6</v>
      </c>
      <c r="G13" s="6">
        <v>142</v>
      </c>
      <c r="H13" s="6">
        <v>139.5</v>
      </c>
      <c r="I13" s="6">
        <v>138.6</v>
      </c>
      <c r="J13" s="7">
        <v>2471</v>
      </c>
      <c r="K13" s="6">
        <v>66.444999999999993</v>
      </c>
      <c r="L13" s="7">
        <v>469277</v>
      </c>
    </row>
    <row r="14" spans="1:12" ht="28.5">
      <c r="A14" s="3">
        <v>12</v>
      </c>
      <c r="B14" s="4">
        <v>45999</v>
      </c>
      <c r="C14" s="5" t="s">
        <v>21</v>
      </c>
      <c r="D14" s="6">
        <v>138.6</v>
      </c>
      <c r="E14" s="6">
        <v>138.6</v>
      </c>
      <c r="F14" s="6">
        <v>126.7</v>
      </c>
      <c r="G14" s="6">
        <v>126.7</v>
      </c>
      <c r="H14" s="6">
        <v>138.6</v>
      </c>
      <c r="I14" s="6">
        <v>126</v>
      </c>
      <c r="J14" s="7">
        <v>2107</v>
      </c>
      <c r="K14" s="6">
        <v>50.499000000000002</v>
      </c>
      <c r="L14" s="7">
        <v>371805</v>
      </c>
    </row>
    <row r="15" spans="1:12" ht="28.5">
      <c r="A15" s="3">
        <v>13</v>
      </c>
      <c r="B15" s="4">
        <v>45998</v>
      </c>
      <c r="C15" s="5" t="s">
        <v>21</v>
      </c>
      <c r="D15" s="6">
        <v>126</v>
      </c>
      <c r="E15" s="6">
        <v>129.5</v>
      </c>
      <c r="F15" s="6">
        <v>123.8</v>
      </c>
      <c r="G15" s="6">
        <v>128</v>
      </c>
      <c r="H15" s="6">
        <v>126</v>
      </c>
      <c r="I15" s="6">
        <v>126.9</v>
      </c>
      <c r="J15" s="7">
        <v>1064</v>
      </c>
      <c r="K15" s="6">
        <v>20.184000000000001</v>
      </c>
      <c r="L15" s="7">
        <v>159805</v>
      </c>
    </row>
    <row r="16" spans="1:12" ht="28.5">
      <c r="A16" s="3">
        <v>14</v>
      </c>
      <c r="B16" s="4">
        <v>45995</v>
      </c>
      <c r="C16" s="5" t="s">
        <v>21</v>
      </c>
      <c r="D16" s="6">
        <v>126.9</v>
      </c>
      <c r="E16" s="6">
        <v>137.4</v>
      </c>
      <c r="F16" s="6">
        <v>124.7</v>
      </c>
      <c r="G16" s="6">
        <v>136</v>
      </c>
      <c r="H16" s="6">
        <v>126.9</v>
      </c>
      <c r="I16" s="6">
        <v>135.6</v>
      </c>
      <c r="J16" s="7">
        <v>2153</v>
      </c>
      <c r="K16" s="6">
        <v>49.930999999999997</v>
      </c>
      <c r="L16" s="7">
        <v>383371</v>
      </c>
    </row>
    <row r="17" spans="1:12" ht="28.5">
      <c r="A17" s="3">
        <v>15</v>
      </c>
      <c r="B17" s="4">
        <v>45994</v>
      </c>
      <c r="C17" s="5" t="s">
        <v>21</v>
      </c>
      <c r="D17" s="6">
        <v>135.6</v>
      </c>
      <c r="E17" s="6">
        <v>141.69999999999999</v>
      </c>
      <c r="F17" s="6">
        <v>135.1</v>
      </c>
      <c r="G17" s="6">
        <v>138.69999999999999</v>
      </c>
      <c r="H17" s="6">
        <v>135.6</v>
      </c>
      <c r="I17" s="6">
        <v>137.4</v>
      </c>
      <c r="J17" s="7">
        <v>1695</v>
      </c>
      <c r="K17" s="6">
        <v>43.040999999999997</v>
      </c>
      <c r="L17" s="7">
        <v>311445</v>
      </c>
    </row>
    <row r="18" spans="1:12" ht="28.5">
      <c r="A18" s="3">
        <v>16</v>
      </c>
      <c r="B18" s="4">
        <v>45993</v>
      </c>
      <c r="C18" s="5" t="s">
        <v>21</v>
      </c>
      <c r="D18" s="6">
        <v>137.4</v>
      </c>
      <c r="E18" s="6">
        <v>144.6</v>
      </c>
      <c r="F18" s="6">
        <v>135.1</v>
      </c>
      <c r="G18" s="6">
        <v>141</v>
      </c>
      <c r="H18" s="6">
        <v>137.4</v>
      </c>
      <c r="I18" s="6">
        <v>139.1</v>
      </c>
      <c r="J18" s="7">
        <v>2243</v>
      </c>
      <c r="K18" s="6">
        <v>53.97</v>
      </c>
      <c r="L18" s="7">
        <v>386062</v>
      </c>
    </row>
    <row r="19" spans="1:12" ht="28.5">
      <c r="A19" s="3">
        <v>17</v>
      </c>
      <c r="B19" s="4">
        <v>45992</v>
      </c>
      <c r="C19" s="5" t="s">
        <v>21</v>
      </c>
      <c r="D19" s="6">
        <v>139.1</v>
      </c>
      <c r="E19" s="6">
        <v>146.9</v>
      </c>
      <c r="F19" s="6">
        <v>136</v>
      </c>
      <c r="G19" s="6">
        <v>141</v>
      </c>
      <c r="H19" s="6">
        <v>139.1</v>
      </c>
      <c r="I19" s="6">
        <v>142.6</v>
      </c>
      <c r="J19" s="7">
        <v>3079</v>
      </c>
      <c r="K19" s="6">
        <v>89.21</v>
      </c>
      <c r="L19" s="7">
        <v>634392</v>
      </c>
    </row>
    <row r="20" spans="1:12" ht="28.5">
      <c r="A20" s="3">
        <v>18</v>
      </c>
      <c r="B20" s="4">
        <v>45991</v>
      </c>
      <c r="C20" s="5" t="s">
        <v>21</v>
      </c>
      <c r="D20" s="6">
        <v>142.6</v>
      </c>
      <c r="E20" s="6">
        <v>145</v>
      </c>
      <c r="F20" s="6">
        <v>139</v>
      </c>
      <c r="G20" s="6">
        <v>139</v>
      </c>
      <c r="H20" s="6">
        <v>142.6</v>
      </c>
      <c r="I20" s="6">
        <v>135</v>
      </c>
      <c r="J20" s="7">
        <v>2911</v>
      </c>
      <c r="K20" s="6">
        <v>85.653999999999996</v>
      </c>
      <c r="L20" s="7">
        <v>601534</v>
      </c>
    </row>
    <row r="21" spans="1:12" ht="28.5">
      <c r="A21" s="3">
        <v>19</v>
      </c>
      <c r="B21" s="4">
        <v>45988</v>
      </c>
      <c r="C21" s="5" t="s">
        <v>21</v>
      </c>
      <c r="D21" s="6">
        <v>135</v>
      </c>
      <c r="E21" s="6">
        <v>135</v>
      </c>
      <c r="F21" s="6">
        <v>123.2</v>
      </c>
      <c r="G21" s="6">
        <v>123.2</v>
      </c>
      <c r="H21" s="6">
        <v>135</v>
      </c>
      <c r="I21" s="6">
        <v>122.8</v>
      </c>
      <c r="J21" s="7">
        <v>1971</v>
      </c>
      <c r="K21" s="6">
        <v>91.573999999999998</v>
      </c>
      <c r="L21" s="7">
        <v>687881</v>
      </c>
    </row>
    <row r="22" spans="1:12" ht="28.5">
      <c r="A22" s="3">
        <v>20</v>
      </c>
      <c r="B22" s="4">
        <v>45987</v>
      </c>
      <c r="C22" s="5" t="s">
        <v>21</v>
      </c>
      <c r="D22" s="6">
        <v>122.8</v>
      </c>
      <c r="E22" s="6">
        <v>125</v>
      </c>
      <c r="F22" s="6">
        <v>120.6</v>
      </c>
      <c r="G22" s="6">
        <v>121</v>
      </c>
      <c r="H22" s="6">
        <v>122.8</v>
      </c>
      <c r="I22" s="6">
        <v>121.4</v>
      </c>
      <c r="J22" s="7">
        <v>1356</v>
      </c>
      <c r="K22" s="6">
        <v>37.482999999999997</v>
      </c>
      <c r="L22" s="7">
        <v>306098</v>
      </c>
    </row>
    <row r="23" spans="1:12" ht="28.5">
      <c r="A23" s="3">
        <v>21</v>
      </c>
      <c r="B23" s="4">
        <v>45986</v>
      </c>
      <c r="C23" s="5" t="s">
        <v>21</v>
      </c>
      <c r="D23" s="6">
        <v>121.4</v>
      </c>
      <c r="E23" s="6">
        <v>128</v>
      </c>
      <c r="F23" s="6">
        <v>120.5</v>
      </c>
      <c r="G23" s="6">
        <v>125.5</v>
      </c>
      <c r="H23" s="6">
        <v>121.4</v>
      </c>
      <c r="I23" s="6">
        <v>123.6</v>
      </c>
      <c r="J23" s="7">
        <v>1830</v>
      </c>
      <c r="K23" s="6">
        <v>41.216000000000001</v>
      </c>
      <c r="L23" s="7">
        <v>332085</v>
      </c>
    </row>
    <row r="24" spans="1:12" ht="28.5">
      <c r="A24" s="3">
        <v>22</v>
      </c>
      <c r="B24" s="4">
        <v>45985</v>
      </c>
      <c r="C24" s="5" t="s">
        <v>21</v>
      </c>
      <c r="D24" s="6">
        <v>123.6</v>
      </c>
      <c r="E24" s="6">
        <v>127.5</v>
      </c>
      <c r="F24" s="6">
        <v>122.1</v>
      </c>
      <c r="G24" s="6">
        <v>124</v>
      </c>
      <c r="H24" s="6">
        <v>123.6</v>
      </c>
      <c r="I24" s="6">
        <v>124</v>
      </c>
      <c r="J24" s="7">
        <v>1815</v>
      </c>
      <c r="K24" s="6">
        <v>36.149000000000001</v>
      </c>
      <c r="L24" s="7">
        <v>290882</v>
      </c>
    </row>
    <row r="25" spans="1:12" ht="28.5">
      <c r="A25" s="3">
        <v>23</v>
      </c>
      <c r="B25" s="4">
        <v>45984</v>
      </c>
      <c r="C25" s="5" t="s">
        <v>21</v>
      </c>
      <c r="D25" s="6">
        <v>124</v>
      </c>
      <c r="E25" s="6">
        <v>126.7</v>
      </c>
      <c r="F25" s="6">
        <v>114.6</v>
      </c>
      <c r="G25" s="6">
        <v>120.5</v>
      </c>
      <c r="H25" s="6">
        <v>124</v>
      </c>
      <c r="I25" s="6">
        <v>118.5</v>
      </c>
      <c r="J25" s="7">
        <v>2906</v>
      </c>
      <c r="K25" s="6">
        <v>55.783999999999999</v>
      </c>
      <c r="L25" s="7">
        <v>457067</v>
      </c>
    </row>
    <row r="26" spans="1:12" ht="28.5">
      <c r="A26" s="3">
        <v>24</v>
      </c>
      <c r="B26" s="4">
        <v>45981</v>
      </c>
      <c r="C26" s="5" t="s">
        <v>21</v>
      </c>
      <c r="D26" s="6">
        <v>118.5</v>
      </c>
      <c r="E26" s="6">
        <v>118.5</v>
      </c>
      <c r="F26" s="6">
        <v>110.8</v>
      </c>
      <c r="G26" s="6">
        <v>110.8</v>
      </c>
      <c r="H26" s="6">
        <v>118.5</v>
      </c>
      <c r="I26" s="6">
        <v>107.8</v>
      </c>
      <c r="J26" s="7">
        <v>2208</v>
      </c>
      <c r="K26" s="6">
        <v>52.973999999999997</v>
      </c>
      <c r="L26" s="7">
        <v>455684</v>
      </c>
    </row>
    <row r="27" spans="1:12" ht="28.5">
      <c r="A27" s="3">
        <v>25</v>
      </c>
      <c r="B27" s="4">
        <v>45980</v>
      </c>
      <c r="C27" s="5" t="s">
        <v>21</v>
      </c>
      <c r="D27" s="6">
        <v>107.8</v>
      </c>
      <c r="E27" s="6">
        <v>107.8</v>
      </c>
      <c r="F27" s="6">
        <v>100</v>
      </c>
      <c r="G27" s="6">
        <v>100</v>
      </c>
      <c r="H27" s="6">
        <v>107.8</v>
      </c>
      <c r="I27" s="6">
        <v>98</v>
      </c>
      <c r="J27" s="6">
        <v>749</v>
      </c>
      <c r="K27" s="6">
        <v>24.786000000000001</v>
      </c>
      <c r="L27" s="7">
        <v>235077</v>
      </c>
    </row>
    <row r="28" spans="1:12" ht="28.5">
      <c r="A28" s="3">
        <v>26</v>
      </c>
      <c r="B28" s="4">
        <v>45979</v>
      </c>
      <c r="C28" s="5" t="s">
        <v>21</v>
      </c>
      <c r="D28" s="6">
        <v>0</v>
      </c>
      <c r="E28" s="6">
        <v>0</v>
      </c>
      <c r="F28" s="6">
        <v>0</v>
      </c>
      <c r="G28" s="6">
        <v>0</v>
      </c>
      <c r="H28" s="6">
        <v>98</v>
      </c>
      <c r="I28" s="6">
        <v>98</v>
      </c>
      <c r="J28" s="6">
        <v>0</v>
      </c>
      <c r="K28" s="6">
        <v>0</v>
      </c>
      <c r="L28" s="6">
        <v>0</v>
      </c>
    </row>
    <row r="29" spans="1:12" ht="28.5">
      <c r="A29" s="3">
        <v>27</v>
      </c>
      <c r="B29" s="4">
        <v>45978</v>
      </c>
      <c r="C29" s="5" t="s">
        <v>21</v>
      </c>
      <c r="D29" s="6">
        <v>98</v>
      </c>
      <c r="E29" s="6">
        <v>100</v>
      </c>
      <c r="F29" s="6">
        <v>92.2</v>
      </c>
      <c r="G29" s="6">
        <v>95.5</v>
      </c>
      <c r="H29" s="6">
        <v>98</v>
      </c>
      <c r="I29" s="6">
        <v>95.4</v>
      </c>
      <c r="J29" s="6">
        <v>870</v>
      </c>
      <c r="K29" s="6">
        <v>11.353999999999999</v>
      </c>
      <c r="L29" s="7">
        <v>116850</v>
      </c>
    </row>
    <row r="30" spans="1:12" ht="28.5">
      <c r="A30" s="3">
        <v>28</v>
      </c>
      <c r="B30" s="4">
        <v>45977</v>
      </c>
      <c r="C30" s="5" t="s">
        <v>21</v>
      </c>
      <c r="D30" s="6">
        <v>96.1</v>
      </c>
      <c r="E30" s="6">
        <v>96.9</v>
      </c>
      <c r="F30" s="6">
        <v>88.4</v>
      </c>
      <c r="G30" s="6">
        <v>96.9</v>
      </c>
      <c r="H30" s="6">
        <v>95.4</v>
      </c>
      <c r="I30" s="6">
        <v>94.5</v>
      </c>
      <c r="J30" s="6">
        <v>869</v>
      </c>
      <c r="K30" s="6">
        <v>8.2880000000000003</v>
      </c>
      <c r="L30" s="7">
        <v>89948</v>
      </c>
    </row>
    <row r="31" spans="1:12" ht="28.5">
      <c r="A31" s="3">
        <v>29</v>
      </c>
      <c r="B31" s="4">
        <v>45974</v>
      </c>
      <c r="C31" s="5" t="s">
        <v>21</v>
      </c>
      <c r="D31" s="6">
        <v>94.5</v>
      </c>
      <c r="E31" s="6">
        <v>104</v>
      </c>
      <c r="F31" s="6">
        <v>93.1</v>
      </c>
      <c r="G31" s="6">
        <v>104</v>
      </c>
      <c r="H31" s="6">
        <v>94.5</v>
      </c>
      <c r="I31" s="6">
        <v>103.4</v>
      </c>
      <c r="J31" s="7">
        <v>1009</v>
      </c>
      <c r="K31" s="6">
        <v>17.041</v>
      </c>
      <c r="L31" s="7">
        <v>174994</v>
      </c>
    </row>
    <row r="32" spans="1:12" ht="28.5">
      <c r="A32" s="3">
        <v>30</v>
      </c>
      <c r="B32" s="4">
        <v>45973</v>
      </c>
      <c r="C32" s="5" t="s">
        <v>21</v>
      </c>
      <c r="D32" s="6">
        <v>103.4</v>
      </c>
      <c r="E32" s="6">
        <v>109.8</v>
      </c>
      <c r="F32" s="6">
        <v>101</v>
      </c>
      <c r="G32" s="6">
        <v>107.6</v>
      </c>
      <c r="H32" s="6">
        <v>103.4</v>
      </c>
      <c r="I32" s="6">
        <v>107.6</v>
      </c>
      <c r="J32" s="6">
        <v>769</v>
      </c>
      <c r="K32" s="6">
        <v>9.2769999999999992</v>
      </c>
      <c r="L32" s="7">
        <v>88636</v>
      </c>
    </row>
    <row r="33" spans="1:12" ht="28.5">
      <c r="A33" s="3">
        <v>31</v>
      </c>
      <c r="B33" s="4">
        <v>45972</v>
      </c>
      <c r="C33" s="5" t="s">
        <v>21</v>
      </c>
      <c r="D33" s="6">
        <v>107.6</v>
      </c>
      <c r="E33" s="6">
        <v>113.9</v>
      </c>
      <c r="F33" s="6">
        <v>106.8</v>
      </c>
      <c r="G33" s="6">
        <v>109.4</v>
      </c>
      <c r="H33" s="6">
        <v>107.6</v>
      </c>
      <c r="I33" s="6">
        <v>109.1</v>
      </c>
      <c r="J33" s="6">
        <v>882</v>
      </c>
      <c r="K33" s="6">
        <v>12.734999999999999</v>
      </c>
      <c r="L33" s="7">
        <v>115098</v>
      </c>
    </row>
    <row r="34" spans="1:12" ht="28.5">
      <c r="A34" s="3">
        <v>32</v>
      </c>
      <c r="B34" s="4">
        <v>45971</v>
      </c>
      <c r="C34" s="5" t="s">
        <v>21</v>
      </c>
      <c r="D34" s="6">
        <v>109.1</v>
      </c>
      <c r="E34" s="6">
        <v>115</v>
      </c>
      <c r="F34" s="6">
        <v>103.7</v>
      </c>
      <c r="G34" s="6">
        <v>107</v>
      </c>
      <c r="H34" s="6">
        <v>109.1</v>
      </c>
      <c r="I34" s="6">
        <v>107.3</v>
      </c>
      <c r="J34" s="6">
        <v>939</v>
      </c>
      <c r="K34" s="6">
        <v>14.275</v>
      </c>
      <c r="L34" s="7">
        <v>131682</v>
      </c>
    </row>
    <row r="35" spans="1:12" ht="28.5">
      <c r="A35" s="3">
        <v>33</v>
      </c>
      <c r="B35" s="4">
        <v>45970</v>
      </c>
      <c r="C35" s="5" t="s">
        <v>21</v>
      </c>
      <c r="D35" s="6">
        <v>107.3</v>
      </c>
      <c r="E35" s="6">
        <v>117.9</v>
      </c>
      <c r="F35" s="6">
        <v>105.2</v>
      </c>
      <c r="G35" s="6">
        <v>117</v>
      </c>
      <c r="H35" s="6">
        <v>107.3</v>
      </c>
      <c r="I35" s="6">
        <v>116.1</v>
      </c>
      <c r="J35" s="7">
        <v>1119</v>
      </c>
      <c r="K35" s="6">
        <v>22.245000000000001</v>
      </c>
      <c r="L35" s="7">
        <v>198550</v>
      </c>
    </row>
    <row r="36" spans="1:12" ht="28.5">
      <c r="A36" s="3">
        <v>34</v>
      </c>
      <c r="B36" s="4">
        <v>45967</v>
      </c>
      <c r="C36" s="5" t="s">
        <v>21</v>
      </c>
      <c r="D36" s="6">
        <v>116.1</v>
      </c>
      <c r="E36" s="6">
        <v>119.5</v>
      </c>
      <c r="F36" s="6">
        <v>112</v>
      </c>
      <c r="G36" s="6">
        <v>119.3</v>
      </c>
      <c r="H36" s="6">
        <v>116.1</v>
      </c>
      <c r="I36" s="6">
        <v>119.2</v>
      </c>
      <c r="J36" s="7">
        <v>1143</v>
      </c>
      <c r="K36" s="6">
        <v>20.637</v>
      </c>
      <c r="L36" s="7">
        <v>177275</v>
      </c>
    </row>
    <row r="37" spans="1:12" ht="28.5">
      <c r="A37" s="3">
        <v>35</v>
      </c>
      <c r="B37" s="4">
        <v>45966</v>
      </c>
      <c r="C37" s="5" t="s">
        <v>21</v>
      </c>
      <c r="D37" s="6">
        <v>119.2</v>
      </c>
      <c r="E37" s="6">
        <v>127.9</v>
      </c>
      <c r="F37" s="6">
        <v>118.1</v>
      </c>
      <c r="G37" s="6">
        <v>126.2</v>
      </c>
      <c r="H37" s="6">
        <v>119.2</v>
      </c>
      <c r="I37" s="6">
        <v>126.2</v>
      </c>
      <c r="J37" s="7">
        <v>1992</v>
      </c>
      <c r="K37" s="6">
        <v>45.341999999999999</v>
      </c>
      <c r="L37" s="7">
        <v>371940</v>
      </c>
    </row>
    <row r="38" spans="1:12" ht="28.5">
      <c r="A38" s="3">
        <v>36</v>
      </c>
      <c r="B38" s="4">
        <v>45965</v>
      </c>
      <c r="C38" s="5" t="s">
        <v>21</v>
      </c>
      <c r="D38" s="6">
        <v>126.2</v>
      </c>
      <c r="E38" s="6">
        <v>135.19999999999999</v>
      </c>
      <c r="F38" s="6">
        <v>124.1</v>
      </c>
      <c r="G38" s="6">
        <v>132</v>
      </c>
      <c r="H38" s="6">
        <v>126.2</v>
      </c>
      <c r="I38" s="6">
        <v>131.9</v>
      </c>
      <c r="J38" s="7">
        <v>1711</v>
      </c>
      <c r="K38" s="6">
        <v>36.241999999999997</v>
      </c>
      <c r="L38" s="7">
        <v>278957</v>
      </c>
    </row>
    <row r="39" spans="1:12" ht="28.5">
      <c r="A39" s="3">
        <v>37</v>
      </c>
      <c r="B39" s="4">
        <v>45964</v>
      </c>
      <c r="C39" s="5" t="s">
        <v>21</v>
      </c>
      <c r="D39" s="6">
        <v>131.9</v>
      </c>
      <c r="E39" s="6">
        <v>136</v>
      </c>
      <c r="F39" s="6">
        <v>131.30000000000001</v>
      </c>
      <c r="G39" s="6">
        <v>131.69999999999999</v>
      </c>
      <c r="H39" s="6">
        <v>131.9</v>
      </c>
      <c r="I39" s="6">
        <v>131.19999999999999</v>
      </c>
      <c r="J39" s="7">
        <v>1539</v>
      </c>
      <c r="K39" s="6">
        <v>37.345999999999997</v>
      </c>
      <c r="L39" s="7">
        <v>280698</v>
      </c>
    </row>
    <row r="40" spans="1:12" ht="28.5">
      <c r="A40" s="3">
        <v>38</v>
      </c>
      <c r="B40" s="4">
        <v>45963</v>
      </c>
      <c r="C40" s="5" t="s">
        <v>21</v>
      </c>
      <c r="D40" s="6">
        <v>131.19999999999999</v>
      </c>
      <c r="E40" s="6">
        <v>137.80000000000001</v>
      </c>
      <c r="F40" s="6">
        <v>130.30000000000001</v>
      </c>
      <c r="G40" s="6">
        <v>136.30000000000001</v>
      </c>
      <c r="H40" s="6">
        <v>131.19999999999999</v>
      </c>
      <c r="I40" s="6">
        <v>136.1</v>
      </c>
      <c r="J40" s="7">
        <v>1668</v>
      </c>
      <c r="K40" s="6">
        <v>44.142000000000003</v>
      </c>
      <c r="L40" s="7">
        <v>331246</v>
      </c>
    </row>
    <row r="41" spans="1:12" ht="28.5">
      <c r="A41" s="3">
        <v>39</v>
      </c>
      <c r="B41" s="4">
        <v>45960</v>
      </c>
      <c r="C41" s="5" t="s">
        <v>21</v>
      </c>
      <c r="D41" s="6">
        <v>136.1</v>
      </c>
      <c r="E41" s="6">
        <v>141.5</v>
      </c>
      <c r="F41" s="6">
        <v>135.1</v>
      </c>
      <c r="G41" s="6">
        <v>139.80000000000001</v>
      </c>
      <c r="H41" s="6">
        <v>136.1</v>
      </c>
      <c r="I41" s="6">
        <v>137.4</v>
      </c>
      <c r="J41" s="7">
        <v>1209</v>
      </c>
      <c r="K41" s="6">
        <v>30.579000000000001</v>
      </c>
      <c r="L41" s="7">
        <v>222413</v>
      </c>
    </row>
    <row r="42" spans="1:12" ht="28.5">
      <c r="A42" s="3">
        <v>40</v>
      </c>
      <c r="B42" s="4">
        <v>45959</v>
      </c>
      <c r="C42" s="5" t="s">
        <v>21</v>
      </c>
      <c r="D42" s="6">
        <v>137.4</v>
      </c>
      <c r="E42" s="6">
        <v>140.30000000000001</v>
      </c>
      <c r="F42" s="6">
        <v>130</v>
      </c>
      <c r="G42" s="6">
        <v>133</v>
      </c>
      <c r="H42" s="6">
        <v>137.4</v>
      </c>
      <c r="I42" s="6">
        <v>130</v>
      </c>
      <c r="J42" s="7">
        <v>1427</v>
      </c>
      <c r="K42" s="6">
        <v>41.030999999999999</v>
      </c>
      <c r="L42" s="7">
        <v>301456</v>
      </c>
    </row>
    <row r="43" spans="1:12" ht="28.5">
      <c r="A43" s="3">
        <v>41</v>
      </c>
      <c r="B43" s="4">
        <v>45958</v>
      </c>
      <c r="C43" s="5" t="s">
        <v>21</v>
      </c>
      <c r="D43" s="6">
        <v>130</v>
      </c>
      <c r="E43" s="6">
        <v>137.5</v>
      </c>
      <c r="F43" s="6">
        <v>129</v>
      </c>
      <c r="G43" s="6">
        <v>129.5</v>
      </c>
      <c r="H43" s="6">
        <v>130</v>
      </c>
      <c r="I43" s="6">
        <v>133.1</v>
      </c>
      <c r="J43" s="7">
        <v>1494</v>
      </c>
      <c r="K43" s="6">
        <v>39.475999999999999</v>
      </c>
      <c r="L43" s="7">
        <v>297600</v>
      </c>
    </row>
    <row r="44" spans="1:12" ht="28.5">
      <c r="A44" s="3">
        <v>42</v>
      </c>
      <c r="B44" s="4">
        <v>45957</v>
      </c>
      <c r="C44" s="5" t="s">
        <v>21</v>
      </c>
      <c r="D44" s="6">
        <v>133.1</v>
      </c>
      <c r="E44" s="6">
        <v>136</v>
      </c>
      <c r="F44" s="6">
        <v>132</v>
      </c>
      <c r="G44" s="6">
        <v>136</v>
      </c>
      <c r="H44" s="6">
        <v>133.1</v>
      </c>
      <c r="I44" s="6">
        <v>135.80000000000001</v>
      </c>
      <c r="J44" s="6">
        <v>912</v>
      </c>
      <c r="K44" s="6">
        <v>22.263999999999999</v>
      </c>
      <c r="L44" s="7">
        <v>166730</v>
      </c>
    </row>
    <row r="45" spans="1:12" ht="28.5">
      <c r="A45" s="3">
        <v>43</v>
      </c>
      <c r="B45" s="4">
        <v>45956</v>
      </c>
      <c r="C45" s="5" t="s">
        <v>21</v>
      </c>
      <c r="D45" s="6">
        <v>135.80000000000001</v>
      </c>
      <c r="E45" s="6">
        <v>141.69999999999999</v>
      </c>
      <c r="F45" s="6">
        <v>134.19999999999999</v>
      </c>
      <c r="G45" s="6">
        <v>139</v>
      </c>
      <c r="H45" s="6">
        <v>135.80000000000001</v>
      </c>
      <c r="I45" s="6">
        <v>138.30000000000001</v>
      </c>
      <c r="J45" s="7">
        <v>1731</v>
      </c>
      <c r="K45" s="6">
        <v>39.737000000000002</v>
      </c>
      <c r="L45" s="7">
        <v>288144</v>
      </c>
    </row>
    <row r="46" spans="1:12" ht="28.5">
      <c r="A46" s="3">
        <v>44</v>
      </c>
      <c r="B46" s="4">
        <v>45953</v>
      </c>
      <c r="C46" s="5" t="s">
        <v>21</v>
      </c>
      <c r="D46" s="6">
        <v>138.30000000000001</v>
      </c>
      <c r="E46" s="6">
        <v>139.9</v>
      </c>
      <c r="F46" s="6">
        <v>127.9</v>
      </c>
      <c r="G46" s="6">
        <v>130</v>
      </c>
      <c r="H46" s="6">
        <v>138.30000000000001</v>
      </c>
      <c r="I46" s="6">
        <v>128.1</v>
      </c>
      <c r="J46" s="7">
        <v>2088</v>
      </c>
      <c r="K46" s="6">
        <v>45.261000000000003</v>
      </c>
      <c r="L46" s="7">
        <v>336224</v>
      </c>
    </row>
    <row r="47" spans="1:12" ht="28.5">
      <c r="A47" s="3">
        <v>45</v>
      </c>
      <c r="B47" s="4">
        <v>45952</v>
      </c>
      <c r="C47" s="5" t="s">
        <v>21</v>
      </c>
      <c r="D47" s="6">
        <v>128.1</v>
      </c>
      <c r="E47" s="6">
        <v>131.6</v>
      </c>
      <c r="F47" s="6">
        <v>125</v>
      </c>
      <c r="G47" s="6">
        <v>128.9</v>
      </c>
      <c r="H47" s="6">
        <v>128.1</v>
      </c>
      <c r="I47" s="6">
        <v>128.6</v>
      </c>
      <c r="J47" s="7">
        <v>1501</v>
      </c>
      <c r="K47" s="6">
        <v>25.870999999999999</v>
      </c>
      <c r="L47" s="7">
        <v>202022</v>
      </c>
    </row>
    <row r="48" spans="1:12" ht="28.5">
      <c r="A48" s="3">
        <v>46</v>
      </c>
      <c r="B48" s="4">
        <v>45951</v>
      </c>
      <c r="C48" s="5" t="s">
        <v>21</v>
      </c>
      <c r="D48" s="6">
        <v>128.6</v>
      </c>
      <c r="E48" s="6">
        <v>141.80000000000001</v>
      </c>
      <c r="F48" s="6">
        <v>125.9</v>
      </c>
      <c r="G48" s="6">
        <v>137</v>
      </c>
      <c r="H48" s="6">
        <v>128.6</v>
      </c>
      <c r="I48" s="6">
        <v>135.69999999999999</v>
      </c>
      <c r="J48" s="7">
        <v>1891</v>
      </c>
      <c r="K48" s="6">
        <v>35.598999999999997</v>
      </c>
      <c r="L48" s="7">
        <v>264435</v>
      </c>
    </row>
    <row r="49" spans="1:12" ht="28.5">
      <c r="A49" s="3">
        <v>47</v>
      </c>
      <c r="B49" s="4">
        <v>45950</v>
      </c>
      <c r="C49" s="5" t="s">
        <v>21</v>
      </c>
      <c r="D49" s="6">
        <v>135.69999999999999</v>
      </c>
      <c r="E49" s="6">
        <v>137</v>
      </c>
      <c r="F49" s="6">
        <v>126.1</v>
      </c>
      <c r="G49" s="6">
        <v>131.5</v>
      </c>
      <c r="H49" s="6">
        <v>135.69999999999999</v>
      </c>
      <c r="I49" s="6">
        <v>131.80000000000001</v>
      </c>
      <c r="J49" s="7">
        <v>1976</v>
      </c>
      <c r="K49" s="6">
        <v>40.225999999999999</v>
      </c>
      <c r="L49" s="7">
        <v>302765</v>
      </c>
    </row>
    <row r="50" spans="1:12" ht="28.5">
      <c r="A50" s="3">
        <v>48</v>
      </c>
      <c r="B50" s="4">
        <v>45949</v>
      </c>
      <c r="C50" s="5" t="s">
        <v>21</v>
      </c>
      <c r="D50" s="6">
        <v>131.80000000000001</v>
      </c>
      <c r="E50" s="6">
        <v>144.9</v>
      </c>
      <c r="F50" s="6">
        <v>129.80000000000001</v>
      </c>
      <c r="G50" s="6">
        <v>144.9</v>
      </c>
      <c r="H50" s="6">
        <v>131.80000000000001</v>
      </c>
      <c r="I50" s="6">
        <v>144</v>
      </c>
      <c r="J50" s="7">
        <v>1863</v>
      </c>
      <c r="K50" s="6">
        <v>50.384999999999998</v>
      </c>
      <c r="L50" s="7">
        <v>367985</v>
      </c>
    </row>
    <row r="51" spans="1:12" ht="28.5">
      <c r="A51" s="3">
        <v>49</v>
      </c>
      <c r="B51" s="4">
        <v>45946</v>
      </c>
      <c r="C51" s="5" t="s">
        <v>21</v>
      </c>
      <c r="D51" s="6">
        <v>144</v>
      </c>
      <c r="E51" s="6">
        <v>150.30000000000001</v>
      </c>
      <c r="F51" s="6">
        <v>143.19999999999999</v>
      </c>
      <c r="G51" s="6">
        <v>147.19999999999999</v>
      </c>
      <c r="H51" s="6">
        <v>144</v>
      </c>
      <c r="I51" s="6">
        <v>145.9</v>
      </c>
      <c r="J51" s="7">
        <v>1705</v>
      </c>
      <c r="K51" s="6">
        <v>40.286999999999999</v>
      </c>
      <c r="L51" s="7">
        <v>275877</v>
      </c>
    </row>
    <row r="52" spans="1:12" ht="28.5">
      <c r="A52" s="3">
        <v>50</v>
      </c>
      <c r="B52" s="4">
        <v>45945</v>
      </c>
      <c r="C52" s="5" t="s">
        <v>21</v>
      </c>
      <c r="D52" s="6">
        <v>145.9</v>
      </c>
      <c r="E52" s="6">
        <v>150.9</v>
      </c>
      <c r="F52" s="6">
        <v>143.19999999999999</v>
      </c>
      <c r="G52" s="6">
        <v>145.9</v>
      </c>
      <c r="H52" s="6">
        <v>145.9</v>
      </c>
      <c r="I52" s="6">
        <v>144.1</v>
      </c>
      <c r="J52" s="7">
        <v>2116</v>
      </c>
      <c r="K52" s="6">
        <v>45.252000000000002</v>
      </c>
      <c r="L52" s="7">
        <v>307318</v>
      </c>
    </row>
    <row r="53" spans="1:12" ht="28.5">
      <c r="A53" s="3">
        <v>51</v>
      </c>
      <c r="B53" s="4">
        <v>45944</v>
      </c>
      <c r="C53" s="5" t="s">
        <v>21</v>
      </c>
      <c r="D53" s="6">
        <v>144.1</v>
      </c>
      <c r="E53" s="6">
        <v>152.80000000000001</v>
      </c>
      <c r="F53" s="6">
        <v>142.80000000000001</v>
      </c>
      <c r="G53" s="6">
        <v>149.5</v>
      </c>
      <c r="H53" s="6">
        <v>144.1</v>
      </c>
      <c r="I53" s="6">
        <v>148.30000000000001</v>
      </c>
      <c r="J53" s="7">
        <v>2652</v>
      </c>
      <c r="K53" s="6">
        <v>64.802999999999997</v>
      </c>
      <c r="L53" s="7">
        <v>440387</v>
      </c>
    </row>
    <row r="54" spans="1:12" ht="28.5">
      <c r="A54" s="3">
        <v>52</v>
      </c>
      <c r="B54" s="4">
        <v>45943</v>
      </c>
      <c r="C54" s="5" t="s">
        <v>21</v>
      </c>
      <c r="D54" s="6">
        <v>148.30000000000001</v>
      </c>
      <c r="E54" s="6">
        <v>160</v>
      </c>
      <c r="F54" s="6">
        <v>147.5</v>
      </c>
      <c r="G54" s="6">
        <v>159.9</v>
      </c>
      <c r="H54" s="6">
        <v>148.30000000000001</v>
      </c>
      <c r="I54" s="6">
        <v>157.1</v>
      </c>
      <c r="J54" s="7">
        <v>3229</v>
      </c>
      <c r="K54" s="6">
        <v>87.774000000000001</v>
      </c>
      <c r="L54" s="7">
        <v>574825</v>
      </c>
    </row>
    <row r="55" spans="1:12" ht="28.5">
      <c r="A55" s="3">
        <v>53</v>
      </c>
      <c r="B55" s="4">
        <v>45942</v>
      </c>
      <c r="C55" s="5" t="s">
        <v>21</v>
      </c>
      <c r="D55" s="6">
        <v>157.1</v>
      </c>
      <c r="E55" s="6">
        <v>164.8</v>
      </c>
      <c r="F55" s="6">
        <v>155.30000000000001</v>
      </c>
      <c r="G55" s="6">
        <v>156.30000000000001</v>
      </c>
      <c r="H55" s="6">
        <v>157.1</v>
      </c>
      <c r="I55" s="6">
        <v>154.4</v>
      </c>
      <c r="J55" s="7">
        <v>3655</v>
      </c>
      <c r="K55" s="6">
        <v>127.214</v>
      </c>
      <c r="L55" s="7">
        <v>793032</v>
      </c>
    </row>
    <row r="56" spans="1:12" ht="28.5">
      <c r="A56" s="3">
        <v>54</v>
      </c>
      <c r="B56" s="4">
        <v>45939</v>
      </c>
      <c r="C56" s="5" t="s">
        <v>21</v>
      </c>
      <c r="D56" s="6">
        <v>154.4</v>
      </c>
      <c r="E56" s="6">
        <v>155.5</v>
      </c>
      <c r="F56" s="6">
        <v>143.4</v>
      </c>
      <c r="G56" s="6">
        <v>145.9</v>
      </c>
      <c r="H56" s="6">
        <v>154.4</v>
      </c>
      <c r="I56" s="6">
        <v>141.6</v>
      </c>
      <c r="J56" s="7">
        <v>4368</v>
      </c>
      <c r="K56" s="6">
        <v>148.81100000000001</v>
      </c>
      <c r="L56" s="7">
        <v>982460</v>
      </c>
    </row>
    <row r="57" spans="1:12" ht="28.5">
      <c r="A57" s="3">
        <v>55</v>
      </c>
      <c r="B57" s="4">
        <v>45938</v>
      </c>
      <c r="C57" s="5" t="s">
        <v>21</v>
      </c>
      <c r="D57" s="6">
        <v>141.6</v>
      </c>
      <c r="E57" s="6">
        <v>149.80000000000001</v>
      </c>
      <c r="F57" s="6">
        <v>140.9</v>
      </c>
      <c r="G57" s="6">
        <v>146</v>
      </c>
      <c r="H57" s="6">
        <v>141.6</v>
      </c>
      <c r="I57" s="6">
        <v>144.9</v>
      </c>
      <c r="J57" s="7">
        <v>2030</v>
      </c>
      <c r="K57" s="6">
        <v>60.838000000000001</v>
      </c>
      <c r="L57" s="7">
        <v>416621</v>
      </c>
    </row>
    <row r="58" spans="1:12" ht="28.5">
      <c r="A58" s="3">
        <v>56</v>
      </c>
      <c r="B58" s="4">
        <v>45937</v>
      </c>
      <c r="C58" s="5" t="s">
        <v>21</v>
      </c>
      <c r="D58" s="6">
        <v>144.9</v>
      </c>
      <c r="E58" s="6">
        <v>151.9</v>
      </c>
      <c r="F58" s="6">
        <v>141</v>
      </c>
      <c r="G58" s="6">
        <v>143.5</v>
      </c>
      <c r="H58" s="6">
        <v>144.9</v>
      </c>
      <c r="I58" s="6">
        <v>143.30000000000001</v>
      </c>
      <c r="J58" s="7">
        <v>3336</v>
      </c>
      <c r="K58" s="6">
        <v>114.002</v>
      </c>
      <c r="L58" s="7">
        <v>772960</v>
      </c>
    </row>
    <row r="59" spans="1:12" ht="28.5">
      <c r="A59" s="3">
        <v>57</v>
      </c>
      <c r="B59" s="4">
        <v>45936</v>
      </c>
      <c r="C59" s="5" t="s">
        <v>21</v>
      </c>
      <c r="D59" s="6">
        <v>143.30000000000001</v>
      </c>
      <c r="E59" s="6">
        <v>147.5</v>
      </c>
      <c r="F59" s="6">
        <v>140.19999999999999</v>
      </c>
      <c r="G59" s="6">
        <v>140.19999999999999</v>
      </c>
      <c r="H59" s="6">
        <v>143.30000000000001</v>
      </c>
      <c r="I59" s="6">
        <v>139.4</v>
      </c>
      <c r="J59" s="7">
        <v>2798</v>
      </c>
      <c r="K59" s="6">
        <v>72.864000000000004</v>
      </c>
      <c r="L59" s="7">
        <v>501346</v>
      </c>
    </row>
    <row r="60" spans="1:12" ht="28.5">
      <c r="A60" s="3">
        <v>58</v>
      </c>
      <c r="B60" s="4">
        <v>45935</v>
      </c>
      <c r="C60" s="5" t="s">
        <v>21</v>
      </c>
      <c r="D60" s="6">
        <v>139.4</v>
      </c>
      <c r="E60" s="6">
        <v>141.19999999999999</v>
      </c>
      <c r="F60" s="6">
        <v>131.6</v>
      </c>
      <c r="G60" s="6">
        <v>132.30000000000001</v>
      </c>
      <c r="H60" s="6">
        <v>139.4</v>
      </c>
      <c r="I60" s="6">
        <v>131.30000000000001</v>
      </c>
      <c r="J60" s="7">
        <v>2634</v>
      </c>
      <c r="K60" s="6">
        <v>64.989999999999995</v>
      </c>
      <c r="L60" s="7">
        <v>471220</v>
      </c>
    </row>
    <row r="61" spans="1:12" ht="28.5">
      <c r="A61" s="3">
        <v>59</v>
      </c>
      <c r="B61" s="4">
        <v>45930</v>
      </c>
      <c r="C61" s="5" t="s">
        <v>21</v>
      </c>
      <c r="D61" s="6">
        <v>131.30000000000001</v>
      </c>
      <c r="E61" s="6">
        <v>133.5</v>
      </c>
      <c r="F61" s="6">
        <v>125</v>
      </c>
      <c r="G61" s="6">
        <v>127.7</v>
      </c>
      <c r="H61" s="6">
        <v>131.30000000000001</v>
      </c>
      <c r="I61" s="6">
        <v>124.4</v>
      </c>
      <c r="J61" s="7">
        <v>1236</v>
      </c>
      <c r="K61" s="6">
        <v>22.611999999999998</v>
      </c>
      <c r="L61" s="7">
        <v>173802</v>
      </c>
    </row>
    <row r="62" spans="1:12" ht="28.5">
      <c r="A62" s="3">
        <v>60</v>
      </c>
      <c r="B62" s="4">
        <v>45929</v>
      </c>
      <c r="C62" s="5" t="s">
        <v>21</v>
      </c>
      <c r="D62" s="6">
        <v>124.4</v>
      </c>
      <c r="E62" s="6">
        <v>129.4</v>
      </c>
      <c r="F62" s="6">
        <v>123.9</v>
      </c>
      <c r="G62" s="6">
        <v>128.19999999999999</v>
      </c>
      <c r="H62" s="6">
        <v>124.4</v>
      </c>
      <c r="I62" s="6">
        <v>127.4</v>
      </c>
      <c r="J62" s="7">
        <v>1352</v>
      </c>
      <c r="K62" s="6">
        <v>22.785</v>
      </c>
      <c r="L62" s="7">
        <v>181289</v>
      </c>
    </row>
    <row r="63" spans="1:12" ht="28.5">
      <c r="A63" s="3">
        <v>61</v>
      </c>
      <c r="B63" s="4">
        <v>45928</v>
      </c>
      <c r="C63" s="5" t="s">
        <v>21</v>
      </c>
      <c r="D63" s="6">
        <v>127.4</v>
      </c>
      <c r="E63" s="6">
        <v>134.1</v>
      </c>
      <c r="F63" s="6">
        <v>126.3</v>
      </c>
      <c r="G63" s="6">
        <v>134.1</v>
      </c>
      <c r="H63" s="6">
        <v>127.4</v>
      </c>
      <c r="I63" s="6">
        <v>132.30000000000001</v>
      </c>
      <c r="J63" s="6">
        <v>965</v>
      </c>
      <c r="K63" s="6">
        <v>20.122</v>
      </c>
      <c r="L63" s="7">
        <v>154866</v>
      </c>
    </row>
    <row r="64" spans="1:12" ht="28.5">
      <c r="A64" s="3">
        <v>62</v>
      </c>
      <c r="B64" s="4">
        <v>45925</v>
      </c>
      <c r="C64" s="5" t="s">
        <v>21</v>
      </c>
      <c r="D64" s="6">
        <v>132.30000000000001</v>
      </c>
      <c r="E64" s="6">
        <v>137.80000000000001</v>
      </c>
      <c r="F64" s="6">
        <v>132</v>
      </c>
      <c r="G64" s="6">
        <v>137.80000000000001</v>
      </c>
      <c r="H64" s="6">
        <v>132.30000000000001</v>
      </c>
      <c r="I64" s="6">
        <v>134.69999999999999</v>
      </c>
      <c r="J64" s="6">
        <v>868</v>
      </c>
      <c r="K64" s="6">
        <v>15.109</v>
      </c>
      <c r="L64" s="7">
        <v>113114</v>
      </c>
    </row>
    <row r="65" spans="1:12" ht="28.5">
      <c r="A65" s="3">
        <v>63</v>
      </c>
      <c r="B65" s="4">
        <v>45924</v>
      </c>
      <c r="C65" s="5" t="s">
        <v>21</v>
      </c>
      <c r="D65" s="6">
        <v>134.69999999999999</v>
      </c>
      <c r="E65" s="6">
        <v>137.9</v>
      </c>
      <c r="F65" s="6">
        <v>133.80000000000001</v>
      </c>
      <c r="G65" s="6">
        <v>136.5</v>
      </c>
      <c r="H65" s="6">
        <v>134.69999999999999</v>
      </c>
      <c r="I65" s="6">
        <v>134.5</v>
      </c>
      <c r="J65" s="7">
        <v>1065</v>
      </c>
      <c r="K65" s="6">
        <v>22.916</v>
      </c>
      <c r="L65" s="7">
        <v>169427</v>
      </c>
    </row>
    <row r="66" spans="1:12" ht="28.5">
      <c r="A66" s="3">
        <v>64</v>
      </c>
      <c r="B66" s="4">
        <v>45923</v>
      </c>
      <c r="C66" s="5" t="s">
        <v>21</v>
      </c>
      <c r="D66" s="6">
        <v>134.5</v>
      </c>
      <c r="E66" s="6">
        <v>135.5</v>
      </c>
      <c r="F66" s="6">
        <v>131.1</v>
      </c>
      <c r="G66" s="6">
        <v>133</v>
      </c>
      <c r="H66" s="6">
        <v>134.5</v>
      </c>
      <c r="I66" s="6">
        <v>132.5</v>
      </c>
      <c r="J66" s="6">
        <v>924</v>
      </c>
      <c r="K66" s="6">
        <v>18.978999999999999</v>
      </c>
      <c r="L66" s="7">
        <v>142187</v>
      </c>
    </row>
    <row r="67" spans="1:12" ht="28.5">
      <c r="A67" s="3">
        <v>65</v>
      </c>
      <c r="B67" s="4">
        <v>45922</v>
      </c>
      <c r="C67" s="5" t="s">
        <v>21</v>
      </c>
      <c r="D67" s="6">
        <v>132.5</v>
      </c>
      <c r="E67" s="6">
        <v>138.80000000000001</v>
      </c>
      <c r="F67" s="6">
        <v>131</v>
      </c>
      <c r="G67" s="6">
        <v>134.9</v>
      </c>
      <c r="H67" s="6">
        <v>132.5</v>
      </c>
      <c r="I67" s="6">
        <v>133</v>
      </c>
      <c r="J67" s="7">
        <v>1136</v>
      </c>
      <c r="K67" s="6">
        <v>24.036000000000001</v>
      </c>
      <c r="L67" s="7">
        <v>178804</v>
      </c>
    </row>
    <row r="68" spans="1:12" ht="28.5">
      <c r="A68" s="3">
        <v>66</v>
      </c>
      <c r="B68" s="4">
        <v>45921</v>
      </c>
      <c r="C68" s="5" t="s">
        <v>21</v>
      </c>
      <c r="D68" s="6">
        <v>133</v>
      </c>
      <c r="E68" s="6">
        <v>140.6</v>
      </c>
      <c r="F68" s="6">
        <v>132</v>
      </c>
      <c r="G68" s="6">
        <v>139.80000000000001</v>
      </c>
      <c r="H68" s="6">
        <v>133</v>
      </c>
      <c r="I68" s="6">
        <v>138.5</v>
      </c>
      <c r="J68" s="7">
        <v>1173</v>
      </c>
      <c r="K68" s="6">
        <v>28.577000000000002</v>
      </c>
      <c r="L68" s="7">
        <v>209198</v>
      </c>
    </row>
    <row r="69" spans="1:12" ht="28.5">
      <c r="A69" s="3">
        <v>67</v>
      </c>
      <c r="B69" s="4">
        <v>45918</v>
      </c>
      <c r="C69" s="5" t="s">
        <v>21</v>
      </c>
      <c r="D69" s="6">
        <v>138.5</v>
      </c>
      <c r="E69" s="6">
        <v>142.80000000000001</v>
      </c>
      <c r="F69" s="6">
        <v>138</v>
      </c>
      <c r="G69" s="6">
        <v>142</v>
      </c>
      <c r="H69" s="6">
        <v>138.5</v>
      </c>
      <c r="I69" s="6">
        <v>141.69999999999999</v>
      </c>
      <c r="J69" s="7">
        <v>1092</v>
      </c>
      <c r="K69" s="6">
        <v>25.155000000000001</v>
      </c>
      <c r="L69" s="7">
        <v>180337</v>
      </c>
    </row>
    <row r="70" spans="1:12" ht="28.5">
      <c r="A70" s="3">
        <v>68</v>
      </c>
      <c r="B70" s="4">
        <v>45917</v>
      </c>
      <c r="C70" s="5" t="s">
        <v>21</v>
      </c>
      <c r="D70" s="6">
        <v>141.69999999999999</v>
      </c>
      <c r="E70" s="6">
        <v>148</v>
      </c>
      <c r="F70" s="6">
        <v>140.69999999999999</v>
      </c>
      <c r="G70" s="6">
        <v>141.5</v>
      </c>
      <c r="H70" s="6">
        <v>141.69999999999999</v>
      </c>
      <c r="I70" s="6">
        <v>140.80000000000001</v>
      </c>
      <c r="J70" s="7">
        <v>2079</v>
      </c>
      <c r="K70" s="6">
        <v>59.48</v>
      </c>
      <c r="L70" s="7">
        <v>412606</v>
      </c>
    </row>
    <row r="71" spans="1:12" ht="28.5">
      <c r="A71" s="3">
        <v>69</v>
      </c>
      <c r="B71" s="4">
        <v>45916</v>
      </c>
      <c r="C71" s="5" t="s">
        <v>21</v>
      </c>
      <c r="D71" s="6">
        <v>140.80000000000001</v>
      </c>
      <c r="E71" s="6">
        <v>144</v>
      </c>
      <c r="F71" s="6">
        <v>136.1</v>
      </c>
      <c r="G71" s="6">
        <v>140.4</v>
      </c>
      <c r="H71" s="6">
        <v>140.80000000000001</v>
      </c>
      <c r="I71" s="6">
        <v>136.9</v>
      </c>
      <c r="J71" s="7">
        <v>1114</v>
      </c>
      <c r="K71" s="6">
        <v>29.643000000000001</v>
      </c>
      <c r="L71" s="7">
        <v>212457</v>
      </c>
    </row>
    <row r="72" spans="1:12" ht="28.5">
      <c r="A72" s="3">
        <v>70</v>
      </c>
      <c r="B72" s="4">
        <v>45915</v>
      </c>
      <c r="C72" s="5" t="s">
        <v>21</v>
      </c>
      <c r="D72" s="6">
        <v>136.9</v>
      </c>
      <c r="E72" s="6">
        <v>141.9</v>
      </c>
      <c r="F72" s="6">
        <v>136.1</v>
      </c>
      <c r="G72" s="6">
        <v>139</v>
      </c>
      <c r="H72" s="6">
        <v>136.9</v>
      </c>
      <c r="I72" s="6">
        <v>137.6</v>
      </c>
      <c r="J72" s="7">
        <v>1138</v>
      </c>
      <c r="K72" s="6">
        <v>25.4</v>
      </c>
      <c r="L72" s="7">
        <v>183157</v>
      </c>
    </row>
    <row r="73" spans="1:12" ht="28.5">
      <c r="A73" s="3">
        <v>71</v>
      </c>
      <c r="B73" s="4">
        <v>45914</v>
      </c>
      <c r="C73" s="5" t="s">
        <v>21</v>
      </c>
      <c r="D73" s="6">
        <v>137.6</v>
      </c>
      <c r="E73" s="6">
        <v>142.5</v>
      </c>
      <c r="F73" s="6">
        <v>136.4</v>
      </c>
      <c r="G73" s="6">
        <v>142.5</v>
      </c>
      <c r="H73" s="6">
        <v>137.6</v>
      </c>
      <c r="I73" s="6">
        <v>139.30000000000001</v>
      </c>
      <c r="J73" s="6">
        <v>984</v>
      </c>
      <c r="K73" s="6">
        <v>22.462</v>
      </c>
      <c r="L73" s="7">
        <v>160934</v>
      </c>
    </row>
    <row r="74" spans="1:12" ht="28.5">
      <c r="A74" s="3">
        <v>72</v>
      </c>
      <c r="B74" s="4">
        <v>45911</v>
      </c>
      <c r="C74" s="5" t="s">
        <v>21</v>
      </c>
      <c r="D74" s="6">
        <v>139.30000000000001</v>
      </c>
      <c r="E74" s="6">
        <v>143.80000000000001</v>
      </c>
      <c r="F74" s="6">
        <v>136.19999999999999</v>
      </c>
      <c r="G74" s="6">
        <v>141.9</v>
      </c>
      <c r="H74" s="6">
        <v>139.30000000000001</v>
      </c>
      <c r="I74" s="6">
        <v>139.1</v>
      </c>
      <c r="J74" s="7">
        <v>1212</v>
      </c>
      <c r="K74" s="6">
        <v>29.11</v>
      </c>
      <c r="L74" s="7">
        <v>206510</v>
      </c>
    </row>
    <row r="75" spans="1:12" ht="28.5">
      <c r="A75" s="3">
        <v>73</v>
      </c>
      <c r="B75" s="4">
        <v>45910</v>
      </c>
      <c r="C75" s="5" t="s">
        <v>21</v>
      </c>
      <c r="D75" s="6">
        <v>139.1</v>
      </c>
      <c r="E75" s="6">
        <v>145.4</v>
      </c>
      <c r="F75" s="6">
        <v>138</v>
      </c>
      <c r="G75" s="6">
        <v>140</v>
      </c>
      <c r="H75" s="6">
        <v>139.1</v>
      </c>
      <c r="I75" s="6">
        <v>135.9</v>
      </c>
      <c r="J75" s="7">
        <v>1849</v>
      </c>
      <c r="K75" s="6">
        <v>42.136000000000003</v>
      </c>
      <c r="L75" s="7">
        <v>296985</v>
      </c>
    </row>
    <row r="76" spans="1:12" ht="28.5">
      <c r="A76" s="3">
        <v>74</v>
      </c>
      <c r="B76" s="4">
        <v>45909</v>
      </c>
      <c r="C76" s="5" t="s">
        <v>21</v>
      </c>
      <c r="D76" s="6">
        <v>135.9</v>
      </c>
      <c r="E76" s="6">
        <v>143</v>
      </c>
      <c r="F76" s="6">
        <v>135.19999999999999</v>
      </c>
      <c r="G76" s="6">
        <v>140.1</v>
      </c>
      <c r="H76" s="6">
        <v>135.9</v>
      </c>
      <c r="I76" s="6">
        <v>140.1</v>
      </c>
      <c r="J76" s="7">
        <v>1635</v>
      </c>
      <c r="K76" s="6">
        <v>40.295999999999999</v>
      </c>
      <c r="L76" s="7">
        <v>290148</v>
      </c>
    </row>
    <row r="77" spans="1:12" ht="28.5">
      <c r="A77" s="3">
        <v>75</v>
      </c>
      <c r="B77" s="4">
        <v>45908</v>
      </c>
      <c r="C77" s="5" t="s">
        <v>21</v>
      </c>
      <c r="D77" s="6">
        <v>140.1</v>
      </c>
      <c r="E77" s="6">
        <v>148</v>
      </c>
      <c r="F77" s="6">
        <v>138.5</v>
      </c>
      <c r="G77" s="6">
        <v>146.19999999999999</v>
      </c>
      <c r="H77" s="6">
        <v>140.1</v>
      </c>
      <c r="I77" s="6">
        <v>145.5</v>
      </c>
      <c r="J77" s="7">
        <v>1607</v>
      </c>
      <c r="K77" s="6">
        <v>40.061</v>
      </c>
      <c r="L77" s="7">
        <v>280825</v>
      </c>
    </row>
    <row r="78" spans="1:12" ht="28.5">
      <c r="A78" s="3">
        <v>76</v>
      </c>
      <c r="B78" s="4">
        <v>45907</v>
      </c>
      <c r="C78" s="5" t="s">
        <v>21</v>
      </c>
      <c r="D78" s="6">
        <v>145.5</v>
      </c>
      <c r="E78" s="6">
        <v>150.30000000000001</v>
      </c>
      <c r="F78" s="6">
        <v>145</v>
      </c>
      <c r="G78" s="6">
        <v>148.4</v>
      </c>
      <c r="H78" s="6">
        <v>145.5</v>
      </c>
      <c r="I78" s="6">
        <v>148</v>
      </c>
      <c r="J78" s="7">
        <v>1734</v>
      </c>
      <c r="K78" s="6">
        <v>51.972999999999999</v>
      </c>
      <c r="L78" s="7">
        <v>354828</v>
      </c>
    </row>
    <row r="79" spans="1:12" ht="28.5">
      <c r="A79" s="3">
        <v>77</v>
      </c>
      <c r="B79" s="4">
        <v>45904</v>
      </c>
      <c r="C79" s="5" t="s">
        <v>21</v>
      </c>
      <c r="D79" s="6">
        <v>148</v>
      </c>
      <c r="E79" s="6">
        <v>154.9</v>
      </c>
      <c r="F79" s="6">
        <v>147.4</v>
      </c>
      <c r="G79" s="6">
        <v>150.9</v>
      </c>
      <c r="H79" s="6">
        <v>148</v>
      </c>
      <c r="I79" s="6">
        <v>149.19999999999999</v>
      </c>
      <c r="J79" s="7">
        <v>2275</v>
      </c>
      <c r="K79" s="6">
        <v>61.662999999999997</v>
      </c>
      <c r="L79" s="7">
        <v>407812</v>
      </c>
    </row>
    <row r="80" spans="1:12" ht="28.5">
      <c r="A80" s="3">
        <v>78</v>
      </c>
      <c r="B80" s="4">
        <v>45903</v>
      </c>
      <c r="C80" s="5" t="s">
        <v>21</v>
      </c>
      <c r="D80" s="6">
        <v>149.19999999999999</v>
      </c>
      <c r="E80" s="6">
        <v>152.9</v>
      </c>
      <c r="F80" s="6">
        <v>145.1</v>
      </c>
      <c r="G80" s="6">
        <v>148</v>
      </c>
      <c r="H80" s="6">
        <v>149.19999999999999</v>
      </c>
      <c r="I80" s="6">
        <v>146.19999999999999</v>
      </c>
      <c r="J80" s="7">
        <v>2355</v>
      </c>
      <c r="K80" s="6">
        <v>58.956000000000003</v>
      </c>
      <c r="L80" s="7">
        <v>397380</v>
      </c>
    </row>
    <row r="81" spans="1:12" ht="28.5">
      <c r="A81" s="3">
        <v>79</v>
      </c>
      <c r="B81" s="4">
        <v>45902</v>
      </c>
      <c r="C81" s="5" t="s">
        <v>21</v>
      </c>
      <c r="D81" s="6">
        <v>146.19999999999999</v>
      </c>
      <c r="E81" s="6">
        <v>153.80000000000001</v>
      </c>
      <c r="F81" s="6">
        <v>145.1</v>
      </c>
      <c r="G81" s="6">
        <v>149</v>
      </c>
      <c r="H81" s="6">
        <v>146.19999999999999</v>
      </c>
      <c r="I81" s="6">
        <v>151.30000000000001</v>
      </c>
      <c r="J81" s="7">
        <v>3026</v>
      </c>
      <c r="K81" s="6">
        <v>81.686999999999998</v>
      </c>
      <c r="L81" s="7">
        <v>545852</v>
      </c>
    </row>
    <row r="82" spans="1:12" ht="28.5">
      <c r="A82" s="3">
        <v>80</v>
      </c>
      <c r="B82" s="4">
        <v>45901</v>
      </c>
      <c r="C82" s="5" t="s">
        <v>21</v>
      </c>
      <c r="D82" s="6">
        <v>151.30000000000001</v>
      </c>
      <c r="E82" s="6">
        <v>159.9</v>
      </c>
      <c r="F82" s="6">
        <v>149.9</v>
      </c>
      <c r="G82" s="6">
        <v>154</v>
      </c>
      <c r="H82" s="6">
        <v>151.30000000000001</v>
      </c>
      <c r="I82" s="6">
        <v>152.6</v>
      </c>
      <c r="J82" s="7">
        <v>3543</v>
      </c>
      <c r="K82" s="6">
        <v>111.196</v>
      </c>
      <c r="L82" s="7">
        <v>715897</v>
      </c>
    </row>
    <row r="83" spans="1:12" ht="28.5">
      <c r="A83" s="3">
        <v>81</v>
      </c>
      <c r="B83" s="4">
        <v>45900</v>
      </c>
      <c r="C83" s="5" t="s">
        <v>21</v>
      </c>
      <c r="D83" s="6">
        <v>152.6</v>
      </c>
      <c r="E83" s="6">
        <v>152.6</v>
      </c>
      <c r="F83" s="6">
        <v>138</v>
      </c>
      <c r="G83" s="6">
        <v>142.80000000000001</v>
      </c>
      <c r="H83" s="6">
        <v>152.6</v>
      </c>
      <c r="I83" s="6">
        <v>138.80000000000001</v>
      </c>
      <c r="J83" s="7">
        <v>3574</v>
      </c>
      <c r="K83" s="6">
        <v>116.901</v>
      </c>
      <c r="L83" s="7">
        <v>793218</v>
      </c>
    </row>
    <row r="84" spans="1:12" ht="28.5">
      <c r="A84" s="3">
        <v>82</v>
      </c>
      <c r="B84" s="4">
        <v>45897</v>
      </c>
      <c r="C84" s="5" t="s">
        <v>21</v>
      </c>
      <c r="D84" s="6">
        <v>138.80000000000001</v>
      </c>
      <c r="E84" s="6">
        <v>145</v>
      </c>
      <c r="F84" s="6">
        <v>136.30000000000001</v>
      </c>
      <c r="G84" s="6">
        <v>142.80000000000001</v>
      </c>
      <c r="H84" s="6">
        <v>138.80000000000001</v>
      </c>
      <c r="I84" s="6">
        <v>141.19999999999999</v>
      </c>
      <c r="J84" s="7">
        <v>3054</v>
      </c>
      <c r="K84" s="6">
        <v>73.248999999999995</v>
      </c>
      <c r="L84" s="7">
        <v>521772</v>
      </c>
    </row>
    <row r="85" spans="1:12" ht="28.5">
      <c r="A85" s="3">
        <v>83</v>
      </c>
      <c r="B85" s="4">
        <v>45896</v>
      </c>
      <c r="C85" s="5" t="s">
        <v>21</v>
      </c>
      <c r="D85" s="6">
        <v>141.19999999999999</v>
      </c>
      <c r="E85" s="6">
        <v>150</v>
      </c>
      <c r="F85" s="6">
        <v>139</v>
      </c>
      <c r="G85" s="6">
        <v>149.4</v>
      </c>
      <c r="H85" s="6">
        <v>141.19999999999999</v>
      </c>
      <c r="I85" s="6">
        <v>147.9</v>
      </c>
      <c r="J85" s="7">
        <v>3210</v>
      </c>
      <c r="K85" s="6">
        <v>87.022000000000006</v>
      </c>
      <c r="L85" s="7">
        <v>603517</v>
      </c>
    </row>
    <row r="86" spans="1:12" ht="28.5">
      <c r="A86" s="3">
        <v>84</v>
      </c>
      <c r="B86" s="4">
        <v>45895</v>
      </c>
      <c r="C86" s="5" t="s">
        <v>21</v>
      </c>
      <c r="D86" s="6">
        <v>147.9</v>
      </c>
      <c r="E86" s="6">
        <v>156.4</v>
      </c>
      <c r="F86" s="6">
        <v>145.80000000000001</v>
      </c>
      <c r="G86" s="6">
        <v>152.1</v>
      </c>
      <c r="H86" s="6">
        <v>147.9</v>
      </c>
      <c r="I86" s="6">
        <v>152.5</v>
      </c>
      <c r="J86" s="7">
        <v>2754</v>
      </c>
      <c r="K86" s="6">
        <v>70.403000000000006</v>
      </c>
      <c r="L86" s="7">
        <v>466058</v>
      </c>
    </row>
    <row r="87" spans="1:12" ht="28.5">
      <c r="A87" s="3">
        <v>85</v>
      </c>
      <c r="B87" s="4">
        <v>45894</v>
      </c>
      <c r="C87" s="5" t="s">
        <v>21</v>
      </c>
      <c r="D87" s="6">
        <v>152.5</v>
      </c>
      <c r="E87" s="6">
        <v>159.30000000000001</v>
      </c>
      <c r="F87" s="6">
        <v>151.6</v>
      </c>
      <c r="G87" s="6">
        <v>157</v>
      </c>
      <c r="H87" s="6">
        <v>152.5</v>
      </c>
      <c r="I87" s="6">
        <v>157.6</v>
      </c>
      <c r="J87" s="7">
        <v>2913</v>
      </c>
      <c r="K87" s="6">
        <v>80.897999999999996</v>
      </c>
      <c r="L87" s="7">
        <v>523695</v>
      </c>
    </row>
    <row r="88" spans="1:12" ht="28.5">
      <c r="A88" s="3">
        <v>86</v>
      </c>
      <c r="B88" s="4">
        <v>45893</v>
      </c>
      <c r="C88" s="5" t="s">
        <v>21</v>
      </c>
      <c r="D88" s="6">
        <v>157.6</v>
      </c>
      <c r="E88" s="6">
        <v>165.8</v>
      </c>
      <c r="F88" s="6">
        <v>155.69999999999999</v>
      </c>
      <c r="G88" s="6">
        <v>162.9</v>
      </c>
      <c r="H88" s="6">
        <v>157.6</v>
      </c>
      <c r="I88" s="6">
        <v>161.6</v>
      </c>
      <c r="J88" s="7">
        <v>4144</v>
      </c>
      <c r="K88" s="6">
        <v>136.482</v>
      </c>
      <c r="L88" s="7">
        <v>845201</v>
      </c>
    </row>
    <row r="89" spans="1:12" ht="28.5">
      <c r="A89" s="3">
        <v>87</v>
      </c>
      <c r="B89" s="4">
        <v>45890</v>
      </c>
      <c r="C89" s="5" t="s">
        <v>21</v>
      </c>
      <c r="D89" s="6">
        <v>161.6</v>
      </c>
      <c r="E89" s="6">
        <v>163</v>
      </c>
      <c r="F89" s="6">
        <v>153.5</v>
      </c>
      <c r="G89" s="6">
        <v>153.9</v>
      </c>
      <c r="H89" s="6">
        <v>161.6</v>
      </c>
      <c r="I89" s="6">
        <v>151.6</v>
      </c>
      <c r="J89" s="7">
        <v>3509</v>
      </c>
      <c r="K89" s="6">
        <v>92.087999999999994</v>
      </c>
      <c r="L89" s="7">
        <v>582128</v>
      </c>
    </row>
    <row r="90" spans="1:12" ht="28.5">
      <c r="A90" s="3">
        <v>88</v>
      </c>
      <c r="B90" s="4">
        <v>45889</v>
      </c>
      <c r="C90" s="5" t="s">
        <v>21</v>
      </c>
      <c r="D90" s="6">
        <v>151.6</v>
      </c>
      <c r="E90" s="6">
        <v>156.80000000000001</v>
      </c>
      <c r="F90" s="6">
        <v>149</v>
      </c>
      <c r="G90" s="6">
        <v>151.5</v>
      </c>
      <c r="H90" s="6">
        <v>151.6</v>
      </c>
      <c r="I90" s="6">
        <v>151.5</v>
      </c>
      <c r="J90" s="7">
        <v>3148</v>
      </c>
      <c r="K90" s="6">
        <v>78.745000000000005</v>
      </c>
      <c r="L90" s="7">
        <v>515183</v>
      </c>
    </row>
    <row r="91" spans="1:12" ht="28.5">
      <c r="A91" s="3">
        <v>89</v>
      </c>
      <c r="B91" s="4">
        <v>45888</v>
      </c>
      <c r="C91" s="5" t="s">
        <v>21</v>
      </c>
      <c r="D91" s="6">
        <v>151.5</v>
      </c>
      <c r="E91" s="6">
        <v>157.9</v>
      </c>
      <c r="F91" s="6">
        <v>150</v>
      </c>
      <c r="G91" s="6">
        <v>154.5</v>
      </c>
      <c r="H91" s="6">
        <v>151.5</v>
      </c>
      <c r="I91" s="6">
        <v>154.5</v>
      </c>
      <c r="J91" s="7">
        <v>3378</v>
      </c>
      <c r="K91" s="6">
        <v>90.488</v>
      </c>
      <c r="L91" s="7">
        <v>587516</v>
      </c>
    </row>
    <row r="92" spans="1:12" ht="28.5">
      <c r="A92" s="3">
        <v>90</v>
      </c>
      <c r="B92" s="4">
        <v>45887</v>
      </c>
      <c r="C92" s="5" t="s">
        <v>21</v>
      </c>
      <c r="D92" s="6">
        <v>154.5</v>
      </c>
      <c r="E92" s="6">
        <v>162</v>
      </c>
      <c r="F92" s="6">
        <v>150</v>
      </c>
      <c r="G92" s="6">
        <v>158</v>
      </c>
      <c r="H92" s="6">
        <v>154.5</v>
      </c>
      <c r="I92" s="6">
        <v>157.19999999999999</v>
      </c>
      <c r="J92" s="7">
        <v>4046</v>
      </c>
      <c r="K92" s="6">
        <v>104.03700000000001</v>
      </c>
      <c r="L92" s="7">
        <v>661163</v>
      </c>
    </row>
    <row r="93" spans="1:12" ht="28.5">
      <c r="A93" s="3">
        <v>91</v>
      </c>
      <c r="B93" s="4">
        <v>45886</v>
      </c>
      <c r="C93" s="5" t="s">
        <v>21</v>
      </c>
      <c r="D93" s="6">
        <v>157.19999999999999</v>
      </c>
      <c r="E93" s="6">
        <v>166.1</v>
      </c>
      <c r="F93" s="6">
        <v>155.1</v>
      </c>
      <c r="G93" s="6">
        <v>161</v>
      </c>
      <c r="H93" s="6">
        <v>157.19999999999999</v>
      </c>
      <c r="I93" s="6">
        <v>158.4</v>
      </c>
      <c r="J93" s="7">
        <v>3379</v>
      </c>
      <c r="K93" s="6">
        <v>101.55500000000001</v>
      </c>
      <c r="L93" s="7">
        <v>629903</v>
      </c>
    </row>
    <row r="94" spans="1:12" ht="28.5">
      <c r="A94" s="3">
        <v>92</v>
      </c>
      <c r="B94" s="4">
        <v>45883</v>
      </c>
      <c r="C94" s="5" t="s">
        <v>21</v>
      </c>
      <c r="D94" s="6">
        <v>158.4</v>
      </c>
      <c r="E94" s="6">
        <v>161.6</v>
      </c>
      <c r="F94" s="6">
        <v>145.9</v>
      </c>
      <c r="G94" s="6">
        <v>153.80000000000001</v>
      </c>
      <c r="H94" s="6">
        <v>158.4</v>
      </c>
      <c r="I94" s="6">
        <v>153.80000000000001</v>
      </c>
      <c r="J94" s="7">
        <v>4575</v>
      </c>
      <c r="K94" s="6">
        <v>144.572</v>
      </c>
      <c r="L94" s="7">
        <v>949379</v>
      </c>
    </row>
    <row r="95" spans="1:12" ht="28.5">
      <c r="A95" s="3">
        <v>93</v>
      </c>
      <c r="B95" s="4">
        <v>45882</v>
      </c>
      <c r="C95" s="5" t="s">
        <v>21</v>
      </c>
      <c r="D95" s="6">
        <v>153.80000000000001</v>
      </c>
      <c r="E95" s="6">
        <v>166.7</v>
      </c>
      <c r="F95" s="6">
        <v>150.5</v>
      </c>
      <c r="G95" s="6">
        <v>165.1</v>
      </c>
      <c r="H95" s="6">
        <v>153.80000000000001</v>
      </c>
      <c r="I95" s="6">
        <v>166.8</v>
      </c>
      <c r="J95" s="7">
        <v>5163</v>
      </c>
      <c r="K95" s="6">
        <v>156.768</v>
      </c>
      <c r="L95" s="7">
        <v>979271</v>
      </c>
    </row>
    <row r="96" spans="1:12" ht="28.5">
      <c r="A96" s="3">
        <v>94</v>
      </c>
      <c r="B96" s="4">
        <v>45881</v>
      </c>
      <c r="C96" s="5" t="s">
        <v>21</v>
      </c>
      <c r="D96" s="6">
        <v>166.8</v>
      </c>
      <c r="E96" s="6">
        <v>174</v>
      </c>
      <c r="F96" s="6">
        <v>165.3</v>
      </c>
      <c r="G96" s="6">
        <v>170</v>
      </c>
      <c r="H96" s="6">
        <v>166.8</v>
      </c>
      <c r="I96" s="6">
        <v>168.9</v>
      </c>
      <c r="J96" s="7">
        <v>3204</v>
      </c>
      <c r="K96" s="6">
        <v>85.599000000000004</v>
      </c>
      <c r="L96" s="7">
        <v>504781</v>
      </c>
    </row>
    <row r="97" spans="1:12" ht="28.5">
      <c r="A97" s="3">
        <v>95</v>
      </c>
      <c r="B97" s="4">
        <v>45880</v>
      </c>
      <c r="C97" s="5" t="s">
        <v>21</v>
      </c>
      <c r="D97" s="6">
        <v>168.9</v>
      </c>
      <c r="E97" s="6">
        <v>171.5</v>
      </c>
      <c r="F97" s="6">
        <v>156.80000000000001</v>
      </c>
      <c r="G97" s="6">
        <v>159.4</v>
      </c>
      <c r="H97" s="6">
        <v>168.9</v>
      </c>
      <c r="I97" s="6">
        <v>160</v>
      </c>
      <c r="J97" s="7">
        <v>3923</v>
      </c>
      <c r="K97" s="6">
        <v>126.93</v>
      </c>
      <c r="L97" s="7">
        <v>779583</v>
      </c>
    </row>
    <row r="98" spans="1:12" ht="28.5">
      <c r="A98" s="3">
        <v>96</v>
      </c>
      <c r="B98" s="4">
        <v>45879</v>
      </c>
      <c r="C98" s="5" t="s">
        <v>21</v>
      </c>
      <c r="D98" s="6">
        <v>160</v>
      </c>
      <c r="E98" s="6">
        <v>168</v>
      </c>
      <c r="F98" s="6">
        <v>157.5</v>
      </c>
      <c r="G98" s="6">
        <v>162.1</v>
      </c>
      <c r="H98" s="6">
        <v>160</v>
      </c>
      <c r="I98" s="6">
        <v>161.69999999999999</v>
      </c>
      <c r="J98" s="7">
        <v>3331</v>
      </c>
      <c r="K98" s="6">
        <v>107.143</v>
      </c>
      <c r="L98" s="7">
        <v>657919</v>
      </c>
    </row>
    <row r="99" spans="1:12" ht="28.5">
      <c r="A99" s="3">
        <v>97</v>
      </c>
      <c r="B99" s="4">
        <v>45876</v>
      </c>
      <c r="C99" s="5" t="s">
        <v>21</v>
      </c>
      <c r="D99" s="6">
        <v>161.69999999999999</v>
      </c>
      <c r="E99" s="6">
        <v>165.7</v>
      </c>
      <c r="F99" s="6">
        <v>160</v>
      </c>
      <c r="G99" s="6">
        <v>160.80000000000001</v>
      </c>
      <c r="H99" s="6">
        <v>161.69999999999999</v>
      </c>
      <c r="I99" s="6">
        <v>159.5</v>
      </c>
      <c r="J99" s="7">
        <v>3019</v>
      </c>
      <c r="K99" s="6">
        <v>86.539000000000001</v>
      </c>
      <c r="L99" s="7">
        <v>530366</v>
      </c>
    </row>
    <row r="100" spans="1:12" ht="28.5">
      <c r="A100" s="3">
        <v>98</v>
      </c>
      <c r="B100" s="4">
        <v>45875</v>
      </c>
      <c r="C100" s="5" t="s">
        <v>21</v>
      </c>
      <c r="D100" s="6">
        <v>159.5</v>
      </c>
      <c r="E100" s="6">
        <v>160.19999999999999</v>
      </c>
      <c r="F100" s="6">
        <v>148</v>
      </c>
      <c r="G100" s="6">
        <v>148</v>
      </c>
      <c r="H100" s="6">
        <v>159.5</v>
      </c>
      <c r="I100" s="6">
        <v>147</v>
      </c>
      <c r="J100" s="7">
        <v>3561</v>
      </c>
      <c r="K100" s="6">
        <v>107.39100000000001</v>
      </c>
      <c r="L100" s="7">
        <v>692663</v>
      </c>
    </row>
    <row r="101" spans="1:12" ht="28.5">
      <c r="A101" s="3">
        <v>99</v>
      </c>
      <c r="B101" s="4">
        <v>45873</v>
      </c>
      <c r="C101" s="5" t="s">
        <v>21</v>
      </c>
      <c r="D101" s="6">
        <v>147</v>
      </c>
      <c r="E101" s="6">
        <v>151.9</v>
      </c>
      <c r="F101" s="6">
        <v>146</v>
      </c>
      <c r="G101" s="6">
        <v>148.6</v>
      </c>
      <c r="H101" s="6">
        <v>147</v>
      </c>
      <c r="I101" s="6">
        <v>148.19999999999999</v>
      </c>
      <c r="J101" s="7">
        <v>2731</v>
      </c>
      <c r="K101" s="6">
        <v>64.816000000000003</v>
      </c>
      <c r="L101" s="7">
        <v>436274</v>
      </c>
    </row>
    <row r="102" spans="1:12" ht="28.5">
      <c r="A102" s="3">
        <v>100</v>
      </c>
      <c r="B102" s="4">
        <v>45872</v>
      </c>
      <c r="C102" s="5" t="s">
        <v>21</v>
      </c>
      <c r="D102" s="6">
        <v>148.19999999999999</v>
      </c>
      <c r="E102" s="6">
        <v>156</v>
      </c>
      <c r="F102" s="6">
        <v>147</v>
      </c>
      <c r="G102" s="6">
        <v>149.80000000000001</v>
      </c>
      <c r="H102" s="6">
        <v>148.19999999999999</v>
      </c>
      <c r="I102" s="6">
        <v>150.1</v>
      </c>
      <c r="J102" s="7">
        <v>3179</v>
      </c>
      <c r="K102" s="6">
        <v>84.622</v>
      </c>
      <c r="L102" s="7">
        <v>559121</v>
      </c>
    </row>
    <row r="103" spans="1:12" ht="28.5">
      <c r="A103" s="3">
        <v>101</v>
      </c>
      <c r="B103" s="4">
        <v>45869</v>
      </c>
      <c r="C103" s="5" t="s">
        <v>21</v>
      </c>
      <c r="D103" s="6">
        <v>150.1</v>
      </c>
      <c r="E103" s="6">
        <v>154</v>
      </c>
      <c r="F103" s="6">
        <v>141.30000000000001</v>
      </c>
      <c r="G103" s="6">
        <v>143.19999999999999</v>
      </c>
      <c r="H103" s="6">
        <v>150.1</v>
      </c>
      <c r="I103" s="6">
        <v>144.80000000000001</v>
      </c>
      <c r="J103" s="7">
        <v>3745</v>
      </c>
      <c r="K103" s="6">
        <v>111.432</v>
      </c>
      <c r="L103" s="7">
        <v>752362</v>
      </c>
    </row>
    <row r="104" spans="1:12" ht="28.5">
      <c r="A104" s="3">
        <v>102</v>
      </c>
      <c r="B104" s="4">
        <v>45868</v>
      </c>
      <c r="C104" s="5" t="s">
        <v>21</v>
      </c>
      <c r="D104" s="6">
        <v>144.80000000000001</v>
      </c>
      <c r="E104" s="6">
        <v>148.80000000000001</v>
      </c>
      <c r="F104" s="6">
        <v>138</v>
      </c>
      <c r="G104" s="6">
        <v>138</v>
      </c>
      <c r="H104" s="6">
        <v>144.80000000000001</v>
      </c>
      <c r="I104" s="6">
        <v>136.4</v>
      </c>
      <c r="J104" s="7">
        <v>3288</v>
      </c>
      <c r="K104" s="6">
        <v>88.12</v>
      </c>
      <c r="L104" s="7">
        <v>606729</v>
      </c>
    </row>
    <row r="105" spans="1:12" ht="28.5">
      <c r="A105" s="3">
        <v>103</v>
      </c>
      <c r="B105" s="4">
        <v>45867</v>
      </c>
      <c r="C105" s="5" t="s">
        <v>21</v>
      </c>
      <c r="D105" s="6">
        <v>136.4</v>
      </c>
      <c r="E105" s="6">
        <v>138.9</v>
      </c>
      <c r="F105" s="6">
        <v>132.30000000000001</v>
      </c>
      <c r="G105" s="6">
        <v>134.19999999999999</v>
      </c>
      <c r="H105" s="6">
        <v>136.4</v>
      </c>
      <c r="I105" s="6">
        <v>135.9</v>
      </c>
      <c r="J105" s="7">
        <v>2810</v>
      </c>
      <c r="K105" s="6">
        <v>66.198999999999998</v>
      </c>
      <c r="L105" s="7">
        <v>490331</v>
      </c>
    </row>
    <row r="106" spans="1:12" ht="28.5">
      <c r="A106" s="3">
        <v>104</v>
      </c>
      <c r="B106" s="4">
        <v>45866</v>
      </c>
      <c r="C106" s="5" t="s">
        <v>21</v>
      </c>
      <c r="D106" s="6">
        <v>135.9</v>
      </c>
      <c r="E106" s="6">
        <v>143.9</v>
      </c>
      <c r="F106" s="6">
        <v>133.1</v>
      </c>
      <c r="G106" s="6">
        <v>138.6</v>
      </c>
      <c r="H106" s="6">
        <v>135.9</v>
      </c>
      <c r="I106" s="6">
        <v>136.1</v>
      </c>
      <c r="J106" s="7">
        <v>2833</v>
      </c>
      <c r="K106" s="6">
        <v>78.129000000000005</v>
      </c>
      <c r="L106" s="7">
        <v>563264</v>
      </c>
    </row>
    <row r="107" spans="1:12" ht="28.5">
      <c r="A107" s="3">
        <v>105</v>
      </c>
      <c r="B107" s="4">
        <v>45865</v>
      </c>
      <c r="C107" s="5" t="s">
        <v>21</v>
      </c>
      <c r="D107" s="6">
        <v>136.1</v>
      </c>
      <c r="E107" s="6">
        <v>136.1</v>
      </c>
      <c r="F107" s="6">
        <v>126</v>
      </c>
      <c r="G107" s="6">
        <v>128.80000000000001</v>
      </c>
      <c r="H107" s="6">
        <v>136.1</v>
      </c>
      <c r="I107" s="6">
        <v>123.8</v>
      </c>
      <c r="J107" s="7">
        <v>3223</v>
      </c>
      <c r="K107" s="6">
        <v>110.944</v>
      </c>
      <c r="L107" s="7">
        <v>828894</v>
      </c>
    </row>
    <row r="108" spans="1:12" ht="28.5">
      <c r="A108" s="3">
        <v>106</v>
      </c>
      <c r="B108" s="4">
        <v>45862</v>
      </c>
      <c r="C108" s="5" t="s">
        <v>21</v>
      </c>
      <c r="D108" s="6">
        <v>123.8</v>
      </c>
      <c r="E108" s="6">
        <v>125.5</v>
      </c>
      <c r="F108" s="6">
        <v>119</v>
      </c>
      <c r="G108" s="6">
        <v>121</v>
      </c>
      <c r="H108" s="6">
        <v>123.8</v>
      </c>
      <c r="I108" s="6">
        <v>119.8</v>
      </c>
      <c r="J108" s="7">
        <v>2511</v>
      </c>
      <c r="K108" s="6">
        <v>61.902999999999999</v>
      </c>
      <c r="L108" s="7">
        <v>502492</v>
      </c>
    </row>
    <row r="109" spans="1:12" ht="28.5">
      <c r="A109" s="3">
        <v>107</v>
      </c>
      <c r="B109" s="4">
        <v>45861</v>
      </c>
      <c r="C109" s="5" t="s">
        <v>21</v>
      </c>
      <c r="D109" s="6">
        <v>119.8</v>
      </c>
      <c r="E109" s="6">
        <v>128</v>
      </c>
      <c r="F109" s="6">
        <v>118.2</v>
      </c>
      <c r="G109" s="6">
        <v>124.2</v>
      </c>
      <c r="H109" s="6">
        <v>119.8</v>
      </c>
      <c r="I109" s="6">
        <v>124.1</v>
      </c>
      <c r="J109" s="7">
        <v>2592</v>
      </c>
      <c r="K109" s="6">
        <v>53.749000000000002</v>
      </c>
      <c r="L109" s="7">
        <v>440384</v>
      </c>
    </row>
    <row r="110" spans="1:12" ht="28.5">
      <c r="A110" s="3">
        <v>108</v>
      </c>
      <c r="B110" s="4">
        <v>45860</v>
      </c>
      <c r="C110" s="5" t="s">
        <v>21</v>
      </c>
      <c r="D110" s="6">
        <v>124.1</v>
      </c>
      <c r="E110" s="6">
        <v>129.80000000000001</v>
      </c>
      <c r="F110" s="6">
        <v>123.1</v>
      </c>
      <c r="G110" s="6">
        <v>123.1</v>
      </c>
      <c r="H110" s="6">
        <v>124.1</v>
      </c>
      <c r="I110" s="6">
        <v>125</v>
      </c>
      <c r="J110" s="7">
        <v>2230</v>
      </c>
      <c r="K110" s="6">
        <v>44.274999999999999</v>
      </c>
      <c r="L110" s="7">
        <v>350779</v>
      </c>
    </row>
    <row r="111" spans="1:12" ht="28.5">
      <c r="A111" s="3">
        <v>109</v>
      </c>
      <c r="B111" s="4">
        <v>45859</v>
      </c>
      <c r="C111" s="5" t="s">
        <v>21</v>
      </c>
      <c r="D111" s="6">
        <v>125</v>
      </c>
      <c r="E111" s="6">
        <v>131.5</v>
      </c>
      <c r="F111" s="6">
        <v>123.3</v>
      </c>
      <c r="G111" s="6">
        <v>128</v>
      </c>
      <c r="H111" s="6">
        <v>125</v>
      </c>
      <c r="I111" s="6">
        <v>127.1</v>
      </c>
      <c r="J111" s="7">
        <v>3154</v>
      </c>
      <c r="K111" s="6">
        <v>75.331000000000003</v>
      </c>
      <c r="L111" s="7">
        <v>591177</v>
      </c>
    </row>
    <row r="112" spans="1:12" ht="28.5">
      <c r="A112" s="3">
        <v>110</v>
      </c>
      <c r="B112" s="4">
        <v>45858</v>
      </c>
      <c r="C112" s="5" t="s">
        <v>21</v>
      </c>
      <c r="D112" s="6">
        <v>127.1</v>
      </c>
      <c r="E112" s="6">
        <v>133</v>
      </c>
      <c r="F112" s="6">
        <v>124</v>
      </c>
      <c r="G112" s="6">
        <v>124</v>
      </c>
      <c r="H112" s="6">
        <v>127.1</v>
      </c>
      <c r="I112" s="6">
        <v>122.7</v>
      </c>
      <c r="J112" s="7">
        <v>3561</v>
      </c>
      <c r="K112" s="6">
        <v>95.486000000000004</v>
      </c>
      <c r="L112" s="7">
        <v>744581</v>
      </c>
    </row>
    <row r="113" spans="1:12" ht="28.5">
      <c r="A113" s="3">
        <v>111</v>
      </c>
      <c r="B113" s="4">
        <v>45855</v>
      </c>
      <c r="C113" s="5" t="s">
        <v>21</v>
      </c>
      <c r="D113" s="6">
        <v>122.7</v>
      </c>
      <c r="E113" s="6">
        <v>122.7</v>
      </c>
      <c r="F113" s="6">
        <v>113</v>
      </c>
      <c r="G113" s="6">
        <v>113</v>
      </c>
      <c r="H113" s="6">
        <v>122.7</v>
      </c>
      <c r="I113" s="6">
        <v>111.6</v>
      </c>
      <c r="J113" s="7">
        <v>2808</v>
      </c>
      <c r="K113" s="6">
        <v>84.888000000000005</v>
      </c>
      <c r="L113" s="7">
        <v>707468</v>
      </c>
    </row>
    <row r="114" spans="1:12" ht="28.5">
      <c r="A114" s="3">
        <v>112</v>
      </c>
      <c r="B114" s="4">
        <v>45854</v>
      </c>
      <c r="C114" s="5" t="s">
        <v>21</v>
      </c>
      <c r="D114" s="6">
        <v>111.6</v>
      </c>
      <c r="E114" s="6">
        <v>115.4</v>
      </c>
      <c r="F114" s="6">
        <v>109</v>
      </c>
      <c r="G114" s="6">
        <v>113</v>
      </c>
      <c r="H114" s="6">
        <v>111.6</v>
      </c>
      <c r="I114" s="6">
        <v>113.7</v>
      </c>
      <c r="J114" s="7">
        <v>2892</v>
      </c>
      <c r="K114" s="6">
        <v>64.795000000000002</v>
      </c>
      <c r="L114" s="7">
        <v>578025</v>
      </c>
    </row>
    <row r="115" spans="1:12" ht="28.5">
      <c r="A115" s="3">
        <v>113</v>
      </c>
      <c r="B115" s="4">
        <v>45853</v>
      </c>
      <c r="C115" s="5" t="s">
        <v>21</v>
      </c>
      <c r="D115" s="6">
        <v>113.7</v>
      </c>
      <c r="E115" s="6">
        <v>119.9</v>
      </c>
      <c r="F115" s="6">
        <v>112.8</v>
      </c>
      <c r="G115" s="6">
        <v>115.4</v>
      </c>
      <c r="H115" s="6">
        <v>113.7</v>
      </c>
      <c r="I115" s="6">
        <v>114.9</v>
      </c>
      <c r="J115" s="7">
        <v>2427</v>
      </c>
      <c r="K115" s="6">
        <v>44.62</v>
      </c>
      <c r="L115" s="7">
        <v>383393</v>
      </c>
    </row>
    <row r="116" spans="1:12" ht="28.5">
      <c r="A116" s="3">
        <v>114</v>
      </c>
      <c r="B116" s="4">
        <v>45852</v>
      </c>
      <c r="C116" s="5" t="s">
        <v>21</v>
      </c>
      <c r="D116" s="6">
        <v>114.9</v>
      </c>
      <c r="E116" s="6">
        <v>120</v>
      </c>
      <c r="F116" s="6">
        <v>109</v>
      </c>
      <c r="G116" s="6">
        <v>112.5</v>
      </c>
      <c r="H116" s="6">
        <v>114.9</v>
      </c>
      <c r="I116" s="6">
        <v>112</v>
      </c>
      <c r="J116" s="7">
        <v>3397</v>
      </c>
      <c r="K116" s="6">
        <v>83.358000000000004</v>
      </c>
      <c r="L116" s="7">
        <v>733271</v>
      </c>
    </row>
    <row r="117" spans="1:12" ht="28.5">
      <c r="A117" s="3">
        <v>115</v>
      </c>
      <c r="B117" s="4">
        <v>45851</v>
      </c>
      <c r="C117" s="5" t="s">
        <v>21</v>
      </c>
      <c r="D117" s="6">
        <v>112</v>
      </c>
      <c r="E117" s="6">
        <v>112.2</v>
      </c>
      <c r="F117" s="6">
        <v>103</v>
      </c>
      <c r="G117" s="6">
        <v>103</v>
      </c>
      <c r="H117" s="6">
        <v>112</v>
      </c>
      <c r="I117" s="6">
        <v>102</v>
      </c>
      <c r="J117" s="7">
        <v>2428</v>
      </c>
      <c r="K117" s="6">
        <v>70.257000000000005</v>
      </c>
      <c r="L117" s="7">
        <v>641207</v>
      </c>
    </row>
    <row r="118" spans="1:12" ht="28.5">
      <c r="A118" s="3">
        <v>116</v>
      </c>
      <c r="B118" s="4">
        <v>45848</v>
      </c>
      <c r="C118" s="5" t="s">
        <v>21</v>
      </c>
      <c r="D118" s="6">
        <v>102</v>
      </c>
      <c r="E118" s="6">
        <v>102.3</v>
      </c>
      <c r="F118" s="6">
        <v>90</v>
      </c>
      <c r="G118" s="6">
        <v>90</v>
      </c>
      <c r="H118" s="6">
        <v>102</v>
      </c>
      <c r="I118" s="6">
        <v>93</v>
      </c>
      <c r="J118" s="7">
        <v>2475</v>
      </c>
      <c r="K118" s="6">
        <v>68.168999999999997</v>
      </c>
      <c r="L118" s="7">
        <v>695053</v>
      </c>
    </row>
    <row r="119" spans="1:12" ht="28.5">
      <c r="A119" s="3">
        <v>117</v>
      </c>
      <c r="B119" s="4">
        <v>45847</v>
      </c>
      <c r="C119" s="5" t="s">
        <v>21</v>
      </c>
      <c r="D119" s="6">
        <v>93</v>
      </c>
      <c r="E119" s="6">
        <v>96.7</v>
      </c>
      <c r="F119" s="6">
        <v>91</v>
      </c>
      <c r="G119" s="6">
        <v>91.5</v>
      </c>
      <c r="H119" s="6">
        <v>93</v>
      </c>
      <c r="I119" s="6">
        <v>89.9</v>
      </c>
      <c r="J119" s="7">
        <v>2387</v>
      </c>
      <c r="K119" s="6">
        <v>53.936999999999998</v>
      </c>
      <c r="L119" s="7">
        <v>573545</v>
      </c>
    </row>
    <row r="120" spans="1:12" ht="28.5">
      <c r="A120" s="3">
        <v>118</v>
      </c>
      <c r="B120" s="4">
        <v>45846</v>
      </c>
      <c r="C120" s="5" t="s">
        <v>21</v>
      </c>
      <c r="D120" s="6">
        <v>90.4</v>
      </c>
      <c r="E120" s="6">
        <v>90.4</v>
      </c>
      <c r="F120" s="6">
        <v>81.900000000000006</v>
      </c>
      <c r="G120" s="6">
        <v>82.1</v>
      </c>
      <c r="H120" s="6">
        <v>89.9</v>
      </c>
      <c r="I120" s="6">
        <v>82.2</v>
      </c>
      <c r="J120" s="7">
        <v>2380</v>
      </c>
      <c r="K120" s="6">
        <v>51.927999999999997</v>
      </c>
      <c r="L120" s="7">
        <v>596802</v>
      </c>
    </row>
    <row r="121" spans="1:12" ht="28.5">
      <c r="A121" s="3">
        <v>119</v>
      </c>
      <c r="B121" s="4">
        <v>45845</v>
      </c>
      <c r="C121" s="5" t="s">
        <v>21</v>
      </c>
      <c r="D121" s="6">
        <v>82.2</v>
      </c>
      <c r="E121" s="6">
        <v>83.9</v>
      </c>
      <c r="F121" s="6">
        <v>81.7</v>
      </c>
      <c r="G121" s="6">
        <v>83.6</v>
      </c>
      <c r="H121" s="6">
        <v>82.2</v>
      </c>
      <c r="I121" s="6">
        <v>83.6</v>
      </c>
      <c r="J121" s="7">
        <v>1586</v>
      </c>
      <c r="K121" s="6">
        <v>23.478999999999999</v>
      </c>
      <c r="L121" s="7">
        <v>285316</v>
      </c>
    </row>
    <row r="122" spans="1:12" ht="28.5">
      <c r="A122" s="3">
        <v>120</v>
      </c>
      <c r="B122" s="4">
        <v>45841</v>
      </c>
      <c r="C122" s="5" t="s">
        <v>21</v>
      </c>
      <c r="D122" s="6">
        <v>83.6</v>
      </c>
      <c r="E122" s="6">
        <v>86.5</v>
      </c>
      <c r="F122" s="6">
        <v>82.9</v>
      </c>
      <c r="G122" s="6">
        <v>83</v>
      </c>
      <c r="H122" s="6">
        <v>83.6</v>
      </c>
      <c r="I122" s="6">
        <v>83.8</v>
      </c>
      <c r="J122" s="7">
        <v>1294</v>
      </c>
      <c r="K122" s="6">
        <v>19.616</v>
      </c>
      <c r="L122" s="7">
        <v>231081</v>
      </c>
    </row>
    <row r="123" spans="1:12" ht="28.5">
      <c r="A123" s="3">
        <v>121</v>
      </c>
      <c r="B123" s="4">
        <v>45840</v>
      </c>
      <c r="C123" s="5" t="s">
        <v>21</v>
      </c>
      <c r="D123" s="6">
        <v>83.8</v>
      </c>
      <c r="E123" s="6">
        <v>88</v>
      </c>
      <c r="F123" s="6">
        <v>80.900000000000006</v>
      </c>
      <c r="G123" s="6">
        <v>85</v>
      </c>
      <c r="H123" s="6">
        <v>83.8</v>
      </c>
      <c r="I123" s="6">
        <v>85.4</v>
      </c>
      <c r="J123" s="7">
        <v>2326</v>
      </c>
      <c r="K123" s="6">
        <v>45.912999999999997</v>
      </c>
      <c r="L123" s="7">
        <v>545184</v>
      </c>
    </row>
    <row r="124" spans="1:12" ht="28.5">
      <c r="A124" s="3">
        <v>122</v>
      </c>
      <c r="B124" s="4">
        <v>45838</v>
      </c>
      <c r="C124" s="5" t="s">
        <v>21</v>
      </c>
      <c r="D124" s="6">
        <v>85.4</v>
      </c>
      <c r="E124" s="6">
        <v>90.9</v>
      </c>
      <c r="F124" s="6">
        <v>85</v>
      </c>
      <c r="G124" s="6">
        <v>90.9</v>
      </c>
      <c r="H124" s="6">
        <v>85.4</v>
      </c>
      <c r="I124" s="6">
        <v>89.3</v>
      </c>
      <c r="J124" s="7">
        <v>1960</v>
      </c>
      <c r="K124" s="6">
        <v>34.493000000000002</v>
      </c>
      <c r="L124" s="7">
        <v>397449</v>
      </c>
    </row>
    <row r="125" spans="1:12" ht="28.5">
      <c r="A125" s="3">
        <v>123</v>
      </c>
      <c r="B125" s="4">
        <v>45837</v>
      </c>
      <c r="C125" s="5" t="s">
        <v>21</v>
      </c>
      <c r="D125" s="6">
        <v>89.3</v>
      </c>
      <c r="E125" s="6">
        <v>93</v>
      </c>
      <c r="F125" s="6">
        <v>88.8</v>
      </c>
      <c r="G125" s="6">
        <v>91</v>
      </c>
      <c r="H125" s="6">
        <v>89.3</v>
      </c>
      <c r="I125" s="6">
        <v>90.8</v>
      </c>
      <c r="J125" s="7">
        <v>1709</v>
      </c>
      <c r="K125" s="6">
        <v>35.259</v>
      </c>
      <c r="L125" s="7">
        <v>391233</v>
      </c>
    </row>
    <row r="126" spans="1:12" ht="28.5">
      <c r="A126" s="3">
        <v>124</v>
      </c>
      <c r="B126" s="4">
        <v>45834</v>
      </c>
      <c r="C126" s="5" t="s">
        <v>21</v>
      </c>
      <c r="D126" s="6">
        <v>90.8</v>
      </c>
      <c r="E126" s="6">
        <v>92</v>
      </c>
      <c r="F126" s="6">
        <v>84.3</v>
      </c>
      <c r="G126" s="6">
        <v>85.8</v>
      </c>
      <c r="H126" s="6">
        <v>90.8</v>
      </c>
      <c r="I126" s="6">
        <v>86</v>
      </c>
      <c r="J126" s="7">
        <v>1875</v>
      </c>
      <c r="K126" s="6">
        <v>35.929000000000002</v>
      </c>
      <c r="L126" s="7">
        <v>403776</v>
      </c>
    </row>
    <row r="127" spans="1:12" ht="28.5">
      <c r="A127" s="3">
        <v>125</v>
      </c>
      <c r="B127" s="4">
        <v>45833</v>
      </c>
      <c r="C127" s="5" t="s">
        <v>21</v>
      </c>
      <c r="D127" s="6">
        <v>86</v>
      </c>
      <c r="E127" s="6">
        <v>89.4</v>
      </c>
      <c r="F127" s="6">
        <v>80.2</v>
      </c>
      <c r="G127" s="6">
        <v>81.900000000000006</v>
      </c>
      <c r="H127" s="6">
        <v>86</v>
      </c>
      <c r="I127" s="6">
        <v>82.1</v>
      </c>
      <c r="J127" s="7">
        <v>2339</v>
      </c>
      <c r="K127" s="6">
        <v>53.64</v>
      </c>
      <c r="L127" s="7">
        <v>622797</v>
      </c>
    </row>
    <row r="128" spans="1:12" ht="28.5">
      <c r="A128" s="3">
        <v>126</v>
      </c>
      <c r="B128" s="4">
        <v>45832</v>
      </c>
      <c r="C128" s="5" t="s">
        <v>21</v>
      </c>
      <c r="D128" s="6">
        <v>82.1</v>
      </c>
      <c r="E128" s="6">
        <v>85.8</v>
      </c>
      <c r="F128" s="6">
        <v>81.5</v>
      </c>
      <c r="G128" s="6">
        <v>84.7</v>
      </c>
      <c r="H128" s="6">
        <v>82.1</v>
      </c>
      <c r="I128" s="6">
        <v>82.9</v>
      </c>
      <c r="J128" s="7">
        <v>1857</v>
      </c>
      <c r="K128" s="6">
        <v>32.579000000000001</v>
      </c>
      <c r="L128" s="7">
        <v>389097</v>
      </c>
    </row>
    <row r="129" spans="1:12" ht="28.5">
      <c r="A129" s="3">
        <v>127</v>
      </c>
      <c r="B129" s="4">
        <v>45831</v>
      </c>
      <c r="C129" s="5" t="s">
        <v>21</v>
      </c>
      <c r="D129" s="6">
        <v>82.9</v>
      </c>
      <c r="E129" s="6">
        <v>82.9</v>
      </c>
      <c r="F129" s="6">
        <v>74.5</v>
      </c>
      <c r="G129" s="6">
        <v>75.5</v>
      </c>
      <c r="H129" s="6">
        <v>82.9</v>
      </c>
      <c r="I129" s="6">
        <v>75.400000000000006</v>
      </c>
      <c r="J129" s="7">
        <v>1375</v>
      </c>
      <c r="K129" s="6">
        <v>22.323</v>
      </c>
      <c r="L129" s="7">
        <v>274751</v>
      </c>
    </row>
    <row r="130" spans="1:12" ht="28.5">
      <c r="A130" s="3">
        <v>128</v>
      </c>
      <c r="B130" s="4">
        <v>45830</v>
      </c>
      <c r="C130" s="5" t="s">
        <v>21</v>
      </c>
      <c r="D130" s="6">
        <v>75.400000000000006</v>
      </c>
      <c r="E130" s="6">
        <v>77</v>
      </c>
      <c r="F130" s="6">
        <v>70.599999999999994</v>
      </c>
      <c r="G130" s="6">
        <v>73.7</v>
      </c>
      <c r="H130" s="6">
        <v>75.400000000000006</v>
      </c>
      <c r="I130" s="6">
        <v>72.7</v>
      </c>
      <c r="J130" s="7">
        <v>1032</v>
      </c>
      <c r="K130" s="6">
        <v>10.347</v>
      </c>
      <c r="L130" s="7">
        <v>138136</v>
      </c>
    </row>
    <row r="131" spans="1:12" ht="28.5">
      <c r="A131" s="3">
        <v>129</v>
      </c>
      <c r="B131" s="4">
        <v>45827</v>
      </c>
      <c r="C131" s="5" t="s">
        <v>21</v>
      </c>
      <c r="D131" s="6">
        <v>72.7</v>
      </c>
      <c r="E131" s="6">
        <v>74.099999999999994</v>
      </c>
      <c r="F131" s="6">
        <v>71.8</v>
      </c>
      <c r="G131" s="6">
        <v>72</v>
      </c>
      <c r="H131" s="6">
        <v>72.7</v>
      </c>
      <c r="I131" s="6">
        <v>72.2</v>
      </c>
      <c r="J131" s="6">
        <v>360</v>
      </c>
      <c r="K131" s="6">
        <v>4.5970000000000004</v>
      </c>
      <c r="L131" s="7">
        <v>63225</v>
      </c>
    </row>
    <row r="132" spans="1:12" ht="28.5">
      <c r="A132" s="3">
        <v>130</v>
      </c>
      <c r="B132" s="4">
        <v>45826</v>
      </c>
      <c r="C132" s="5" t="s">
        <v>21</v>
      </c>
      <c r="D132" s="6">
        <v>72.2</v>
      </c>
      <c r="E132" s="6">
        <v>72.599999999999994</v>
      </c>
      <c r="F132" s="6">
        <v>69.099999999999994</v>
      </c>
      <c r="G132" s="6">
        <v>69.2</v>
      </c>
      <c r="H132" s="6">
        <v>72.2</v>
      </c>
      <c r="I132" s="6">
        <v>69.599999999999994</v>
      </c>
      <c r="J132" s="6">
        <v>376</v>
      </c>
      <c r="K132" s="6">
        <v>4.2729999999999997</v>
      </c>
      <c r="L132" s="7">
        <v>60081</v>
      </c>
    </row>
    <row r="133" spans="1:12" ht="28.5">
      <c r="A133" s="3">
        <v>131</v>
      </c>
      <c r="B133" s="4">
        <v>45825</v>
      </c>
      <c r="C133" s="5" t="s">
        <v>21</v>
      </c>
      <c r="D133" s="6">
        <v>69.599999999999994</v>
      </c>
      <c r="E133" s="6">
        <v>70</v>
      </c>
      <c r="F133" s="6">
        <v>69</v>
      </c>
      <c r="G133" s="6">
        <v>69</v>
      </c>
      <c r="H133" s="6">
        <v>69.599999999999994</v>
      </c>
      <c r="I133" s="6">
        <v>70.099999999999994</v>
      </c>
      <c r="J133" s="6">
        <v>73</v>
      </c>
      <c r="K133" s="6">
        <v>0.66400000000000003</v>
      </c>
      <c r="L133" s="7">
        <v>9563</v>
      </c>
    </row>
    <row r="134" spans="1:12" ht="28.5">
      <c r="A134" s="3">
        <v>132</v>
      </c>
      <c r="B134" s="4">
        <v>45824</v>
      </c>
      <c r="C134" s="5" t="s">
        <v>21</v>
      </c>
      <c r="D134" s="6">
        <v>70.099999999999994</v>
      </c>
      <c r="E134" s="6">
        <v>71</v>
      </c>
      <c r="F134" s="6">
        <v>68.400000000000006</v>
      </c>
      <c r="G134" s="6">
        <v>68.400000000000006</v>
      </c>
      <c r="H134" s="6">
        <v>70.099999999999994</v>
      </c>
      <c r="I134" s="6">
        <v>68</v>
      </c>
      <c r="J134" s="6">
        <v>198</v>
      </c>
      <c r="K134" s="6">
        <v>1.258</v>
      </c>
      <c r="L134" s="7">
        <v>17974</v>
      </c>
    </row>
    <row r="135" spans="1:12" ht="28.5">
      <c r="A135" s="3">
        <v>133</v>
      </c>
      <c r="B135" s="4">
        <v>45823</v>
      </c>
      <c r="C135" s="5" t="s">
        <v>21</v>
      </c>
      <c r="D135" s="6">
        <v>68.5</v>
      </c>
      <c r="E135" s="6">
        <v>69.900000000000006</v>
      </c>
      <c r="F135" s="6">
        <v>67</v>
      </c>
      <c r="G135" s="6">
        <v>69.900000000000006</v>
      </c>
      <c r="H135" s="6">
        <v>68</v>
      </c>
      <c r="I135" s="6">
        <v>68.900000000000006</v>
      </c>
      <c r="J135" s="6">
        <v>130</v>
      </c>
      <c r="K135" s="6">
        <v>1.4019999999999999</v>
      </c>
      <c r="L135" s="7">
        <v>20703</v>
      </c>
    </row>
    <row r="136" spans="1:12" ht="28.5">
      <c r="A136" s="3">
        <v>134</v>
      </c>
      <c r="B136" s="4">
        <v>45812</v>
      </c>
      <c r="C136" s="5" t="s">
        <v>21</v>
      </c>
      <c r="D136" s="6">
        <v>68.900000000000006</v>
      </c>
      <c r="E136" s="6">
        <v>69.400000000000006</v>
      </c>
      <c r="F136" s="6">
        <v>67.5</v>
      </c>
      <c r="G136" s="6">
        <v>67.8</v>
      </c>
      <c r="H136" s="6">
        <v>68.900000000000006</v>
      </c>
      <c r="I136" s="6">
        <v>67.2</v>
      </c>
      <c r="J136" s="6">
        <v>162</v>
      </c>
      <c r="K136" s="6">
        <v>1.1220000000000001</v>
      </c>
      <c r="L136" s="7">
        <v>16395</v>
      </c>
    </row>
    <row r="137" spans="1:12" ht="28.5">
      <c r="A137" s="3">
        <v>135</v>
      </c>
      <c r="B137" s="4">
        <v>45811</v>
      </c>
      <c r="C137" s="5" t="s">
        <v>21</v>
      </c>
      <c r="D137" s="6">
        <v>67.2</v>
      </c>
      <c r="E137" s="6">
        <v>69.400000000000006</v>
      </c>
      <c r="F137" s="6">
        <v>66.099999999999994</v>
      </c>
      <c r="G137" s="6">
        <v>66.2</v>
      </c>
      <c r="H137" s="6">
        <v>67.2</v>
      </c>
      <c r="I137" s="6">
        <v>66.7</v>
      </c>
      <c r="J137" s="6">
        <v>115</v>
      </c>
      <c r="K137" s="6">
        <v>1.119</v>
      </c>
      <c r="L137" s="7">
        <v>16694</v>
      </c>
    </row>
    <row r="138" spans="1:12" ht="28.5">
      <c r="A138" s="3">
        <v>136</v>
      </c>
      <c r="B138" s="4">
        <v>45810</v>
      </c>
      <c r="C138" s="5" t="s">
        <v>21</v>
      </c>
      <c r="D138" s="6">
        <v>66.7</v>
      </c>
      <c r="E138" s="6">
        <v>68.5</v>
      </c>
      <c r="F138" s="6">
        <v>66</v>
      </c>
      <c r="G138" s="6">
        <v>68.5</v>
      </c>
      <c r="H138" s="6">
        <v>66.7</v>
      </c>
      <c r="I138" s="6">
        <v>65.900000000000006</v>
      </c>
      <c r="J138" s="6">
        <v>73</v>
      </c>
      <c r="K138" s="6">
        <v>0.59299999999999997</v>
      </c>
      <c r="L138" s="7">
        <v>8913</v>
      </c>
    </row>
    <row r="139" spans="1:12" ht="28.5">
      <c r="A139" s="3">
        <v>137</v>
      </c>
      <c r="B139" s="4">
        <v>45809</v>
      </c>
      <c r="C139" s="5" t="s">
        <v>21</v>
      </c>
      <c r="D139" s="6">
        <v>66</v>
      </c>
      <c r="E139" s="6">
        <v>67.7</v>
      </c>
      <c r="F139" s="6">
        <v>65.8</v>
      </c>
      <c r="G139" s="6">
        <v>67.400000000000006</v>
      </c>
      <c r="H139" s="6">
        <v>65.900000000000006</v>
      </c>
      <c r="I139" s="6">
        <v>66.099999999999994</v>
      </c>
      <c r="J139" s="6">
        <v>71</v>
      </c>
      <c r="K139" s="6">
        <v>0.65500000000000003</v>
      </c>
      <c r="L139" s="7">
        <v>9909</v>
      </c>
    </row>
    <row r="140" spans="1:12" ht="28.5">
      <c r="A140" s="3">
        <v>138</v>
      </c>
      <c r="B140" s="4">
        <v>45806</v>
      </c>
      <c r="C140" s="5" t="s">
        <v>21</v>
      </c>
      <c r="D140" s="6">
        <v>66.099999999999994</v>
      </c>
      <c r="E140" s="6">
        <v>68.400000000000006</v>
      </c>
      <c r="F140" s="6">
        <v>65</v>
      </c>
      <c r="G140" s="6">
        <v>65</v>
      </c>
      <c r="H140" s="6">
        <v>66.099999999999994</v>
      </c>
      <c r="I140" s="6">
        <v>64.900000000000006</v>
      </c>
      <c r="J140" s="6">
        <v>151</v>
      </c>
      <c r="K140" s="6">
        <v>1.167</v>
      </c>
      <c r="L140" s="7">
        <v>17769</v>
      </c>
    </row>
    <row r="141" spans="1:12" ht="28.5">
      <c r="A141" s="3">
        <v>139</v>
      </c>
      <c r="B141" s="4">
        <v>45805</v>
      </c>
      <c r="C141" s="5" t="s">
        <v>21</v>
      </c>
      <c r="D141" s="6">
        <v>65.900000000000006</v>
      </c>
      <c r="E141" s="6">
        <v>66.900000000000006</v>
      </c>
      <c r="F141" s="6">
        <v>64.599999999999994</v>
      </c>
      <c r="G141" s="6">
        <v>66.900000000000006</v>
      </c>
      <c r="H141" s="6">
        <v>64.900000000000006</v>
      </c>
      <c r="I141" s="6">
        <v>67.7</v>
      </c>
      <c r="J141" s="6">
        <v>136</v>
      </c>
      <c r="K141" s="6">
        <v>1.1100000000000001</v>
      </c>
      <c r="L141" s="7">
        <v>16841</v>
      </c>
    </row>
    <row r="142" spans="1:12" ht="28.5">
      <c r="A142" s="3">
        <v>140</v>
      </c>
      <c r="B142" s="4">
        <v>45804</v>
      </c>
      <c r="C142" s="5" t="s">
        <v>21</v>
      </c>
      <c r="D142" s="6">
        <v>67.7</v>
      </c>
      <c r="E142" s="6">
        <v>69</v>
      </c>
      <c r="F142" s="6">
        <v>67.400000000000006</v>
      </c>
      <c r="G142" s="6">
        <v>68.2</v>
      </c>
      <c r="H142" s="6">
        <v>67.7</v>
      </c>
      <c r="I142" s="6">
        <v>68.2</v>
      </c>
      <c r="J142" s="6">
        <v>108</v>
      </c>
      <c r="K142" s="6">
        <v>1.425</v>
      </c>
      <c r="L142" s="7">
        <v>21081</v>
      </c>
    </row>
    <row r="143" spans="1:12" ht="28.5">
      <c r="A143" s="3">
        <v>141</v>
      </c>
      <c r="B143" s="4">
        <v>45803</v>
      </c>
      <c r="C143" s="5" t="s">
        <v>21</v>
      </c>
      <c r="D143" s="6">
        <v>68.099999999999994</v>
      </c>
      <c r="E143" s="6">
        <v>68.8</v>
      </c>
      <c r="F143" s="6">
        <v>67.599999999999994</v>
      </c>
      <c r="G143" s="6">
        <v>67.599999999999994</v>
      </c>
      <c r="H143" s="6">
        <v>68.2</v>
      </c>
      <c r="I143" s="6">
        <v>67.599999999999994</v>
      </c>
      <c r="J143" s="6">
        <v>47</v>
      </c>
      <c r="K143" s="6">
        <v>0.38</v>
      </c>
      <c r="L143" s="7">
        <v>5600</v>
      </c>
    </row>
    <row r="144" spans="1:12" ht="28.5">
      <c r="A144" s="3">
        <v>142</v>
      </c>
      <c r="B144" s="4">
        <v>45802</v>
      </c>
      <c r="C144" s="5" t="s">
        <v>21</v>
      </c>
      <c r="D144" s="6">
        <v>67.599999999999994</v>
      </c>
      <c r="E144" s="6">
        <v>70</v>
      </c>
      <c r="F144" s="6">
        <v>67.2</v>
      </c>
      <c r="G144" s="6">
        <v>70</v>
      </c>
      <c r="H144" s="6">
        <v>67.599999999999994</v>
      </c>
      <c r="I144" s="6">
        <v>68.5</v>
      </c>
      <c r="J144" s="6">
        <v>105</v>
      </c>
      <c r="K144" s="6">
        <v>0.75800000000000001</v>
      </c>
      <c r="L144" s="7">
        <v>11145</v>
      </c>
    </row>
    <row r="145" spans="1:12" ht="28.5">
      <c r="A145" s="3">
        <v>143</v>
      </c>
      <c r="B145" s="4">
        <v>45801</v>
      </c>
      <c r="C145" s="5" t="s">
        <v>21</v>
      </c>
      <c r="D145" s="6">
        <v>68.5</v>
      </c>
      <c r="E145" s="6">
        <v>71.7</v>
      </c>
      <c r="F145" s="6">
        <v>68.400000000000006</v>
      </c>
      <c r="G145" s="6">
        <v>71.7</v>
      </c>
      <c r="H145" s="6">
        <v>68.5</v>
      </c>
      <c r="I145" s="6">
        <v>70.3</v>
      </c>
      <c r="J145" s="6">
        <v>64</v>
      </c>
      <c r="K145" s="6">
        <v>0.49</v>
      </c>
      <c r="L145" s="7">
        <v>7143</v>
      </c>
    </row>
    <row r="146" spans="1:12" ht="28.5">
      <c r="A146" s="3">
        <v>144</v>
      </c>
      <c r="B146" s="4">
        <v>45799</v>
      </c>
      <c r="C146" s="5" t="s">
        <v>21</v>
      </c>
      <c r="D146" s="6">
        <v>70.3</v>
      </c>
      <c r="E146" s="6">
        <v>72</v>
      </c>
      <c r="F146" s="6">
        <v>68.8</v>
      </c>
      <c r="G146" s="6">
        <v>68.8</v>
      </c>
      <c r="H146" s="6">
        <v>70.3</v>
      </c>
      <c r="I146" s="6">
        <v>68.8</v>
      </c>
      <c r="J146" s="6">
        <v>178</v>
      </c>
      <c r="K146" s="6">
        <v>1.871</v>
      </c>
      <c r="L146" s="7">
        <v>26420</v>
      </c>
    </row>
    <row r="147" spans="1:12" ht="28.5">
      <c r="A147" s="3">
        <v>145</v>
      </c>
      <c r="B147" s="4">
        <v>45798</v>
      </c>
      <c r="C147" s="5" t="s">
        <v>21</v>
      </c>
      <c r="D147" s="6">
        <v>69.3</v>
      </c>
      <c r="E147" s="6">
        <v>69.7</v>
      </c>
      <c r="F147" s="6">
        <v>67.2</v>
      </c>
      <c r="G147" s="6">
        <v>69</v>
      </c>
      <c r="H147" s="6">
        <v>68.8</v>
      </c>
      <c r="I147" s="6">
        <v>67.900000000000006</v>
      </c>
      <c r="J147" s="6">
        <v>76</v>
      </c>
      <c r="K147" s="6">
        <v>0.81399999999999995</v>
      </c>
      <c r="L147" s="7">
        <v>11882</v>
      </c>
    </row>
    <row r="148" spans="1:12" ht="28.5">
      <c r="A148" s="3">
        <v>146</v>
      </c>
      <c r="B148" s="4">
        <v>45797</v>
      </c>
      <c r="C148" s="5" t="s">
        <v>21</v>
      </c>
      <c r="D148" s="6">
        <v>68.5</v>
      </c>
      <c r="E148" s="6">
        <v>70.099999999999994</v>
      </c>
      <c r="F148" s="6">
        <v>67</v>
      </c>
      <c r="G148" s="6">
        <v>70.099999999999994</v>
      </c>
      <c r="H148" s="6">
        <v>67.900000000000006</v>
      </c>
      <c r="I148" s="6">
        <v>66.7</v>
      </c>
      <c r="J148" s="6">
        <v>53</v>
      </c>
      <c r="K148" s="6">
        <v>0.57399999999999995</v>
      </c>
      <c r="L148" s="7">
        <v>8501</v>
      </c>
    </row>
    <row r="149" spans="1:12" ht="28.5">
      <c r="A149" s="3">
        <v>147</v>
      </c>
      <c r="B149" s="4">
        <v>45796</v>
      </c>
      <c r="C149" s="5" t="s">
        <v>21</v>
      </c>
      <c r="D149" s="6">
        <v>66.7</v>
      </c>
      <c r="E149" s="6">
        <v>67.900000000000006</v>
      </c>
      <c r="F149" s="6">
        <v>66.5</v>
      </c>
      <c r="G149" s="6">
        <v>66.900000000000006</v>
      </c>
      <c r="H149" s="6">
        <v>66.7</v>
      </c>
      <c r="I149" s="6">
        <v>66.900000000000006</v>
      </c>
      <c r="J149" s="6">
        <v>74</v>
      </c>
      <c r="K149" s="6">
        <v>0.67800000000000005</v>
      </c>
      <c r="L149" s="7">
        <v>10135</v>
      </c>
    </row>
    <row r="150" spans="1:12" ht="28.5">
      <c r="A150" s="3">
        <v>148</v>
      </c>
      <c r="B150" s="4">
        <v>45795</v>
      </c>
      <c r="C150" s="5" t="s">
        <v>21</v>
      </c>
      <c r="D150" s="6">
        <v>66.900000000000006</v>
      </c>
      <c r="E150" s="6">
        <v>69.400000000000006</v>
      </c>
      <c r="F150" s="6">
        <v>66.5</v>
      </c>
      <c r="G150" s="6">
        <v>68.8</v>
      </c>
      <c r="H150" s="6">
        <v>66.900000000000006</v>
      </c>
      <c r="I150" s="6">
        <v>68.599999999999994</v>
      </c>
      <c r="J150" s="6">
        <v>80</v>
      </c>
      <c r="K150" s="6">
        <v>0.495</v>
      </c>
      <c r="L150" s="7">
        <v>7293</v>
      </c>
    </row>
    <row r="151" spans="1:12" ht="28.5">
      <c r="A151" s="3">
        <v>149</v>
      </c>
      <c r="B151" s="4">
        <v>45794</v>
      </c>
      <c r="C151" s="5" t="s">
        <v>21</v>
      </c>
      <c r="D151" s="6">
        <v>68.599999999999994</v>
      </c>
      <c r="E151" s="6">
        <v>69.8</v>
      </c>
      <c r="F151" s="6">
        <v>65.599999999999994</v>
      </c>
      <c r="G151" s="6">
        <v>65.599999999999994</v>
      </c>
      <c r="H151" s="6">
        <v>68.599999999999994</v>
      </c>
      <c r="I151" s="6">
        <v>67.599999999999994</v>
      </c>
      <c r="J151" s="6">
        <v>41</v>
      </c>
      <c r="K151" s="6">
        <v>0.33700000000000002</v>
      </c>
      <c r="L151" s="7">
        <v>4940</v>
      </c>
    </row>
    <row r="152" spans="1:12" ht="28.5">
      <c r="A152" s="3">
        <v>150</v>
      </c>
      <c r="B152" s="4">
        <v>45792</v>
      </c>
      <c r="C152" s="5" t="s">
        <v>21</v>
      </c>
      <c r="D152" s="6">
        <v>68.900000000000006</v>
      </c>
      <c r="E152" s="6">
        <v>69.8</v>
      </c>
      <c r="F152" s="6">
        <v>66</v>
      </c>
      <c r="G152" s="6">
        <v>69.8</v>
      </c>
      <c r="H152" s="6">
        <v>67.599999999999994</v>
      </c>
      <c r="I152" s="6">
        <v>67.400000000000006</v>
      </c>
      <c r="J152" s="6">
        <v>82</v>
      </c>
      <c r="K152" s="6">
        <v>0.46500000000000002</v>
      </c>
      <c r="L152" s="7">
        <v>6925</v>
      </c>
    </row>
    <row r="153" spans="1:12" ht="28.5">
      <c r="A153" s="3">
        <v>151</v>
      </c>
      <c r="B153" s="4">
        <v>45791</v>
      </c>
      <c r="C153" s="5" t="s">
        <v>21</v>
      </c>
      <c r="D153" s="6">
        <v>67.400000000000006</v>
      </c>
      <c r="E153" s="6">
        <v>69.8</v>
      </c>
      <c r="F153" s="6">
        <v>67.099999999999994</v>
      </c>
      <c r="G153" s="6">
        <v>68.400000000000006</v>
      </c>
      <c r="H153" s="6">
        <v>67.400000000000006</v>
      </c>
      <c r="I153" s="6">
        <v>69.099999999999994</v>
      </c>
      <c r="J153" s="6">
        <v>118</v>
      </c>
      <c r="K153" s="6">
        <v>0.58899999999999997</v>
      </c>
      <c r="L153" s="7">
        <v>8628</v>
      </c>
    </row>
    <row r="154" spans="1:12" ht="28.5">
      <c r="A154" s="3">
        <v>152</v>
      </c>
      <c r="B154" s="4">
        <v>45790</v>
      </c>
      <c r="C154" s="5" t="s">
        <v>21</v>
      </c>
      <c r="D154" s="6">
        <v>68.400000000000006</v>
      </c>
      <c r="E154" s="6">
        <v>70.8</v>
      </c>
      <c r="F154" s="6">
        <v>68.099999999999994</v>
      </c>
      <c r="G154" s="6">
        <v>70.8</v>
      </c>
      <c r="H154" s="6">
        <v>69.099999999999994</v>
      </c>
      <c r="I154" s="6">
        <v>70</v>
      </c>
      <c r="J154" s="6">
        <v>81</v>
      </c>
      <c r="K154" s="6">
        <v>0.91900000000000004</v>
      </c>
      <c r="L154" s="7">
        <v>13220</v>
      </c>
    </row>
    <row r="155" spans="1:12" ht="28.5">
      <c r="A155" s="3">
        <v>153</v>
      </c>
      <c r="B155" s="4">
        <v>45789</v>
      </c>
      <c r="C155" s="5" t="s">
        <v>21</v>
      </c>
      <c r="D155" s="6">
        <v>70</v>
      </c>
      <c r="E155" s="6">
        <v>70.5</v>
      </c>
      <c r="F155" s="6">
        <v>69.900000000000006</v>
      </c>
      <c r="G155" s="6">
        <v>70</v>
      </c>
      <c r="H155" s="6">
        <v>70</v>
      </c>
      <c r="I155" s="6">
        <v>69.8</v>
      </c>
      <c r="J155" s="6">
        <v>99</v>
      </c>
      <c r="K155" s="6">
        <v>1.587</v>
      </c>
      <c r="L155" s="7">
        <v>22648</v>
      </c>
    </row>
    <row r="156" spans="1:12" ht="28.5">
      <c r="A156" s="3">
        <v>154</v>
      </c>
      <c r="B156" s="4">
        <v>45785</v>
      </c>
      <c r="C156" s="5" t="s">
        <v>21</v>
      </c>
      <c r="D156" s="6">
        <v>69.8</v>
      </c>
      <c r="E156" s="6">
        <v>70.400000000000006</v>
      </c>
      <c r="F156" s="6">
        <v>67</v>
      </c>
      <c r="G156" s="6">
        <v>68</v>
      </c>
      <c r="H156" s="6">
        <v>69.8</v>
      </c>
      <c r="I156" s="6">
        <v>66.7</v>
      </c>
      <c r="J156" s="6">
        <v>164</v>
      </c>
      <c r="K156" s="6">
        <v>1.1919999999999999</v>
      </c>
      <c r="L156" s="7">
        <v>17121</v>
      </c>
    </row>
    <row r="157" spans="1:12" ht="28.5">
      <c r="A157" s="3">
        <v>155</v>
      </c>
      <c r="B157" s="4">
        <v>45784</v>
      </c>
      <c r="C157" s="5" t="s">
        <v>21</v>
      </c>
      <c r="D157" s="6">
        <v>66.7</v>
      </c>
      <c r="E157" s="6">
        <v>71.2</v>
      </c>
      <c r="F157" s="6">
        <v>66</v>
      </c>
      <c r="G157" s="6">
        <v>71.2</v>
      </c>
      <c r="H157" s="6">
        <v>66.7</v>
      </c>
      <c r="I157" s="6">
        <v>72</v>
      </c>
      <c r="J157" s="6">
        <v>343</v>
      </c>
      <c r="K157" s="6">
        <v>3.722</v>
      </c>
      <c r="L157" s="7">
        <v>54336</v>
      </c>
    </row>
    <row r="158" spans="1:12" ht="28.5">
      <c r="A158" s="3">
        <v>156</v>
      </c>
      <c r="B158" s="4">
        <v>45783</v>
      </c>
      <c r="C158" s="5" t="s">
        <v>21</v>
      </c>
      <c r="D158" s="6">
        <v>72</v>
      </c>
      <c r="E158" s="6">
        <v>73.7</v>
      </c>
      <c r="F158" s="6">
        <v>71.7</v>
      </c>
      <c r="G158" s="6">
        <v>72.8</v>
      </c>
      <c r="H158" s="6">
        <v>72</v>
      </c>
      <c r="I158" s="6">
        <v>72.8</v>
      </c>
      <c r="J158" s="6">
        <v>209</v>
      </c>
      <c r="K158" s="6">
        <v>2.3620000000000001</v>
      </c>
      <c r="L158" s="7">
        <v>32478</v>
      </c>
    </row>
    <row r="159" spans="1:12" ht="28.5">
      <c r="A159" s="3">
        <v>157</v>
      </c>
      <c r="B159" s="4">
        <v>45782</v>
      </c>
      <c r="C159" s="5" t="s">
        <v>21</v>
      </c>
      <c r="D159" s="6">
        <v>72.8</v>
      </c>
      <c r="E159" s="6">
        <v>74.599999999999994</v>
      </c>
      <c r="F159" s="6">
        <v>72.099999999999994</v>
      </c>
      <c r="G159" s="6">
        <v>73.7</v>
      </c>
      <c r="H159" s="6">
        <v>72.8</v>
      </c>
      <c r="I159" s="6">
        <v>74.2</v>
      </c>
      <c r="J159" s="6">
        <v>286</v>
      </c>
      <c r="K159" s="6">
        <v>3.649</v>
      </c>
      <c r="L159" s="7">
        <v>49866</v>
      </c>
    </row>
    <row r="160" spans="1:12" ht="28.5">
      <c r="A160" s="3">
        <v>158</v>
      </c>
      <c r="B160" s="4">
        <v>45781</v>
      </c>
      <c r="C160" s="5" t="s">
        <v>21</v>
      </c>
      <c r="D160" s="6">
        <v>74.2</v>
      </c>
      <c r="E160" s="6">
        <v>74.5</v>
      </c>
      <c r="F160" s="6">
        <v>72.099999999999994</v>
      </c>
      <c r="G160" s="6">
        <v>72.400000000000006</v>
      </c>
      <c r="H160" s="6">
        <v>74.2</v>
      </c>
      <c r="I160" s="6">
        <v>72.099999999999994</v>
      </c>
      <c r="J160" s="6">
        <v>153</v>
      </c>
      <c r="K160" s="6">
        <v>1.218</v>
      </c>
      <c r="L160" s="7">
        <v>16690</v>
      </c>
    </row>
    <row r="161" spans="1:12" ht="28.5">
      <c r="A161" s="3">
        <v>159</v>
      </c>
      <c r="B161" s="4">
        <v>45777</v>
      </c>
      <c r="C161" s="5" t="s">
        <v>21</v>
      </c>
      <c r="D161" s="6">
        <v>72.099999999999994</v>
      </c>
      <c r="E161" s="6">
        <v>74.900000000000006</v>
      </c>
      <c r="F161" s="6">
        <v>71.7</v>
      </c>
      <c r="G161" s="6">
        <v>71.8</v>
      </c>
      <c r="H161" s="6">
        <v>72.099999999999994</v>
      </c>
      <c r="I161" s="6">
        <v>73.5</v>
      </c>
      <c r="J161" s="6">
        <v>174</v>
      </c>
      <c r="K161" s="6">
        <v>1.8029999999999999</v>
      </c>
      <c r="L161" s="7">
        <v>24962</v>
      </c>
    </row>
    <row r="162" spans="1:12" ht="28.5">
      <c r="A162" s="3">
        <v>160</v>
      </c>
      <c r="B162" s="4">
        <v>45776</v>
      </c>
      <c r="C162" s="5" t="s">
        <v>21</v>
      </c>
      <c r="D162" s="6">
        <v>73.5</v>
      </c>
      <c r="E162" s="6">
        <v>75</v>
      </c>
      <c r="F162" s="6">
        <v>72.8</v>
      </c>
      <c r="G162" s="6">
        <v>73.400000000000006</v>
      </c>
      <c r="H162" s="6">
        <v>73.5</v>
      </c>
      <c r="I162" s="6">
        <v>75.7</v>
      </c>
      <c r="J162" s="6">
        <v>152</v>
      </c>
      <c r="K162" s="6">
        <v>1.71</v>
      </c>
      <c r="L162" s="7">
        <v>23345</v>
      </c>
    </row>
    <row r="163" spans="1:12" ht="28.5">
      <c r="A163" s="3">
        <v>161</v>
      </c>
      <c r="B163" s="4">
        <v>45775</v>
      </c>
      <c r="C163" s="5" t="s">
        <v>21</v>
      </c>
      <c r="D163" s="6">
        <v>74.599999999999994</v>
      </c>
      <c r="E163" s="6">
        <v>76.2</v>
      </c>
      <c r="F163" s="6">
        <v>74.2</v>
      </c>
      <c r="G163" s="6">
        <v>74.3</v>
      </c>
      <c r="H163" s="6">
        <v>75.7</v>
      </c>
      <c r="I163" s="6">
        <v>73.599999999999994</v>
      </c>
      <c r="J163" s="6">
        <v>327</v>
      </c>
      <c r="K163" s="6">
        <v>2.7890000000000001</v>
      </c>
      <c r="L163" s="7">
        <v>36992</v>
      </c>
    </row>
    <row r="164" spans="1:12" ht="28.5">
      <c r="A164" s="3">
        <v>162</v>
      </c>
      <c r="B164" s="4">
        <v>45774</v>
      </c>
      <c r="C164" s="5" t="s">
        <v>21</v>
      </c>
      <c r="D164" s="6">
        <v>73.599999999999994</v>
      </c>
      <c r="E164" s="6">
        <v>74.400000000000006</v>
      </c>
      <c r="F164" s="6">
        <v>72.099999999999994</v>
      </c>
      <c r="G164" s="6">
        <v>72.099999999999994</v>
      </c>
      <c r="H164" s="6">
        <v>73.599999999999994</v>
      </c>
      <c r="I164" s="6">
        <v>73.599999999999994</v>
      </c>
      <c r="J164" s="6">
        <v>218</v>
      </c>
      <c r="K164" s="6">
        <v>2.6</v>
      </c>
      <c r="L164" s="7">
        <v>35539</v>
      </c>
    </row>
    <row r="165" spans="1:12" ht="28.5">
      <c r="A165" s="3">
        <v>163</v>
      </c>
      <c r="B165" s="4">
        <v>45771</v>
      </c>
      <c r="C165" s="5" t="s">
        <v>21</v>
      </c>
      <c r="D165" s="6">
        <v>73.599999999999994</v>
      </c>
      <c r="E165" s="6">
        <v>77</v>
      </c>
      <c r="F165" s="6">
        <v>73.2</v>
      </c>
      <c r="G165" s="6">
        <v>77</v>
      </c>
      <c r="H165" s="6">
        <v>73.599999999999994</v>
      </c>
      <c r="I165" s="6">
        <v>76.099999999999994</v>
      </c>
      <c r="J165" s="6">
        <v>181</v>
      </c>
      <c r="K165" s="6">
        <v>1.7350000000000001</v>
      </c>
      <c r="L165" s="7">
        <v>23354</v>
      </c>
    </row>
    <row r="166" spans="1:12" ht="28.5">
      <c r="A166" s="3">
        <v>164</v>
      </c>
      <c r="B166" s="4">
        <v>45770</v>
      </c>
      <c r="C166" s="5" t="s">
        <v>21</v>
      </c>
      <c r="D166" s="6">
        <v>76.099999999999994</v>
      </c>
      <c r="E166" s="6">
        <v>77</v>
      </c>
      <c r="F166" s="6">
        <v>75.5</v>
      </c>
      <c r="G166" s="6">
        <v>76.400000000000006</v>
      </c>
      <c r="H166" s="6">
        <v>76.099999999999994</v>
      </c>
      <c r="I166" s="6">
        <v>76</v>
      </c>
      <c r="J166" s="6">
        <v>191</v>
      </c>
      <c r="K166" s="6">
        <v>2.661</v>
      </c>
      <c r="L166" s="7">
        <v>34992</v>
      </c>
    </row>
    <row r="167" spans="1:12" ht="28.5">
      <c r="A167" s="3">
        <v>165</v>
      </c>
      <c r="B167" s="4">
        <v>45769</v>
      </c>
      <c r="C167" s="5" t="s">
        <v>21</v>
      </c>
      <c r="D167" s="6">
        <v>76</v>
      </c>
      <c r="E167" s="6">
        <v>77.599999999999994</v>
      </c>
      <c r="F167" s="6">
        <v>75.599999999999994</v>
      </c>
      <c r="G167" s="6">
        <v>77.400000000000006</v>
      </c>
      <c r="H167" s="6">
        <v>76</v>
      </c>
      <c r="I167" s="6">
        <v>77.3</v>
      </c>
      <c r="J167" s="6">
        <v>191</v>
      </c>
      <c r="K167" s="6">
        <v>3.044</v>
      </c>
      <c r="L167" s="7">
        <v>39885</v>
      </c>
    </row>
    <row r="168" spans="1:12" ht="28.5">
      <c r="A168" s="3">
        <v>166</v>
      </c>
      <c r="B168" s="4">
        <v>45768</v>
      </c>
      <c r="C168" s="5" t="s">
        <v>21</v>
      </c>
      <c r="D168" s="6">
        <v>77</v>
      </c>
      <c r="E168" s="6">
        <v>78.5</v>
      </c>
      <c r="F168" s="6">
        <v>77</v>
      </c>
      <c r="G168" s="6">
        <v>77.5</v>
      </c>
      <c r="H168" s="6">
        <v>77.3</v>
      </c>
      <c r="I168" s="6">
        <v>77</v>
      </c>
      <c r="J168" s="6">
        <v>159</v>
      </c>
      <c r="K168" s="6">
        <v>1.208</v>
      </c>
      <c r="L168" s="7">
        <v>15614</v>
      </c>
    </row>
    <row r="169" spans="1:12" ht="28.5">
      <c r="A169" s="3">
        <v>167</v>
      </c>
      <c r="B169" s="4">
        <v>45767</v>
      </c>
      <c r="C169" s="5" t="s">
        <v>21</v>
      </c>
      <c r="D169" s="6">
        <v>77</v>
      </c>
      <c r="E169" s="6">
        <v>79.8</v>
      </c>
      <c r="F169" s="6">
        <v>76.5</v>
      </c>
      <c r="G169" s="6">
        <v>78.5</v>
      </c>
      <c r="H169" s="6">
        <v>77</v>
      </c>
      <c r="I169" s="6">
        <v>78.8</v>
      </c>
      <c r="J169" s="6">
        <v>281</v>
      </c>
      <c r="K169" s="6">
        <v>4.0209999999999999</v>
      </c>
      <c r="L169" s="7">
        <v>51863</v>
      </c>
    </row>
    <row r="170" spans="1:12" ht="28.5">
      <c r="A170" s="3">
        <v>168</v>
      </c>
      <c r="B170" s="4">
        <v>45764</v>
      </c>
      <c r="C170" s="5" t="s">
        <v>21</v>
      </c>
      <c r="D170" s="6">
        <v>78.8</v>
      </c>
      <c r="E170" s="6">
        <v>80.5</v>
      </c>
      <c r="F170" s="6">
        <v>78.5</v>
      </c>
      <c r="G170" s="6">
        <v>79.099999999999994</v>
      </c>
      <c r="H170" s="6">
        <v>78.8</v>
      </c>
      <c r="I170" s="6">
        <v>79.5</v>
      </c>
      <c r="J170" s="6">
        <v>171</v>
      </c>
      <c r="K170" s="6">
        <v>2.2639999999999998</v>
      </c>
      <c r="L170" s="7">
        <v>28609</v>
      </c>
    </row>
    <row r="171" spans="1:12" ht="28.5">
      <c r="A171" s="3">
        <v>169</v>
      </c>
      <c r="B171" s="4">
        <v>45763</v>
      </c>
      <c r="C171" s="5" t="s">
        <v>21</v>
      </c>
      <c r="D171" s="6">
        <v>79.5</v>
      </c>
      <c r="E171" s="6">
        <v>81.5</v>
      </c>
      <c r="F171" s="6">
        <v>79.2</v>
      </c>
      <c r="G171" s="6">
        <v>81</v>
      </c>
      <c r="H171" s="6">
        <v>79.5</v>
      </c>
      <c r="I171" s="6">
        <v>81</v>
      </c>
      <c r="J171" s="6">
        <v>264</v>
      </c>
      <c r="K171" s="6">
        <v>3.7069999999999999</v>
      </c>
      <c r="L171" s="7">
        <v>46357</v>
      </c>
    </row>
    <row r="172" spans="1:12" ht="28.5">
      <c r="A172" s="3">
        <v>170</v>
      </c>
      <c r="B172" s="4">
        <v>45762</v>
      </c>
      <c r="C172" s="5" t="s">
        <v>21</v>
      </c>
      <c r="D172" s="6">
        <v>81</v>
      </c>
      <c r="E172" s="6">
        <v>83</v>
      </c>
      <c r="F172" s="6">
        <v>80.400000000000006</v>
      </c>
      <c r="G172" s="6">
        <v>80.900000000000006</v>
      </c>
      <c r="H172" s="6">
        <v>81</v>
      </c>
      <c r="I172" s="6">
        <v>80.7</v>
      </c>
      <c r="J172" s="6">
        <v>636</v>
      </c>
      <c r="K172" s="6">
        <v>10.381</v>
      </c>
      <c r="L172" s="7">
        <v>126828</v>
      </c>
    </row>
    <row r="173" spans="1:12" ht="28.5">
      <c r="A173" s="3">
        <v>171</v>
      </c>
      <c r="B173" s="4">
        <v>45760</v>
      </c>
      <c r="C173" s="5" t="s">
        <v>21</v>
      </c>
      <c r="D173" s="6">
        <v>80.7</v>
      </c>
      <c r="E173" s="6">
        <v>82</v>
      </c>
      <c r="F173" s="6">
        <v>79.7</v>
      </c>
      <c r="G173" s="6">
        <v>81.2</v>
      </c>
      <c r="H173" s="6">
        <v>80.7</v>
      </c>
      <c r="I173" s="6">
        <v>78.8</v>
      </c>
      <c r="J173" s="6">
        <v>351</v>
      </c>
      <c r="K173" s="6">
        <v>4.8250000000000002</v>
      </c>
      <c r="L173" s="7">
        <v>59528</v>
      </c>
    </row>
    <row r="174" spans="1:12" ht="28.5">
      <c r="A174" s="3">
        <v>172</v>
      </c>
      <c r="B174" s="4">
        <v>45757</v>
      </c>
      <c r="C174" s="5" t="s">
        <v>21</v>
      </c>
      <c r="D174" s="6">
        <v>78.8</v>
      </c>
      <c r="E174" s="6">
        <v>81.8</v>
      </c>
      <c r="F174" s="6">
        <v>78.5</v>
      </c>
      <c r="G174" s="6">
        <v>80.599999999999994</v>
      </c>
      <c r="H174" s="6">
        <v>78.8</v>
      </c>
      <c r="I174" s="6">
        <v>80.599999999999994</v>
      </c>
      <c r="J174" s="6">
        <v>292</v>
      </c>
      <c r="K174" s="6">
        <v>3.6</v>
      </c>
      <c r="L174" s="7">
        <v>45214</v>
      </c>
    </row>
    <row r="175" spans="1:12" ht="28.5">
      <c r="A175" s="3">
        <v>173</v>
      </c>
      <c r="B175" s="4">
        <v>45756</v>
      </c>
      <c r="C175" s="5" t="s">
        <v>21</v>
      </c>
      <c r="D175" s="6">
        <v>80.2</v>
      </c>
      <c r="E175" s="6">
        <v>82.8</v>
      </c>
      <c r="F175" s="6">
        <v>80.2</v>
      </c>
      <c r="G175" s="6">
        <v>81.5</v>
      </c>
      <c r="H175" s="6">
        <v>80.599999999999994</v>
      </c>
      <c r="I175" s="6">
        <v>81.5</v>
      </c>
      <c r="J175" s="6">
        <v>351</v>
      </c>
      <c r="K175" s="6">
        <v>4.2229999999999999</v>
      </c>
      <c r="L175" s="7">
        <v>51677</v>
      </c>
    </row>
    <row r="176" spans="1:12" ht="28.5">
      <c r="A176" s="3">
        <v>174</v>
      </c>
      <c r="B176" s="4">
        <v>45755</v>
      </c>
      <c r="C176" s="5" t="s">
        <v>21</v>
      </c>
      <c r="D176" s="6">
        <v>81.5</v>
      </c>
      <c r="E176" s="6">
        <v>81.8</v>
      </c>
      <c r="F176" s="6">
        <v>77.2</v>
      </c>
      <c r="G176" s="6">
        <v>79.7</v>
      </c>
      <c r="H176" s="6">
        <v>81.5</v>
      </c>
      <c r="I176" s="6">
        <v>77.900000000000006</v>
      </c>
      <c r="J176" s="6">
        <v>460</v>
      </c>
      <c r="K176" s="6">
        <v>7.984</v>
      </c>
      <c r="L176" s="7">
        <v>99911</v>
      </c>
    </row>
    <row r="177" spans="1:12" ht="28.5">
      <c r="A177" s="3">
        <v>175</v>
      </c>
      <c r="B177" s="4">
        <v>45754</v>
      </c>
      <c r="C177" s="5" t="s">
        <v>21</v>
      </c>
      <c r="D177" s="6">
        <v>78.900000000000006</v>
      </c>
      <c r="E177" s="6">
        <v>79.5</v>
      </c>
      <c r="F177" s="6">
        <v>77.2</v>
      </c>
      <c r="G177" s="6">
        <v>77.2</v>
      </c>
      <c r="H177" s="6">
        <v>77.900000000000006</v>
      </c>
      <c r="I177" s="6">
        <v>77.3</v>
      </c>
      <c r="J177" s="6">
        <v>126</v>
      </c>
      <c r="K177" s="6">
        <v>1.782</v>
      </c>
      <c r="L177" s="7">
        <v>22878</v>
      </c>
    </row>
    <row r="178" spans="1:12" ht="28.5">
      <c r="A178" s="3">
        <v>176</v>
      </c>
      <c r="B178" s="4">
        <v>45753</v>
      </c>
      <c r="C178" s="5" t="s">
        <v>21</v>
      </c>
      <c r="D178" s="6">
        <v>77.3</v>
      </c>
      <c r="E178" s="6">
        <v>78.900000000000006</v>
      </c>
      <c r="F178" s="6">
        <v>77</v>
      </c>
      <c r="G178" s="6">
        <v>78.599999999999994</v>
      </c>
      <c r="H178" s="6">
        <v>77.3</v>
      </c>
      <c r="I178" s="6">
        <v>78.900000000000006</v>
      </c>
      <c r="J178" s="6">
        <v>174</v>
      </c>
      <c r="K178" s="6">
        <v>1.5029999999999999</v>
      </c>
      <c r="L178" s="7">
        <v>19332</v>
      </c>
    </row>
    <row r="179" spans="1:12" ht="28.5">
      <c r="A179" s="3">
        <v>177</v>
      </c>
      <c r="B179" s="4">
        <v>45743</v>
      </c>
      <c r="C179" s="5" t="s">
        <v>21</v>
      </c>
      <c r="D179" s="6">
        <v>78.900000000000006</v>
      </c>
      <c r="E179" s="6">
        <v>79.5</v>
      </c>
      <c r="F179" s="6">
        <v>78.599999999999994</v>
      </c>
      <c r="G179" s="6">
        <v>79.5</v>
      </c>
      <c r="H179" s="6">
        <v>78.900000000000006</v>
      </c>
      <c r="I179" s="6">
        <v>79.400000000000006</v>
      </c>
      <c r="J179" s="6">
        <v>82</v>
      </c>
      <c r="K179" s="6">
        <v>0.89900000000000002</v>
      </c>
      <c r="L179" s="7">
        <v>11394</v>
      </c>
    </row>
    <row r="180" spans="1:12" ht="28.5">
      <c r="A180" s="3">
        <v>178</v>
      </c>
      <c r="B180" s="4">
        <v>45741</v>
      </c>
      <c r="C180" s="5" t="s">
        <v>21</v>
      </c>
      <c r="D180" s="6">
        <v>79.400000000000006</v>
      </c>
      <c r="E180" s="6">
        <v>79.8</v>
      </c>
      <c r="F180" s="6">
        <v>78.599999999999994</v>
      </c>
      <c r="G180" s="6">
        <v>79.099999999999994</v>
      </c>
      <c r="H180" s="6">
        <v>79.400000000000006</v>
      </c>
      <c r="I180" s="6">
        <v>79.099999999999994</v>
      </c>
      <c r="J180" s="6">
        <v>137</v>
      </c>
      <c r="K180" s="6">
        <v>2.0960000000000001</v>
      </c>
      <c r="L180" s="7">
        <v>26505</v>
      </c>
    </row>
    <row r="181" spans="1:12" ht="28.5">
      <c r="A181" s="3">
        <v>179</v>
      </c>
      <c r="B181" s="4">
        <v>45740</v>
      </c>
      <c r="C181" s="5" t="s">
        <v>21</v>
      </c>
      <c r="D181" s="6">
        <v>79.099999999999994</v>
      </c>
      <c r="E181" s="6">
        <v>79.5</v>
      </c>
      <c r="F181" s="6">
        <v>78.5</v>
      </c>
      <c r="G181" s="6">
        <v>78.900000000000006</v>
      </c>
      <c r="H181" s="6">
        <v>79.099999999999994</v>
      </c>
      <c r="I181" s="6">
        <v>78.400000000000006</v>
      </c>
      <c r="J181" s="6">
        <v>137</v>
      </c>
      <c r="K181" s="6">
        <v>1.4390000000000001</v>
      </c>
      <c r="L181" s="7">
        <v>18203</v>
      </c>
    </row>
    <row r="182" spans="1:12" ht="28.5">
      <c r="A182" s="3">
        <v>180</v>
      </c>
      <c r="B182" s="4">
        <v>45739</v>
      </c>
      <c r="C182" s="5" t="s">
        <v>21</v>
      </c>
      <c r="D182" s="6">
        <v>78.400000000000006</v>
      </c>
      <c r="E182" s="6">
        <v>79.8</v>
      </c>
      <c r="F182" s="6">
        <v>78.2</v>
      </c>
      <c r="G182" s="6">
        <v>78.5</v>
      </c>
      <c r="H182" s="6">
        <v>78.400000000000006</v>
      </c>
      <c r="I182" s="6">
        <v>78.7</v>
      </c>
      <c r="J182" s="6">
        <v>152</v>
      </c>
      <c r="K182" s="6">
        <v>1.5229999999999999</v>
      </c>
      <c r="L182" s="7">
        <v>19331</v>
      </c>
    </row>
    <row r="183" spans="1:12" ht="28.5">
      <c r="A183" s="3">
        <v>181</v>
      </c>
      <c r="B183" s="4">
        <v>45736</v>
      </c>
      <c r="C183" s="5" t="s">
        <v>21</v>
      </c>
      <c r="D183" s="6">
        <v>78.7</v>
      </c>
      <c r="E183" s="6">
        <v>79.5</v>
      </c>
      <c r="F183" s="6">
        <v>78</v>
      </c>
      <c r="G183" s="6">
        <v>79.5</v>
      </c>
      <c r="H183" s="6">
        <v>78.7</v>
      </c>
      <c r="I183" s="6">
        <v>79.099999999999994</v>
      </c>
      <c r="J183" s="6">
        <v>399</v>
      </c>
      <c r="K183" s="6">
        <v>4.8220000000000001</v>
      </c>
      <c r="L183" s="7">
        <v>61269</v>
      </c>
    </row>
    <row r="184" spans="1:12" ht="28.5">
      <c r="A184" s="3">
        <v>182</v>
      </c>
      <c r="B184" s="4">
        <v>45735</v>
      </c>
      <c r="C184" s="5" t="s">
        <v>21</v>
      </c>
      <c r="D184" s="6">
        <v>79.2</v>
      </c>
      <c r="E184" s="6">
        <v>81.2</v>
      </c>
      <c r="F184" s="6">
        <v>79</v>
      </c>
      <c r="G184" s="6">
        <v>81.2</v>
      </c>
      <c r="H184" s="6">
        <v>79.099999999999994</v>
      </c>
      <c r="I184" s="6">
        <v>81.2</v>
      </c>
      <c r="J184" s="6">
        <v>510</v>
      </c>
      <c r="K184" s="6">
        <v>7.6669999999999998</v>
      </c>
      <c r="L184" s="7">
        <v>96322</v>
      </c>
    </row>
    <row r="185" spans="1:12" ht="28.5">
      <c r="A185" s="3">
        <v>183</v>
      </c>
      <c r="B185" s="4">
        <v>45734</v>
      </c>
      <c r="C185" s="5" t="s">
        <v>21</v>
      </c>
      <c r="D185" s="6">
        <v>81.2</v>
      </c>
      <c r="E185" s="6">
        <v>81.7</v>
      </c>
      <c r="F185" s="6">
        <v>80.599999999999994</v>
      </c>
      <c r="G185" s="6">
        <v>81.599999999999994</v>
      </c>
      <c r="H185" s="6">
        <v>81.2</v>
      </c>
      <c r="I185" s="6">
        <v>80.8</v>
      </c>
      <c r="J185" s="6">
        <v>106</v>
      </c>
      <c r="K185" s="6">
        <v>2.5219999999999998</v>
      </c>
      <c r="L185" s="7">
        <v>31053</v>
      </c>
    </row>
    <row r="186" spans="1:12" ht="28.5">
      <c r="A186" s="3">
        <v>184</v>
      </c>
      <c r="B186" s="4">
        <v>45733</v>
      </c>
      <c r="C186" s="5" t="s">
        <v>21</v>
      </c>
      <c r="D186" s="6">
        <v>80.8</v>
      </c>
      <c r="E186" s="6">
        <v>82</v>
      </c>
      <c r="F186" s="6">
        <v>80</v>
      </c>
      <c r="G186" s="6">
        <v>81.599999999999994</v>
      </c>
      <c r="H186" s="6">
        <v>80.8</v>
      </c>
      <c r="I186" s="6">
        <v>81.400000000000006</v>
      </c>
      <c r="J186" s="6">
        <v>317</v>
      </c>
      <c r="K186" s="6">
        <v>4.7160000000000002</v>
      </c>
      <c r="L186" s="7">
        <v>58526</v>
      </c>
    </row>
    <row r="187" spans="1:12" ht="28.5">
      <c r="A187" s="3">
        <v>185</v>
      </c>
      <c r="B187" s="4">
        <v>45732</v>
      </c>
      <c r="C187" s="5" t="s">
        <v>21</v>
      </c>
      <c r="D187" s="6">
        <v>81.400000000000006</v>
      </c>
      <c r="E187" s="6">
        <v>82.6</v>
      </c>
      <c r="F187" s="6">
        <v>81</v>
      </c>
      <c r="G187" s="6">
        <v>82</v>
      </c>
      <c r="H187" s="6">
        <v>81.400000000000006</v>
      </c>
      <c r="I187" s="6">
        <v>82.3</v>
      </c>
      <c r="J187" s="6">
        <v>255</v>
      </c>
      <c r="K187" s="6">
        <v>3.464</v>
      </c>
      <c r="L187" s="7">
        <v>42480</v>
      </c>
    </row>
    <row r="188" spans="1:12" ht="28.5">
      <c r="A188" s="3">
        <v>186</v>
      </c>
      <c r="B188" s="4">
        <v>45729</v>
      </c>
      <c r="C188" s="5" t="s">
        <v>21</v>
      </c>
      <c r="D188" s="6">
        <v>82.3</v>
      </c>
      <c r="E188" s="6">
        <v>83.4</v>
      </c>
      <c r="F188" s="6">
        <v>82</v>
      </c>
      <c r="G188" s="6">
        <v>82.3</v>
      </c>
      <c r="H188" s="6">
        <v>82.3</v>
      </c>
      <c r="I188" s="6">
        <v>82.3</v>
      </c>
      <c r="J188" s="6">
        <v>181</v>
      </c>
      <c r="K188" s="6">
        <v>2.165</v>
      </c>
      <c r="L188" s="7">
        <v>26301</v>
      </c>
    </row>
    <row r="189" spans="1:12" ht="28.5">
      <c r="A189" s="3">
        <v>187</v>
      </c>
      <c r="B189" s="4">
        <v>45728</v>
      </c>
      <c r="C189" s="5" t="s">
        <v>21</v>
      </c>
      <c r="D189" s="6">
        <v>82.1</v>
      </c>
      <c r="E189" s="6">
        <v>83.6</v>
      </c>
      <c r="F189" s="6">
        <v>82</v>
      </c>
      <c r="G189" s="6">
        <v>83</v>
      </c>
      <c r="H189" s="6">
        <v>82.3</v>
      </c>
      <c r="I189" s="6">
        <v>82.7</v>
      </c>
      <c r="J189" s="6">
        <v>169</v>
      </c>
      <c r="K189" s="6">
        <v>2.4700000000000002</v>
      </c>
      <c r="L189" s="7">
        <v>29777</v>
      </c>
    </row>
    <row r="190" spans="1:12" ht="28.5">
      <c r="A190" s="3">
        <v>188</v>
      </c>
      <c r="B190" s="4">
        <v>45727</v>
      </c>
      <c r="C190" s="5" t="s">
        <v>21</v>
      </c>
      <c r="D190" s="6">
        <v>82.7</v>
      </c>
      <c r="E190" s="6">
        <v>83.4</v>
      </c>
      <c r="F190" s="6">
        <v>82</v>
      </c>
      <c r="G190" s="6">
        <v>82</v>
      </c>
      <c r="H190" s="6">
        <v>82.7</v>
      </c>
      <c r="I190" s="6">
        <v>81.8</v>
      </c>
      <c r="J190" s="6">
        <v>189</v>
      </c>
      <c r="K190" s="6">
        <v>2.8719999999999999</v>
      </c>
      <c r="L190" s="7">
        <v>34703</v>
      </c>
    </row>
    <row r="191" spans="1:12" ht="28.5">
      <c r="A191" s="3">
        <v>189</v>
      </c>
      <c r="B191" s="4">
        <v>45726</v>
      </c>
      <c r="C191" s="5" t="s">
        <v>21</v>
      </c>
      <c r="D191" s="6">
        <v>81.8</v>
      </c>
      <c r="E191" s="6">
        <v>83.6</v>
      </c>
      <c r="F191" s="6">
        <v>81.2</v>
      </c>
      <c r="G191" s="6">
        <v>83</v>
      </c>
      <c r="H191" s="6">
        <v>81.8</v>
      </c>
      <c r="I191" s="6">
        <v>82.9</v>
      </c>
      <c r="J191" s="6">
        <v>379</v>
      </c>
      <c r="K191" s="6">
        <v>7.0759999999999996</v>
      </c>
      <c r="L191" s="7">
        <v>86152</v>
      </c>
    </row>
    <row r="192" spans="1:12" ht="28.5">
      <c r="A192" s="3">
        <v>190</v>
      </c>
      <c r="B192" s="4">
        <v>45725</v>
      </c>
      <c r="C192" s="5" t="s">
        <v>21</v>
      </c>
      <c r="D192" s="6">
        <v>82.7</v>
      </c>
      <c r="E192" s="6">
        <v>85</v>
      </c>
      <c r="F192" s="6">
        <v>82.4</v>
      </c>
      <c r="G192" s="6">
        <v>85</v>
      </c>
      <c r="H192" s="6">
        <v>82.9</v>
      </c>
      <c r="I192" s="6">
        <v>84.2</v>
      </c>
      <c r="J192" s="6">
        <v>137</v>
      </c>
      <c r="K192" s="6">
        <v>1.254</v>
      </c>
      <c r="L192" s="7">
        <v>15087</v>
      </c>
    </row>
    <row r="193" spans="1:12" ht="28.5">
      <c r="A193" s="3">
        <v>191</v>
      </c>
      <c r="B193" s="4">
        <v>45722</v>
      </c>
      <c r="C193" s="5" t="s">
        <v>21</v>
      </c>
      <c r="D193" s="6">
        <v>84.2</v>
      </c>
      <c r="E193" s="6">
        <v>85.9</v>
      </c>
      <c r="F193" s="6">
        <v>83.8</v>
      </c>
      <c r="G193" s="6">
        <v>84.7</v>
      </c>
      <c r="H193" s="6">
        <v>84.2</v>
      </c>
      <c r="I193" s="6">
        <v>84.2</v>
      </c>
      <c r="J193" s="6">
        <v>232</v>
      </c>
      <c r="K193" s="6">
        <v>2.6920000000000002</v>
      </c>
      <c r="L193" s="7">
        <v>31832</v>
      </c>
    </row>
    <row r="194" spans="1:12" ht="28.5">
      <c r="A194" s="3">
        <v>192</v>
      </c>
      <c r="B194" s="4">
        <v>45721</v>
      </c>
      <c r="C194" s="5" t="s">
        <v>21</v>
      </c>
      <c r="D194" s="6">
        <v>84.2</v>
      </c>
      <c r="E194" s="6">
        <v>86.4</v>
      </c>
      <c r="F194" s="6">
        <v>84.1</v>
      </c>
      <c r="G194" s="6">
        <v>84.7</v>
      </c>
      <c r="H194" s="6">
        <v>84.2</v>
      </c>
      <c r="I194" s="6">
        <v>84.6</v>
      </c>
      <c r="J194" s="6">
        <v>245</v>
      </c>
      <c r="K194" s="6">
        <v>2.641</v>
      </c>
      <c r="L194" s="7">
        <v>31105</v>
      </c>
    </row>
    <row r="195" spans="1:12" ht="28.5">
      <c r="A195" s="3">
        <v>193</v>
      </c>
      <c r="B195" s="4">
        <v>45720</v>
      </c>
      <c r="C195" s="5" t="s">
        <v>21</v>
      </c>
      <c r="D195" s="6">
        <v>84.6</v>
      </c>
      <c r="E195" s="6">
        <v>86.8</v>
      </c>
      <c r="F195" s="6">
        <v>83.8</v>
      </c>
      <c r="G195" s="6">
        <v>85.8</v>
      </c>
      <c r="H195" s="6">
        <v>84.6</v>
      </c>
      <c r="I195" s="6">
        <v>85.8</v>
      </c>
      <c r="J195" s="6">
        <v>238</v>
      </c>
      <c r="K195" s="6">
        <v>4.6689999999999996</v>
      </c>
      <c r="L195" s="7">
        <v>55222</v>
      </c>
    </row>
    <row r="196" spans="1:12" ht="28.5">
      <c r="A196" s="3">
        <v>194</v>
      </c>
      <c r="B196" s="4">
        <v>45719</v>
      </c>
      <c r="C196" s="5" t="s">
        <v>21</v>
      </c>
      <c r="D196" s="6">
        <v>85.3</v>
      </c>
      <c r="E196" s="6">
        <v>89.2</v>
      </c>
      <c r="F196" s="6">
        <v>85.3</v>
      </c>
      <c r="G196" s="6">
        <v>86.8</v>
      </c>
      <c r="H196" s="6">
        <v>85.8</v>
      </c>
      <c r="I196" s="6">
        <v>86</v>
      </c>
      <c r="J196" s="6">
        <v>648</v>
      </c>
      <c r="K196" s="6">
        <v>7.9829999999999997</v>
      </c>
      <c r="L196" s="7">
        <v>91830</v>
      </c>
    </row>
    <row r="197" spans="1:12" ht="28.5">
      <c r="A197" s="3">
        <v>195</v>
      </c>
      <c r="B197" s="4">
        <v>45718</v>
      </c>
      <c r="C197" s="5" t="s">
        <v>21</v>
      </c>
      <c r="D197" s="6">
        <v>86</v>
      </c>
      <c r="E197" s="6">
        <v>87</v>
      </c>
      <c r="F197" s="6">
        <v>83</v>
      </c>
      <c r="G197" s="6">
        <v>83.7</v>
      </c>
      <c r="H197" s="6">
        <v>86</v>
      </c>
      <c r="I197" s="6">
        <v>82.9</v>
      </c>
      <c r="J197" s="6">
        <v>889</v>
      </c>
      <c r="K197" s="6">
        <v>12.744</v>
      </c>
      <c r="L197" s="7">
        <v>148257</v>
      </c>
    </row>
    <row r="198" spans="1:12" ht="28.5">
      <c r="A198" s="3">
        <v>196</v>
      </c>
      <c r="B198" s="4">
        <v>45715</v>
      </c>
      <c r="C198" s="5" t="s">
        <v>21</v>
      </c>
      <c r="D198" s="6">
        <v>82.9</v>
      </c>
      <c r="E198" s="6">
        <v>83.9</v>
      </c>
      <c r="F198" s="6">
        <v>82.1</v>
      </c>
      <c r="G198" s="6">
        <v>83</v>
      </c>
      <c r="H198" s="6">
        <v>82.9</v>
      </c>
      <c r="I198" s="6">
        <v>82</v>
      </c>
      <c r="J198" s="6">
        <v>234</v>
      </c>
      <c r="K198" s="6">
        <v>3.129</v>
      </c>
      <c r="L198" s="7">
        <v>37656</v>
      </c>
    </row>
    <row r="199" spans="1:12" ht="28.5">
      <c r="A199" s="3">
        <v>197</v>
      </c>
      <c r="B199" s="4">
        <v>45714</v>
      </c>
      <c r="C199" s="5" t="s">
        <v>21</v>
      </c>
      <c r="D199" s="6">
        <v>82</v>
      </c>
      <c r="E199" s="6">
        <v>83</v>
      </c>
      <c r="F199" s="6">
        <v>81.8</v>
      </c>
      <c r="G199" s="6">
        <v>83</v>
      </c>
      <c r="H199" s="6">
        <v>82</v>
      </c>
      <c r="I199" s="6">
        <v>82.3</v>
      </c>
      <c r="J199" s="6">
        <v>233</v>
      </c>
      <c r="K199" s="6">
        <v>2.819</v>
      </c>
      <c r="L199" s="7">
        <v>34318</v>
      </c>
    </row>
    <row r="200" spans="1:12" ht="28.5">
      <c r="A200" s="3">
        <v>198</v>
      </c>
      <c r="B200" s="4">
        <v>45713</v>
      </c>
      <c r="C200" s="5" t="s">
        <v>21</v>
      </c>
      <c r="D200" s="6">
        <v>82.3</v>
      </c>
      <c r="E200" s="6">
        <v>83.9</v>
      </c>
      <c r="F200" s="6">
        <v>82.1</v>
      </c>
      <c r="G200" s="6">
        <v>83.7</v>
      </c>
      <c r="H200" s="6">
        <v>82.3</v>
      </c>
      <c r="I200" s="6">
        <v>83.6</v>
      </c>
      <c r="J200" s="6">
        <v>526</v>
      </c>
      <c r="K200" s="6">
        <v>5.5259999999999998</v>
      </c>
      <c r="L200" s="7">
        <v>66935</v>
      </c>
    </row>
    <row r="201" spans="1:12" ht="28.5">
      <c r="A201" s="3">
        <v>199</v>
      </c>
      <c r="B201" s="4">
        <v>45712</v>
      </c>
      <c r="C201" s="5" t="s">
        <v>21</v>
      </c>
      <c r="D201" s="6">
        <v>83.6</v>
      </c>
      <c r="E201" s="6">
        <v>84.9</v>
      </c>
      <c r="F201" s="6">
        <v>83</v>
      </c>
      <c r="G201" s="6">
        <v>83.7</v>
      </c>
      <c r="H201" s="6">
        <v>83.6</v>
      </c>
      <c r="I201" s="6">
        <v>83.7</v>
      </c>
      <c r="J201" s="6">
        <v>517</v>
      </c>
      <c r="K201" s="6">
        <v>6.3959999999999999</v>
      </c>
      <c r="L201" s="7">
        <v>75955</v>
      </c>
    </row>
    <row r="202" spans="1:12" ht="28.5">
      <c r="A202" s="3">
        <v>200</v>
      </c>
      <c r="B202" s="4">
        <v>45711</v>
      </c>
      <c r="C202" s="5" t="s">
        <v>21</v>
      </c>
      <c r="D202" s="6">
        <v>83.7</v>
      </c>
      <c r="E202" s="6">
        <v>84.5</v>
      </c>
      <c r="F202" s="6">
        <v>82.3</v>
      </c>
      <c r="G202" s="6">
        <v>82.3</v>
      </c>
      <c r="H202" s="6">
        <v>83.7</v>
      </c>
      <c r="I202" s="6">
        <v>82.2</v>
      </c>
      <c r="J202" s="6">
        <v>325</v>
      </c>
      <c r="K202" s="6">
        <v>5.7450000000000001</v>
      </c>
      <c r="L202" s="7">
        <v>68770</v>
      </c>
    </row>
    <row r="203" spans="1:12" ht="28.5">
      <c r="A203" s="3">
        <v>201</v>
      </c>
      <c r="B203" s="4">
        <v>45708</v>
      </c>
      <c r="C203" s="5" t="s">
        <v>21</v>
      </c>
      <c r="D203" s="6">
        <v>82.2</v>
      </c>
      <c r="E203" s="6">
        <v>83.6</v>
      </c>
      <c r="F203" s="6">
        <v>81.599999999999994</v>
      </c>
      <c r="G203" s="6">
        <v>83.6</v>
      </c>
      <c r="H203" s="6">
        <v>82.2</v>
      </c>
      <c r="I203" s="6">
        <v>82.5</v>
      </c>
      <c r="J203" s="6">
        <v>345</v>
      </c>
      <c r="K203" s="6">
        <v>5.6749999999999998</v>
      </c>
      <c r="L203" s="7">
        <v>69008</v>
      </c>
    </row>
    <row r="204" spans="1:12" ht="28.5">
      <c r="A204" s="3">
        <v>202</v>
      </c>
      <c r="B204" s="4">
        <v>45707</v>
      </c>
      <c r="C204" s="5" t="s">
        <v>21</v>
      </c>
      <c r="D204" s="6">
        <v>82.9</v>
      </c>
      <c r="E204" s="6">
        <v>84.7</v>
      </c>
      <c r="F204" s="6">
        <v>82.1</v>
      </c>
      <c r="G204" s="6">
        <v>84.7</v>
      </c>
      <c r="H204" s="6">
        <v>82.5</v>
      </c>
      <c r="I204" s="6">
        <v>83.8</v>
      </c>
      <c r="J204" s="6">
        <v>240</v>
      </c>
      <c r="K204" s="6">
        <v>3.6930000000000001</v>
      </c>
      <c r="L204" s="7">
        <v>44728</v>
      </c>
    </row>
    <row r="205" spans="1:12" ht="28.5">
      <c r="A205" s="3">
        <v>203</v>
      </c>
      <c r="B205" s="4">
        <v>45706</v>
      </c>
      <c r="C205" s="5" t="s">
        <v>21</v>
      </c>
      <c r="D205" s="6">
        <v>83.8</v>
      </c>
      <c r="E205" s="6">
        <v>85.8</v>
      </c>
      <c r="F205" s="6">
        <v>82.7</v>
      </c>
      <c r="G205" s="6">
        <v>83.2</v>
      </c>
      <c r="H205" s="6">
        <v>83.8</v>
      </c>
      <c r="I205" s="6">
        <v>82.5</v>
      </c>
      <c r="J205" s="6">
        <v>857</v>
      </c>
      <c r="K205" s="6">
        <v>12.933999999999999</v>
      </c>
      <c r="L205" s="7">
        <v>153187</v>
      </c>
    </row>
    <row r="206" spans="1:12" ht="28.5">
      <c r="A206" s="3">
        <v>204</v>
      </c>
      <c r="B206" s="4">
        <v>45705</v>
      </c>
      <c r="C206" s="5" t="s">
        <v>21</v>
      </c>
      <c r="D206" s="6">
        <v>82.5</v>
      </c>
      <c r="E206" s="6">
        <v>84.6</v>
      </c>
      <c r="F206" s="6">
        <v>81.900000000000006</v>
      </c>
      <c r="G206" s="6">
        <v>82.9</v>
      </c>
      <c r="H206" s="6">
        <v>82.5</v>
      </c>
      <c r="I206" s="6">
        <v>82.4</v>
      </c>
      <c r="J206" s="6">
        <v>619</v>
      </c>
      <c r="K206" s="6">
        <v>6.4870000000000001</v>
      </c>
      <c r="L206" s="7">
        <v>77852</v>
      </c>
    </row>
    <row r="207" spans="1:12" ht="28.5">
      <c r="A207" s="3">
        <v>205</v>
      </c>
      <c r="B207" s="4">
        <v>45704</v>
      </c>
      <c r="C207" s="5" t="s">
        <v>21</v>
      </c>
      <c r="D207" s="6">
        <v>82.4</v>
      </c>
      <c r="E207" s="6">
        <v>83.3</v>
      </c>
      <c r="F207" s="6">
        <v>80.400000000000006</v>
      </c>
      <c r="G207" s="6">
        <v>82</v>
      </c>
      <c r="H207" s="6">
        <v>82.4</v>
      </c>
      <c r="I207" s="6">
        <v>80.099999999999994</v>
      </c>
      <c r="J207" s="6">
        <v>438</v>
      </c>
      <c r="K207" s="6">
        <v>6.3540000000000001</v>
      </c>
      <c r="L207" s="7">
        <v>77747</v>
      </c>
    </row>
    <row r="208" spans="1:12" ht="28.5">
      <c r="A208" s="3">
        <v>206</v>
      </c>
      <c r="B208" s="4">
        <v>45701</v>
      </c>
      <c r="C208" s="5" t="s">
        <v>21</v>
      </c>
      <c r="D208" s="6">
        <v>80.099999999999994</v>
      </c>
      <c r="E208" s="6">
        <v>82</v>
      </c>
      <c r="F208" s="6">
        <v>79.8</v>
      </c>
      <c r="G208" s="6">
        <v>82</v>
      </c>
      <c r="H208" s="6">
        <v>80.099999999999994</v>
      </c>
      <c r="I208" s="6">
        <v>81.2</v>
      </c>
      <c r="J208" s="6">
        <v>364</v>
      </c>
      <c r="K208" s="6">
        <v>5.4279999999999999</v>
      </c>
      <c r="L208" s="7">
        <v>67666</v>
      </c>
    </row>
    <row r="209" spans="1:12" ht="28.5">
      <c r="A209" s="3">
        <v>207</v>
      </c>
      <c r="B209" s="4">
        <v>45700</v>
      </c>
      <c r="C209" s="5" t="s">
        <v>21</v>
      </c>
      <c r="D209" s="6">
        <v>81.2</v>
      </c>
      <c r="E209" s="6">
        <v>85</v>
      </c>
      <c r="F209" s="6">
        <v>80.5</v>
      </c>
      <c r="G209" s="6">
        <v>85</v>
      </c>
      <c r="H209" s="6">
        <v>81.2</v>
      </c>
      <c r="I209" s="6">
        <v>80</v>
      </c>
      <c r="J209" s="6">
        <v>578</v>
      </c>
      <c r="K209" s="6">
        <v>9.74</v>
      </c>
      <c r="L209" s="7">
        <v>117887</v>
      </c>
    </row>
    <row r="210" spans="1:12" ht="28.5">
      <c r="A210" s="3">
        <v>208</v>
      </c>
      <c r="B210" s="4">
        <v>45699</v>
      </c>
      <c r="C210" s="5" t="s">
        <v>21</v>
      </c>
      <c r="D210" s="6">
        <v>80</v>
      </c>
      <c r="E210" s="6">
        <v>81.8</v>
      </c>
      <c r="F210" s="6">
        <v>78.2</v>
      </c>
      <c r="G210" s="6">
        <v>81.599999999999994</v>
      </c>
      <c r="H210" s="6">
        <v>80</v>
      </c>
      <c r="I210" s="6">
        <v>81</v>
      </c>
      <c r="J210" s="6">
        <v>207</v>
      </c>
      <c r="K210" s="6">
        <v>2.6280000000000001</v>
      </c>
      <c r="L210" s="7">
        <v>32554</v>
      </c>
    </row>
    <row r="211" spans="1:12" ht="28.5">
      <c r="A211" s="3">
        <v>209</v>
      </c>
      <c r="B211" s="4">
        <v>45698</v>
      </c>
      <c r="C211" s="5" t="s">
        <v>21</v>
      </c>
      <c r="D211" s="6">
        <v>81</v>
      </c>
      <c r="E211" s="6">
        <v>81.900000000000006</v>
      </c>
      <c r="F211" s="6">
        <v>79.2</v>
      </c>
      <c r="G211" s="6">
        <v>79.400000000000006</v>
      </c>
      <c r="H211" s="6">
        <v>81</v>
      </c>
      <c r="I211" s="6">
        <v>79.3</v>
      </c>
      <c r="J211" s="6">
        <v>264</v>
      </c>
      <c r="K211" s="6">
        <v>2.9209999999999998</v>
      </c>
      <c r="L211" s="7">
        <v>36264</v>
      </c>
    </row>
    <row r="212" spans="1:12" ht="28.5">
      <c r="A212" s="3">
        <v>210</v>
      </c>
      <c r="B212" s="4">
        <v>45697</v>
      </c>
      <c r="C212" s="5" t="s">
        <v>21</v>
      </c>
      <c r="D212" s="6">
        <v>79.3</v>
      </c>
      <c r="E212" s="6">
        <v>81.5</v>
      </c>
      <c r="F212" s="6">
        <v>79.2</v>
      </c>
      <c r="G212" s="6">
        <v>80.5</v>
      </c>
      <c r="H212" s="6">
        <v>79.3</v>
      </c>
      <c r="I212" s="6">
        <v>80.5</v>
      </c>
      <c r="J212" s="6">
        <v>99</v>
      </c>
      <c r="K212" s="6">
        <v>1.841</v>
      </c>
      <c r="L212" s="7">
        <v>23067</v>
      </c>
    </row>
    <row r="213" spans="1:12" ht="28.5">
      <c r="A213" s="3">
        <v>211</v>
      </c>
      <c r="B213" s="4">
        <v>45694</v>
      </c>
      <c r="C213" s="5" t="s">
        <v>21</v>
      </c>
      <c r="D213" s="6">
        <v>80.5</v>
      </c>
      <c r="E213" s="6">
        <v>83</v>
      </c>
      <c r="F213" s="6">
        <v>80.5</v>
      </c>
      <c r="G213" s="6">
        <v>83</v>
      </c>
      <c r="H213" s="6">
        <v>80.5</v>
      </c>
      <c r="I213" s="6">
        <v>80.400000000000006</v>
      </c>
      <c r="J213" s="6">
        <v>127</v>
      </c>
      <c r="K213" s="6">
        <v>1.4610000000000001</v>
      </c>
      <c r="L213" s="7">
        <v>18008</v>
      </c>
    </row>
    <row r="214" spans="1:12" ht="28.5">
      <c r="A214" s="3">
        <v>212</v>
      </c>
      <c r="B214" s="4">
        <v>45693</v>
      </c>
      <c r="C214" s="5" t="s">
        <v>21</v>
      </c>
      <c r="D214" s="6">
        <v>80.400000000000006</v>
      </c>
      <c r="E214" s="6">
        <v>82.7</v>
      </c>
      <c r="F214" s="6">
        <v>77</v>
      </c>
      <c r="G214" s="6">
        <v>78.7</v>
      </c>
      <c r="H214" s="6">
        <v>80.400000000000006</v>
      </c>
      <c r="I214" s="6">
        <v>77.2</v>
      </c>
      <c r="J214" s="6">
        <v>504</v>
      </c>
      <c r="K214" s="6">
        <v>6.9580000000000002</v>
      </c>
      <c r="L214" s="7">
        <v>86562</v>
      </c>
    </row>
    <row r="215" spans="1:12" ht="28.5">
      <c r="A215" s="3">
        <v>213</v>
      </c>
      <c r="B215" s="4">
        <v>45692</v>
      </c>
      <c r="C215" s="5" t="s">
        <v>21</v>
      </c>
      <c r="D215" s="6">
        <v>77.099999999999994</v>
      </c>
      <c r="E215" s="6">
        <v>77.5</v>
      </c>
      <c r="F215" s="6">
        <v>72.3</v>
      </c>
      <c r="G215" s="6">
        <v>76.599999999999994</v>
      </c>
      <c r="H215" s="6">
        <v>77.2</v>
      </c>
      <c r="I215" s="6">
        <v>78.7</v>
      </c>
      <c r="J215" s="6">
        <v>291</v>
      </c>
      <c r="K215" s="6">
        <v>3.044</v>
      </c>
      <c r="L215" s="7">
        <v>39677</v>
      </c>
    </row>
    <row r="216" spans="1:12" ht="28.5">
      <c r="A216" s="3">
        <v>214</v>
      </c>
      <c r="B216" s="4">
        <v>45691</v>
      </c>
      <c r="C216" s="5" t="s">
        <v>21</v>
      </c>
      <c r="D216" s="6">
        <v>78.7</v>
      </c>
      <c r="E216" s="6">
        <v>80.599999999999994</v>
      </c>
      <c r="F216" s="6">
        <v>78.3</v>
      </c>
      <c r="G216" s="6">
        <v>78.900000000000006</v>
      </c>
      <c r="H216" s="6">
        <v>78.7</v>
      </c>
      <c r="I216" s="6">
        <v>78.2</v>
      </c>
      <c r="J216" s="6">
        <v>208</v>
      </c>
      <c r="K216" s="6">
        <v>3.08</v>
      </c>
      <c r="L216" s="7">
        <v>38730</v>
      </c>
    </row>
    <row r="217" spans="1:12" ht="28.5">
      <c r="A217" s="3">
        <v>215</v>
      </c>
      <c r="B217" s="4">
        <v>45690</v>
      </c>
      <c r="C217" s="5" t="s">
        <v>21</v>
      </c>
      <c r="D217" s="6">
        <v>78.2</v>
      </c>
      <c r="E217" s="6">
        <v>80.8</v>
      </c>
      <c r="F217" s="6">
        <v>76</v>
      </c>
      <c r="G217" s="6">
        <v>80.8</v>
      </c>
      <c r="H217" s="6">
        <v>78.2</v>
      </c>
      <c r="I217" s="6">
        <v>80.599999999999994</v>
      </c>
      <c r="J217" s="6">
        <v>407</v>
      </c>
      <c r="K217" s="6">
        <v>6.665</v>
      </c>
      <c r="L217" s="7">
        <v>85542</v>
      </c>
    </row>
    <row r="218" spans="1:12" ht="28.5">
      <c r="A218" s="3">
        <v>216</v>
      </c>
      <c r="B218" s="4">
        <v>45687</v>
      </c>
      <c r="C218" s="5" t="s">
        <v>21</v>
      </c>
      <c r="D218" s="6">
        <v>80.599999999999994</v>
      </c>
      <c r="E218" s="6">
        <v>83.4</v>
      </c>
      <c r="F218" s="6">
        <v>80</v>
      </c>
      <c r="G218" s="6">
        <v>83.4</v>
      </c>
      <c r="H218" s="6">
        <v>80.599999999999994</v>
      </c>
      <c r="I218" s="6">
        <v>82.2</v>
      </c>
      <c r="J218" s="6">
        <v>341</v>
      </c>
      <c r="K218" s="6">
        <v>4.4660000000000002</v>
      </c>
      <c r="L218" s="7">
        <v>55292</v>
      </c>
    </row>
    <row r="219" spans="1:12" ht="28.5">
      <c r="A219" s="3">
        <v>217</v>
      </c>
      <c r="B219" s="4">
        <v>45686</v>
      </c>
      <c r="C219" s="5" t="s">
        <v>21</v>
      </c>
      <c r="D219" s="6">
        <v>82.2</v>
      </c>
      <c r="E219" s="6">
        <v>83.6</v>
      </c>
      <c r="F219" s="6">
        <v>82</v>
      </c>
      <c r="G219" s="6">
        <v>82.4</v>
      </c>
      <c r="H219" s="6">
        <v>82.2</v>
      </c>
      <c r="I219" s="6">
        <v>82.4</v>
      </c>
      <c r="J219" s="6">
        <v>172</v>
      </c>
      <c r="K219" s="6">
        <v>2.1549999999999998</v>
      </c>
      <c r="L219" s="7">
        <v>26141</v>
      </c>
    </row>
    <row r="220" spans="1:12" ht="28.5">
      <c r="A220" s="3">
        <v>218</v>
      </c>
      <c r="B220" s="4">
        <v>45685</v>
      </c>
      <c r="C220" s="5" t="s">
        <v>21</v>
      </c>
      <c r="D220" s="6">
        <v>82.4</v>
      </c>
      <c r="E220" s="6">
        <v>85</v>
      </c>
      <c r="F220" s="6">
        <v>81.2</v>
      </c>
      <c r="G220" s="6">
        <v>84.2</v>
      </c>
      <c r="H220" s="6">
        <v>82.4</v>
      </c>
      <c r="I220" s="6">
        <v>83.8</v>
      </c>
      <c r="J220" s="6">
        <v>372</v>
      </c>
      <c r="K220" s="6">
        <v>4.6929999999999996</v>
      </c>
      <c r="L220" s="7">
        <v>56437</v>
      </c>
    </row>
    <row r="221" spans="1:12" ht="28.5">
      <c r="A221" s="3">
        <v>219</v>
      </c>
      <c r="B221" s="4">
        <v>45684</v>
      </c>
      <c r="C221" s="5" t="s">
        <v>21</v>
      </c>
      <c r="D221" s="6">
        <v>83.8</v>
      </c>
      <c r="E221" s="6">
        <v>87</v>
      </c>
      <c r="F221" s="6">
        <v>83.1</v>
      </c>
      <c r="G221" s="6">
        <v>85</v>
      </c>
      <c r="H221" s="6">
        <v>83.8</v>
      </c>
      <c r="I221" s="6">
        <v>83.9</v>
      </c>
      <c r="J221" s="6">
        <v>405</v>
      </c>
      <c r="K221" s="6">
        <v>4.6390000000000002</v>
      </c>
      <c r="L221" s="7">
        <v>54602</v>
      </c>
    </row>
    <row r="222" spans="1:12" ht="28.5">
      <c r="A222" s="3">
        <v>220</v>
      </c>
      <c r="B222" s="4">
        <v>45683</v>
      </c>
      <c r="C222" s="5" t="s">
        <v>21</v>
      </c>
      <c r="D222" s="6">
        <v>84.1</v>
      </c>
      <c r="E222" s="6">
        <v>86.6</v>
      </c>
      <c r="F222" s="6">
        <v>83.4</v>
      </c>
      <c r="G222" s="6">
        <v>86.1</v>
      </c>
      <c r="H222" s="6">
        <v>83.9</v>
      </c>
      <c r="I222" s="6">
        <v>86.1</v>
      </c>
      <c r="J222" s="6">
        <v>414</v>
      </c>
      <c r="K222" s="6">
        <v>6.0419999999999998</v>
      </c>
      <c r="L222" s="7">
        <v>71511</v>
      </c>
    </row>
    <row r="223" spans="1:12" ht="28.5">
      <c r="A223" s="3">
        <v>221</v>
      </c>
      <c r="B223" s="4">
        <v>45680</v>
      </c>
      <c r="C223" s="5" t="s">
        <v>21</v>
      </c>
      <c r="D223" s="6">
        <v>86.1</v>
      </c>
      <c r="E223" s="6">
        <v>89.5</v>
      </c>
      <c r="F223" s="6">
        <v>85.3</v>
      </c>
      <c r="G223" s="6">
        <v>88.4</v>
      </c>
      <c r="H223" s="6">
        <v>86.1</v>
      </c>
      <c r="I223" s="6">
        <v>87.6</v>
      </c>
      <c r="J223" s="6">
        <v>371</v>
      </c>
      <c r="K223" s="6">
        <v>5.3620000000000001</v>
      </c>
      <c r="L223" s="7">
        <v>61682</v>
      </c>
    </row>
    <row r="224" spans="1:12" ht="28.5">
      <c r="A224" s="3">
        <v>222</v>
      </c>
      <c r="B224" s="4">
        <v>45679</v>
      </c>
      <c r="C224" s="5" t="s">
        <v>21</v>
      </c>
      <c r="D224" s="6">
        <v>88.8</v>
      </c>
      <c r="E224" s="6">
        <v>92.2</v>
      </c>
      <c r="F224" s="6">
        <v>86</v>
      </c>
      <c r="G224" s="6">
        <v>86</v>
      </c>
      <c r="H224" s="6">
        <v>87.6</v>
      </c>
      <c r="I224" s="6">
        <v>85.2</v>
      </c>
      <c r="J224" s="6">
        <v>996</v>
      </c>
      <c r="K224" s="6">
        <v>14.167</v>
      </c>
      <c r="L224" s="7">
        <v>159024</v>
      </c>
    </row>
    <row r="225" spans="1:12" ht="28.5">
      <c r="A225" s="3">
        <v>223</v>
      </c>
      <c r="B225" s="4">
        <v>45678</v>
      </c>
      <c r="C225" s="5" t="s">
        <v>21</v>
      </c>
      <c r="D225" s="6">
        <v>85</v>
      </c>
      <c r="E225" s="6">
        <v>88.9</v>
      </c>
      <c r="F225" s="6">
        <v>85</v>
      </c>
      <c r="G225" s="6">
        <v>86.3</v>
      </c>
      <c r="H225" s="6">
        <v>85.2</v>
      </c>
      <c r="I225" s="6">
        <v>86.2</v>
      </c>
      <c r="J225" s="6">
        <v>585</v>
      </c>
      <c r="K225" s="6">
        <v>8.3309999999999995</v>
      </c>
      <c r="L225" s="7">
        <v>96417</v>
      </c>
    </row>
    <row r="226" spans="1:12" ht="28.5">
      <c r="A226" s="3">
        <v>224</v>
      </c>
      <c r="B226" s="4">
        <v>45677</v>
      </c>
      <c r="C226" s="5" t="s">
        <v>21</v>
      </c>
      <c r="D226" s="6">
        <v>86.2</v>
      </c>
      <c r="E226" s="6">
        <v>88.4</v>
      </c>
      <c r="F226" s="6">
        <v>85.7</v>
      </c>
      <c r="G226" s="6">
        <v>85.8</v>
      </c>
      <c r="H226" s="6">
        <v>86.2</v>
      </c>
      <c r="I226" s="6">
        <v>87.3</v>
      </c>
      <c r="J226" s="6">
        <v>558</v>
      </c>
      <c r="K226" s="6">
        <v>7.758</v>
      </c>
      <c r="L226" s="7">
        <v>89653</v>
      </c>
    </row>
    <row r="227" spans="1:12" ht="28.5">
      <c r="A227" s="3">
        <v>225</v>
      </c>
      <c r="B227" s="4">
        <v>45676</v>
      </c>
      <c r="C227" s="5" t="s">
        <v>21</v>
      </c>
      <c r="D227" s="6">
        <v>87.3</v>
      </c>
      <c r="E227" s="6">
        <v>90.5</v>
      </c>
      <c r="F227" s="6">
        <v>86.9</v>
      </c>
      <c r="G227" s="6">
        <v>87</v>
      </c>
      <c r="H227" s="6">
        <v>87.3</v>
      </c>
      <c r="I227" s="6">
        <v>86.9</v>
      </c>
      <c r="J227" s="6">
        <v>832</v>
      </c>
      <c r="K227" s="6">
        <v>13.891</v>
      </c>
      <c r="L227" s="7">
        <v>156398</v>
      </c>
    </row>
    <row r="228" spans="1:12" ht="28.5">
      <c r="A228" s="3">
        <v>226</v>
      </c>
      <c r="B228" s="4">
        <v>45673</v>
      </c>
      <c r="C228" s="5" t="s">
        <v>21</v>
      </c>
      <c r="D228" s="6">
        <v>86.9</v>
      </c>
      <c r="E228" s="6">
        <v>87.4</v>
      </c>
      <c r="F228" s="6">
        <v>81.099999999999994</v>
      </c>
      <c r="G228" s="6">
        <v>81.8</v>
      </c>
      <c r="H228" s="6">
        <v>86.9</v>
      </c>
      <c r="I228" s="6">
        <v>79.5</v>
      </c>
      <c r="J228" s="7">
        <v>1188</v>
      </c>
      <c r="K228" s="6">
        <v>21.411999999999999</v>
      </c>
      <c r="L228" s="7">
        <v>248970</v>
      </c>
    </row>
    <row r="229" spans="1:12" ht="28.5">
      <c r="A229" s="3">
        <v>227</v>
      </c>
      <c r="B229" s="4">
        <v>45672</v>
      </c>
      <c r="C229" s="5" t="s">
        <v>21</v>
      </c>
      <c r="D229" s="6">
        <v>79.5</v>
      </c>
      <c r="E229" s="6">
        <v>81.8</v>
      </c>
      <c r="F229" s="6">
        <v>78.5</v>
      </c>
      <c r="G229" s="6">
        <v>80.7</v>
      </c>
      <c r="H229" s="6">
        <v>79.5</v>
      </c>
      <c r="I229" s="6">
        <v>80.599999999999994</v>
      </c>
      <c r="J229" s="6">
        <v>195</v>
      </c>
      <c r="K229" s="6">
        <v>2.7879999999999998</v>
      </c>
      <c r="L229" s="7">
        <v>34615</v>
      </c>
    </row>
    <row r="230" spans="1:12" ht="28.5">
      <c r="A230" s="3">
        <v>228</v>
      </c>
      <c r="B230" s="4">
        <v>45671</v>
      </c>
      <c r="C230" s="5" t="s">
        <v>21</v>
      </c>
      <c r="D230" s="6">
        <v>80.599999999999994</v>
      </c>
      <c r="E230" s="6">
        <v>81.8</v>
      </c>
      <c r="F230" s="6">
        <v>79.599999999999994</v>
      </c>
      <c r="G230" s="6">
        <v>80.400000000000006</v>
      </c>
      <c r="H230" s="6">
        <v>80.599999999999994</v>
      </c>
      <c r="I230" s="6">
        <v>79.599999999999994</v>
      </c>
      <c r="J230" s="6">
        <v>258</v>
      </c>
      <c r="K230" s="6">
        <v>2.6059999999999999</v>
      </c>
      <c r="L230" s="7">
        <v>32381</v>
      </c>
    </row>
    <row r="231" spans="1:12" ht="28.5">
      <c r="A231" s="3">
        <v>229</v>
      </c>
      <c r="B231" s="4">
        <v>45670</v>
      </c>
      <c r="C231" s="5" t="s">
        <v>21</v>
      </c>
      <c r="D231" s="6">
        <v>79.599999999999994</v>
      </c>
      <c r="E231" s="6">
        <v>80.400000000000006</v>
      </c>
      <c r="F231" s="6">
        <v>78</v>
      </c>
      <c r="G231" s="6">
        <v>78</v>
      </c>
      <c r="H231" s="6">
        <v>79.599999999999994</v>
      </c>
      <c r="I231" s="6">
        <v>78.400000000000006</v>
      </c>
      <c r="J231" s="6">
        <v>237</v>
      </c>
      <c r="K231" s="6">
        <v>3.0070000000000001</v>
      </c>
      <c r="L231" s="7">
        <v>37956</v>
      </c>
    </row>
    <row r="232" spans="1:12" ht="28.5">
      <c r="A232" s="3">
        <v>230</v>
      </c>
      <c r="B232" s="4">
        <v>45669</v>
      </c>
      <c r="C232" s="5" t="s">
        <v>21</v>
      </c>
      <c r="D232" s="6">
        <v>78.7</v>
      </c>
      <c r="E232" s="6">
        <v>80.900000000000006</v>
      </c>
      <c r="F232" s="6">
        <v>78.099999999999994</v>
      </c>
      <c r="G232" s="6">
        <v>80.5</v>
      </c>
      <c r="H232" s="6">
        <v>78.400000000000006</v>
      </c>
      <c r="I232" s="6">
        <v>79.7</v>
      </c>
      <c r="J232" s="6">
        <v>150</v>
      </c>
      <c r="K232" s="6">
        <v>1.734</v>
      </c>
      <c r="L232" s="7">
        <v>21735</v>
      </c>
    </row>
    <row r="233" spans="1:12" ht="28.5">
      <c r="A233" s="3">
        <v>231</v>
      </c>
      <c r="B233" s="4">
        <v>45666</v>
      </c>
      <c r="C233" s="5" t="s">
        <v>21</v>
      </c>
      <c r="D233" s="6">
        <v>79.7</v>
      </c>
      <c r="E233" s="6">
        <v>80</v>
      </c>
      <c r="F233" s="6">
        <v>79.099999999999994</v>
      </c>
      <c r="G233" s="6">
        <v>80</v>
      </c>
      <c r="H233" s="6">
        <v>79.7</v>
      </c>
      <c r="I233" s="6">
        <v>78.900000000000006</v>
      </c>
      <c r="J233" s="6">
        <v>130</v>
      </c>
      <c r="K233" s="6">
        <v>1.4390000000000001</v>
      </c>
      <c r="L233" s="7">
        <v>18097</v>
      </c>
    </row>
    <row r="234" spans="1:12" ht="28.5">
      <c r="A234" s="3">
        <v>232</v>
      </c>
      <c r="B234" s="4">
        <v>45665</v>
      </c>
      <c r="C234" s="5" t="s">
        <v>21</v>
      </c>
      <c r="D234" s="6">
        <v>78.900000000000006</v>
      </c>
      <c r="E234" s="6">
        <v>80</v>
      </c>
      <c r="F234" s="6">
        <v>78.5</v>
      </c>
      <c r="G234" s="6">
        <v>79.8</v>
      </c>
      <c r="H234" s="6">
        <v>78.900000000000006</v>
      </c>
      <c r="I234" s="6">
        <v>79.900000000000006</v>
      </c>
      <c r="J234" s="6">
        <v>152</v>
      </c>
      <c r="K234" s="6">
        <v>1.9470000000000001</v>
      </c>
      <c r="L234" s="7">
        <v>24526</v>
      </c>
    </row>
    <row r="235" spans="1:12" ht="28.5">
      <c r="A235" s="3">
        <v>233</v>
      </c>
      <c r="B235" s="4">
        <v>45664</v>
      </c>
      <c r="C235" s="5" t="s">
        <v>21</v>
      </c>
      <c r="D235" s="6">
        <v>79.900000000000006</v>
      </c>
      <c r="E235" s="6">
        <v>83.1</v>
      </c>
      <c r="F235" s="6">
        <v>77</v>
      </c>
      <c r="G235" s="6">
        <v>82</v>
      </c>
      <c r="H235" s="6">
        <v>79.900000000000006</v>
      </c>
      <c r="I235" s="6">
        <v>81</v>
      </c>
      <c r="J235" s="6">
        <v>301</v>
      </c>
      <c r="K235" s="6">
        <v>4.1539999999999999</v>
      </c>
      <c r="L235" s="7">
        <v>51137</v>
      </c>
    </row>
    <row r="236" spans="1:12" ht="28.5">
      <c r="A236" s="3">
        <v>234</v>
      </c>
      <c r="B236" s="4">
        <v>45663</v>
      </c>
      <c r="C236" s="5" t="s">
        <v>21</v>
      </c>
      <c r="D236" s="6">
        <v>81</v>
      </c>
      <c r="E236" s="6">
        <v>81.400000000000006</v>
      </c>
      <c r="F236" s="6">
        <v>78.400000000000006</v>
      </c>
      <c r="G236" s="6">
        <v>78.599999999999994</v>
      </c>
      <c r="H236" s="6">
        <v>81</v>
      </c>
      <c r="I236" s="6">
        <v>78.3</v>
      </c>
      <c r="J236" s="6">
        <v>284</v>
      </c>
      <c r="K236" s="6">
        <v>4.5209999999999999</v>
      </c>
      <c r="L236" s="7">
        <v>56296</v>
      </c>
    </row>
    <row r="237" spans="1:12" ht="28.5">
      <c r="A237" s="3">
        <v>235</v>
      </c>
      <c r="B237" s="4">
        <v>45662</v>
      </c>
      <c r="C237" s="5" t="s">
        <v>21</v>
      </c>
      <c r="D237" s="6">
        <v>78.3</v>
      </c>
      <c r="E237" s="6">
        <v>81.3</v>
      </c>
      <c r="F237" s="6">
        <v>77.900000000000006</v>
      </c>
      <c r="G237" s="6">
        <v>80.5</v>
      </c>
      <c r="H237" s="6">
        <v>78.3</v>
      </c>
      <c r="I237" s="6">
        <v>81.400000000000006</v>
      </c>
      <c r="J237" s="6">
        <v>278</v>
      </c>
      <c r="K237" s="6">
        <v>3.6469999999999998</v>
      </c>
      <c r="L237" s="7">
        <v>46191</v>
      </c>
    </row>
    <row r="238" spans="1:12" ht="28.5">
      <c r="A238" s="3">
        <v>236</v>
      </c>
      <c r="B238" s="4">
        <v>45659</v>
      </c>
      <c r="C238" s="5" t="s">
        <v>21</v>
      </c>
      <c r="D238" s="6">
        <v>81.400000000000006</v>
      </c>
      <c r="E238" s="6">
        <v>83.1</v>
      </c>
      <c r="F238" s="6">
        <v>81.2</v>
      </c>
      <c r="G238" s="6">
        <v>82.3</v>
      </c>
      <c r="H238" s="6">
        <v>81.400000000000006</v>
      </c>
      <c r="I238" s="6">
        <v>82.4</v>
      </c>
      <c r="J238" s="6">
        <v>275</v>
      </c>
      <c r="K238" s="6">
        <v>3.508</v>
      </c>
      <c r="L238" s="7">
        <v>42800</v>
      </c>
    </row>
    <row r="239" spans="1:12" ht="28.5">
      <c r="A239" s="3">
        <v>237</v>
      </c>
      <c r="B239" s="4">
        <v>45658</v>
      </c>
      <c r="C239" s="5" t="s">
        <v>21</v>
      </c>
      <c r="D239" s="6">
        <v>82.4</v>
      </c>
      <c r="E239" s="6">
        <v>84.8</v>
      </c>
      <c r="F239" s="6">
        <v>82.2</v>
      </c>
      <c r="G239" s="6">
        <v>84.8</v>
      </c>
      <c r="H239" s="6">
        <v>82.4</v>
      </c>
      <c r="I239" s="6">
        <v>83.3</v>
      </c>
      <c r="J239" s="6">
        <v>146</v>
      </c>
      <c r="K239" s="6">
        <v>1.891</v>
      </c>
      <c r="L239" s="7">
        <v>22772</v>
      </c>
    </row>
    <row r="240" spans="1:12" ht="28.5">
      <c r="A240" s="3">
        <v>238</v>
      </c>
      <c r="B240" s="4">
        <v>45656</v>
      </c>
      <c r="C240" s="5" t="s">
        <v>21</v>
      </c>
      <c r="D240" s="6">
        <v>83.3</v>
      </c>
      <c r="E240" s="6">
        <v>84.4</v>
      </c>
      <c r="F240" s="6">
        <v>82.6</v>
      </c>
      <c r="G240" s="6">
        <v>82.6</v>
      </c>
      <c r="H240" s="6">
        <v>83.3</v>
      </c>
      <c r="I240" s="6">
        <v>83.5</v>
      </c>
      <c r="J240" s="6">
        <v>210</v>
      </c>
      <c r="K240" s="6">
        <v>3.33</v>
      </c>
      <c r="L240" s="7">
        <v>39848</v>
      </c>
    </row>
    <row r="241" spans="1:12" ht="28.5">
      <c r="A241" s="3">
        <v>239</v>
      </c>
      <c r="B241" s="4">
        <v>45655</v>
      </c>
      <c r="C241" s="5" t="s">
        <v>21</v>
      </c>
      <c r="D241" s="6">
        <v>83.5</v>
      </c>
      <c r="E241" s="6">
        <v>84.8</v>
      </c>
      <c r="F241" s="6">
        <v>83.3</v>
      </c>
      <c r="G241" s="6">
        <v>84</v>
      </c>
      <c r="H241" s="6">
        <v>83.5</v>
      </c>
      <c r="I241" s="6">
        <v>83.4</v>
      </c>
      <c r="J241" s="6">
        <v>154</v>
      </c>
      <c r="K241" s="6">
        <v>1.5880000000000001</v>
      </c>
      <c r="L241" s="7">
        <v>18935</v>
      </c>
    </row>
  </sheetData>
  <hyperlinks>
    <hyperlink ref="C3" r:id="rId1" display="https://www.dsebd.org/displayCompany.php?name=RAHIMAFOOD" xr:uid="{4262A533-190F-499C-8BA7-320F5AE04206}"/>
    <hyperlink ref="C4" r:id="rId2" display="https://www.dsebd.org/displayCompany.php?name=RAHIMAFOOD" xr:uid="{70CA9B0F-A0E1-4565-982F-4605B8C45DC6}"/>
    <hyperlink ref="C5" r:id="rId3" display="https://www.dsebd.org/displayCompany.php?name=RAHIMAFOOD" xr:uid="{A8754046-BAEE-4276-A2CE-C2F40665BF54}"/>
    <hyperlink ref="C6" r:id="rId4" display="https://www.dsebd.org/displayCompany.php?name=RAHIMAFOOD" xr:uid="{1C30B22F-3DF5-4A87-A7E6-4FE13C6E9241}"/>
    <hyperlink ref="C7" r:id="rId5" display="https://www.dsebd.org/displayCompany.php?name=RAHIMAFOOD" xr:uid="{029EA31D-6214-417F-8A00-2886D07A1622}"/>
    <hyperlink ref="C8" r:id="rId6" display="https://www.dsebd.org/displayCompany.php?name=RAHIMAFOOD" xr:uid="{2C4A9775-5488-465A-8F73-BFFABF10BA8F}"/>
    <hyperlink ref="C9" r:id="rId7" display="https://www.dsebd.org/displayCompany.php?name=RAHIMAFOOD" xr:uid="{D9AF5E65-25C6-4B6F-8019-EAF53EE964AB}"/>
    <hyperlink ref="C10" r:id="rId8" display="https://www.dsebd.org/displayCompany.php?name=RAHIMAFOOD" xr:uid="{26E15253-91EB-4F50-B764-104A8A22D1F8}"/>
    <hyperlink ref="C11" r:id="rId9" display="https://www.dsebd.org/displayCompany.php?name=RAHIMAFOOD" xr:uid="{F28536AA-98F6-4EF6-B154-B90231C124EB}"/>
    <hyperlink ref="C12" r:id="rId10" display="https://www.dsebd.org/displayCompany.php?name=RAHIMAFOOD" xr:uid="{1FDE68DC-BE44-4D94-B18B-2BEC396290EA}"/>
    <hyperlink ref="C13" r:id="rId11" display="https://www.dsebd.org/displayCompany.php?name=RAHIMAFOOD" xr:uid="{BCDEA30D-9181-4AC6-9648-7811459732C5}"/>
    <hyperlink ref="C14" r:id="rId12" display="https://www.dsebd.org/displayCompany.php?name=RAHIMAFOOD" xr:uid="{69C2B0D7-8E9E-49A1-9D34-0A86FD511C20}"/>
    <hyperlink ref="C15" r:id="rId13" display="https://www.dsebd.org/displayCompany.php?name=RAHIMAFOOD" xr:uid="{980366ED-6848-487B-BECA-9458A4A8D06A}"/>
    <hyperlink ref="C16" r:id="rId14" display="https://www.dsebd.org/displayCompany.php?name=RAHIMAFOOD" xr:uid="{FF212D0C-1FB2-4926-A8F7-54A564C086AF}"/>
    <hyperlink ref="C17" r:id="rId15" display="https://www.dsebd.org/displayCompany.php?name=RAHIMAFOOD" xr:uid="{16E807EA-2682-406D-B2B7-EF015B3AB51A}"/>
    <hyperlink ref="C18" r:id="rId16" display="https://www.dsebd.org/displayCompany.php?name=RAHIMAFOOD" xr:uid="{BD3F0EEA-9AE3-4DE0-8251-A526A27061C1}"/>
    <hyperlink ref="C19" r:id="rId17" display="https://www.dsebd.org/displayCompany.php?name=RAHIMAFOOD" xr:uid="{85DC52C9-0BAD-4FFB-B76E-5C506F9E9D97}"/>
    <hyperlink ref="C20" r:id="rId18" display="https://www.dsebd.org/displayCompany.php?name=RAHIMAFOOD" xr:uid="{F96338DA-8FE6-444D-B0F3-247E350D7857}"/>
    <hyperlink ref="C21" r:id="rId19" display="https://www.dsebd.org/displayCompany.php?name=RAHIMAFOOD" xr:uid="{3AA379BA-70C8-44DC-9F98-BA785125CCCF}"/>
    <hyperlink ref="C22" r:id="rId20" display="https://www.dsebd.org/displayCompany.php?name=RAHIMAFOOD" xr:uid="{EA9885E0-B2CC-4066-AE01-740103A989B3}"/>
    <hyperlink ref="C23" r:id="rId21" display="https://www.dsebd.org/displayCompany.php?name=RAHIMAFOOD" xr:uid="{0F39263F-A20B-49AC-8118-4F34AEB7540B}"/>
    <hyperlink ref="C24" r:id="rId22" display="https://www.dsebd.org/displayCompany.php?name=RAHIMAFOOD" xr:uid="{1165C159-288B-4688-B297-1D9C15851631}"/>
    <hyperlink ref="C25" r:id="rId23" display="https://www.dsebd.org/displayCompany.php?name=RAHIMAFOOD" xr:uid="{82F1118E-0759-4EC1-8F87-C4A1A83B9935}"/>
    <hyperlink ref="C26" r:id="rId24" display="https://www.dsebd.org/displayCompany.php?name=RAHIMAFOOD" xr:uid="{FD9CB45C-516D-4B81-BD06-8608F6CAAF9E}"/>
    <hyperlink ref="C27" r:id="rId25" display="https://www.dsebd.org/displayCompany.php?name=RAHIMAFOOD" xr:uid="{C3C07C85-D1CB-434E-8FD4-0AAB32E314EB}"/>
    <hyperlink ref="C28" r:id="rId26" display="https://www.dsebd.org/displayCompany.php?name=RAHIMAFOOD" xr:uid="{2881A025-3069-4FAF-9B41-8FE01F13D81B}"/>
    <hyperlink ref="C29" r:id="rId27" display="https://www.dsebd.org/displayCompany.php?name=RAHIMAFOOD" xr:uid="{EBAB4BF8-002D-4CF6-A8F6-E4FEF83ACE1A}"/>
    <hyperlink ref="C30" r:id="rId28" display="https://www.dsebd.org/displayCompany.php?name=RAHIMAFOOD" xr:uid="{62E13732-0E7E-438B-B5AD-976DE7851D0B}"/>
    <hyperlink ref="C31" r:id="rId29" display="https://www.dsebd.org/displayCompany.php?name=RAHIMAFOOD" xr:uid="{1616B925-2D7E-402C-B856-2A97E8C66B75}"/>
    <hyperlink ref="C32" r:id="rId30" display="https://www.dsebd.org/displayCompany.php?name=RAHIMAFOOD" xr:uid="{F3A6606C-1744-484D-86D7-0046B30E5957}"/>
    <hyperlink ref="C33" r:id="rId31" display="https://www.dsebd.org/displayCompany.php?name=RAHIMAFOOD" xr:uid="{66EDA721-6B50-43BC-BDA1-454DB9FA4E35}"/>
    <hyperlink ref="C34" r:id="rId32" display="https://www.dsebd.org/displayCompany.php?name=RAHIMAFOOD" xr:uid="{1101C501-E536-4CD1-887F-7BE90C0DB5B7}"/>
    <hyperlink ref="C35" r:id="rId33" display="https://www.dsebd.org/displayCompany.php?name=RAHIMAFOOD" xr:uid="{1C1E828F-445D-400F-B5B2-E910BDC596C1}"/>
    <hyperlink ref="C36" r:id="rId34" display="https://www.dsebd.org/displayCompany.php?name=RAHIMAFOOD" xr:uid="{905B2BC7-F6F5-4847-9D38-8A7DCBA71BC5}"/>
    <hyperlink ref="C37" r:id="rId35" display="https://www.dsebd.org/displayCompany.php?name=RAHIMAFOOD" xr:uid="{25A91E06-4DD4-448C-9FD9-CB8D98412FDA}"/>
    <hyperlink ref="C38" r:id="rId36" display="https://www.dsebd.org/displayCompany.php?name=RAHIMAFOOD" xr:uid="{709C8255-7B9C-4D9D-8134-446A41D841B2}"/>
    <hyperlink ref="C39" r:id="rId37" display="https://www.dsebd.org/displayCompany.php?name=RAHIMAFOOD" xr:uid="{86396F06-9B57-46D9-A0C4-0DF84E332EEF}"/>
    <hyperlink ref="C40" r:id="rId38" display="https://www.dsebd.org/displayCompany.php?name=RAHIMAFOOD" xr:uid="{9E5FBD5F-5CF8-4F73-B363-6DE33BBB86EE}"/>
    <hyperlink ref="C41" r:id="rId39" display="https://www.dsebd.org/displayCompany.php?name=RAHIMAFOOD" xr:uid="{479755BF-11E5-4247-8B9C-50AF56C79412}"/>
    <hyperlink ref="C42" r:id="rId40" display="https://www.dsebd.org/displayCompany.php?name=RAHIMAFOOD" xr:uid="{84E487C1-90A6-43F0-B32C-76813A34880A}"/>
    <hyperlink ref="C43" r:id="rId41" display="https://www.dsebd.org/displayCompany.php?name=RAHIMAFOOD" xr:uid="{BAD471C7-9666-4B68-B8F0-8D1714212D58}"/>
    <hyperlink ref="C44" r:id="rId42" display="https://www.dsebd.org/displayCompany.php?name=RAHIMAFOOD" xr:uid="{4E0C82E8-F894-4D61-98F7-0F5FFFDA589B}"/>
    <hyperlink ref="C45" r:id="rId43" display="https://www.dsebd.org/displayCompany.php?name=RAHIMAFOOD" xr:uid="{8AECEDB8-4A6E-4188-8033-EDC965C0ACBD}"/>
    <hyperlink ref="C46" r:id="rId44" display="https://www.dsebd.org/displayCompany.php?name=RAHIMAFOOD" xr:uid="{DC6941B3-11CC-4D26-9395-9C7C4182A1F0}"/>
    <hyperlink ref="C47" r:id="rId45" display="https://www.dsebd.org/displayCompany.php?name=RAHIMAFOOD" xr:uid="{3218B084-AD70-4DD1-AFC0-3794A85EC0B5}"/>
    <hyperlink ref="C48" r:id="rId46" display="https://www.dsebd.org/displayCompany.php?name=RAHIMAFOOD" xr:uid="{1EADDFC0-64C7-4226-B68D-2A7CA7C3021C}"/>
    <hyperlink ref="C49" r:id="rId47" display="https://www.dsebd.org/displayCompany.php?name=RAHIMAFOOD" xr:uid="{FD0F5A23-C975-42E3-A518-8351922CBE1A}"/>
    <hyperlink ref="C50" r:id="rId48" display="https://www.dsebd.org/displayCompany.php?name=RAHIMAFOOD" xr:uid="{610C1B0D-BF0B-4626-AE93-AB63C81FD1D3}"/>
    <hyperlink ref="C51" r:id="rId49" display="https://www.dsebd.org/displayCompany.php?name=RAHIMAFOOD" xr:uid="{2A243BED-0449-46BC-8F58-D105A5078DEC}"/>
    <hyperlink ref="C52" r:id="rId50" display="https://www.dsebd.org/displayCompany.php?name=RAHIMAFOOD" xr:uid="{E5837A3A-F1B0-43CD-B881-4A40D157D585}"/>
    <hyperlink ref="C53" r:id="rId51" display="https://www.dsebd.org/displayCompany.php?name=RAHIMAFOOD" xr:uid="{BBC7FAE7-06E7-4FB3-B957-DAC849E3B000}"/>
    <hyperlink ref="C54" r:id="rId52" display="https://www.dsebd.org/displayCompany.php?name=RAHIMAFOOD" xr:uid="{41A2AFFD-7A0B-4A32-8178-060AC35FEF98}"/>
    <hyperlink ref="C55" r:id="rId53" display="https://www.dsebd.org/displayCompany.php?name=RAHIMAFOOD" xr:uid="{3E992C31-80FB-4D2D-8097-EB0F7A43B611}"/>
    <hyperlink ref="C56" r:id="rId54" display="https://www.dsebd.org/displayCompany.php?name=RAHIMAFOOD" xr:uid="{1669E76D-51C3-4D1A-812C-76674036E7C5}"/>
    <hyperlink ref="C57" r:id="rId55" display="https://www.dsebd.org/displayCompany.php?name=RAHIMAFOOD" xr:uid="{3CA2E2C7-CCFD-400B-BFE1-3BA7E712605F}"/>
    <hyperlink ref="C58" r:id="rId56" display="https://www.dsebd.org/displayCompany.php?name=RAHIMAFOOD" xr:uid="{FF41D10C-97E1-47E6-889D-8C2D806B33CE}"/>
    <hyperlink ref="C59" r:id="rId57" display="https://www.dsebd.org/displayCompany.php?name=RAHIMAFOOD" xr:uid="{35600902-0592-454C-82DA-DC1976EE6C49}"/>
    <hyperlink ref="C60" r:id="rId58" display="https://www.dsebd.org/displayCompany.php?name=RAHIMAFOOD" xr:uid="{50FD32C4-4001-49BC-906E-8CED49EC0814}"/>
    <hyperlink ref="C61" r:id="rId59" display="https://www.dsebd.org/displayCompany.php?name=RAHIMAFOOD" xr:uid="{0C3CAE63-DC30-4FA1-A648-0118F81661B9}"/>
    <hyperlink ref="C62" r:id="rId60" display="https://www.dsebd.org/displayCompany.php?name=RAHIMAFOOD" xr:uid="{87C9355C-C91C-43FA-A177-1798635F5F58}"/>
    <hyperlink ref="C63" r:id="rId61" display="https://www.dsebd.org/displayCompany.php?name=RAHIMAFOOD" xr:uid="{6C5B036E-8F58-4649-996D-E550B5408A9D}"/>
    <hyperlink ref="C64" r:id="rId62" display="https://www.dsebd.org/displayCompany.php?name=RAHIMAFOOD" xr:uid="{9C42ADD1-0EBF-436C-B1D5-B5FBAB96AC14}"/>
    <hyperlink ref="C65" r:id="rId63" display="https://www.dsebd.org/displayCompany.php?name=RAHIMAFOOD" xr:uid="{7BF30EEF-7BCD-4758-813F-35684761E3C1}"/>
    <hyperlink ref="C66" r:id="rId64" display="https://www.dsebd.org/displayCompany.php?name=RAHIMAFOOD" xr:uid="{C2B1363A-7601-4C9E-A0C1-E59E77ECEB5B}"/>
    <hyperlink ref="C67" r:id="rId65" display="https://www.dsebd.org/displayCompany.php?name=RAHIMAFOOD" xr:uid="{4EA78D04-B435-4AE7-9A31-7436D03409AF}"/>
    <hyperlink ref="C68" r:id="rId66" display="https://www.dsebd.org/displayCompany.php?name=RAHIMAFOOD" xr:uid="{6607A573-B0A8-4B97-B8D2-98A0F9A713D1}"/>
    <hyperlink ref="C69" r:id="rId67" display="https://www.dsebd.org/displayCompany.php?name=RAHIMAFOOD" xr:uid="{BA5CC69C-E6F8-48DB-BBAC-FF7F6BC18A8C}"/>
    <hyperlink ref="C70" r:id="rId68" display="https://www.dsebd.org/displayCompany.php?name=RAHIMAFOOD" xr:uid="{3B8436A7-7603-4227-A391-9C70F70E33B7}"/>
    <hyperlink ref="C71" r:id="rId69" display="https://www.dsebd.org/displayCompany.php?name=RAHIMAFOOD" xr:uid="{89AB8041-4C36-4F1B-95A6-45DC3584D6D9}"/>
    <hyperlink ref="C72" r:id="rId70" display="https://www.dsebd.org/displayCompany.php?name=RAHIMAFOOD" xr:uid="{77A112CC-3012-4BCF-8C15-3E32506560AA}"/>
    <hyperlink ref="C73" r:id="rId71" display="https://www.dsebd.org/displayCompany.php?name=RAHIMAFOOD" xr:uid="{ADAF9085-A29D-48F3-9D96-D16C93DD6A69}"/>
    <hyperlink ref="C74" r:id="rId72" display="https://www.dsebd.org/displayCompany.php?name=RAHIMAFOOD" xr:uid="{BFB99DC0-75B7-4E47-A6D7-9E0BEB9C77AC}"/>
    <hyperlink ref="C75" r:id="rId73" display="https://www.dsebd.org/displayCompany.php?name=RAHIMAFOOD" xr:uid="{51CFE617-9B78-4DE6-833F-44EE620906AD}"/>
    <hyperlink ref="C76" r:id="rId74" display="https://www.dsebd.org/displayCompany.php?name=RAHIMAFOOD" xr:uid="{A6C49773-B7E2-45FE-A31B-845C2E4A2131}"/>
    <hyperlink ref="C77" r:id="rId75" display="https://www.dsebd.org/displayCompany.php?name=RAHIMAFOOD" xr:uid="{D8721E21-B216-4810-B5D0-FF0A0A5F55DD}"/>
    <hyperlink ref="C78" r:id="rId76" display="https://www.dsebd.org/displayCompany.php?name=RAHIMAFOOD" xr:uid="{F9D94765-9CB2-4A27-94A1-034B54248D2B}"/>
    <hyperlink ref="C79" r:id="rId77" display="https://www.dsebd.org/displayCompany.php?name=RAHIMAFOOD" xr:uid="{13C765B6-C6D8-404B-9A23-527E1E90DBD0}"/>
    <hyperlink ref="C80" r:id="rId78" display="https://www.dsebd.org/displayCompany.php?name=RAHIMAFOOD" xr:uid="{11693E04-28E1-47E1-BB02-8DCE02CC139F}"/>
    <hyperlink ref="C81" r:id="rId79" display="https://www.dsebd.org/displayCompany.php?name=RAHIMAFOOD" xr:uid="{7125C5D0-1072-4A62-8968-DAF06D7F71D1}"/>
    <hyperlink ref="C82" r:id="rId80" display="https://www.dsebd.org/displayCompany.php?name=RAHIMAFOOD" xr:uid="{6FA63A0E-8325-4688-900E-07D80ACE4178}"/>
    <hyperlink ref="C83" r:id="rId81" display="https://www.dsebd.org/displayCompany.php?name=RAHIMAFOOD" xr:uid="{471D5282-B549-4560-B005-46CAB745F602}"/>
    <hyperlink ref="C84" r:id="rId82" display="https://www.dsebd.org/displayCompany.php?name=RAHIMAFOOD" xr:uid="{FEA73DF1-509F-49BC-B38C-8D6DA710A598}"/>
    <hyperlink ref="C85" r:id="rId83" display="https://www.dsebd.org/displayCompany.php?name=RAHIMAFOOD" xr:uid="{67D9C1F5-AAAF-4A7A-86E3-A188F510E1B9}"/>
    <hyperlink ref="C86" r:id="rId84" display="https://www.dsebd.org/displayCompany.php?name=RAHIMAFOOD" xr:uid="{9EA5B3ED-E401-47A2-B09D-92A4CC708B3E}"/>
    <hyperlink ref="C87" r:id="rId85" display="https://www.dsebd.org/displayCompany.php?name=RAHIMAFOOD" xr:uid="{BA19F633-4C79-4B11-8109-0E69B7954BCB}"/>
    <hyperlink ref="C88" r:id="rId86" display="https://www.dsebd.org/displayCompany.php?name=RAHIMAFOOD" xr:uid="{7CB7A9D4-922F-46CD-80B4-C029F3A1A08D}"/>
    <hyperlink ref="C89" r:id="rId87" display="https://www.dsebd.org/displayCompany.php?name=RAHIMAFOOD" xr:uid="{87EC63C0-D3A1-4CFD-88D5-171B76C59B17}"/>
    <hyperlink ref="C90" r:id="rId88" display="https://www.dsebd.org/displayCompany.php?name=RAHIMAFOOD" xr:uid="{D9CA2F3A-C302-42E0-B695-A49DF95C3FD3}"/>
    <hyperlink ref="C91" r:id="rId89" display="https://www.dsebd.org/displayCompany.php?name=RAHIMAFOOD" xr:uid="{8CF93FB9-66C5-4C84-98F4-8BACB508C7D6}"/>
    <hyperlink ref="C92" r:id="rId90" display="https://www.dsebd.org/displayCompany.php?name=RAHIMAFOOD" xr:uid="{B055AF22-09F4-4976-B635-A678C96334CF}"/>
    <hyperlink ref="C93" r:id="rId91" display="https://www.dsebd.org/displayCompany.php?name=RAHIMAFOOD" xr:uid="{94EB2DA1-BA01-4A7B-ACBB-2A9DD1284CB0}"/>
    <hyperlink ref="C94" r:id="rId92" display="https://www.dsebd.org/displayCompany.php?name=RAHIMAFOOD" xr:uid="{FDDA0A32-42D2-4ADD-B488-992A694CDBFD}"/>
    <hyperlink ref="C95" r:id="rId93" display="https://www.dsebd.org/displayCompany.php?name=RAHIMAFOOD" xr:uid="{0962A481-3B74-4A53-8A75-0066C9DABB57}"/>
    <hyperlink ref="C96" r:id="rId94" display="https://www.dsebd.org/displayCompany.php?name=RAHIMAFOOD" xr:uid="{7AE83772-EC08-404B-8550-175DAEB8AA87}"/>
    <hyperlink ref="C97" r:id="rId95" display="https://www.dsebd.org/displayCompany.php?name=RAHIMAFOOD" xr:uid="{A454E6AC-C842-47C1-9906-433B82916A70}"/>
    <hyperlink ref="C98" r:id="rId96" display="https://www.dsebd.org/displayCompany.php?name=RAHIMAFOOD" xr:uid="{203D0344-9047-46A0-9B70-C8FA745E8BAB}"/>
    <hyperlink ref="C99" r:id="rId97" display="https://www.dsebd.org/displayCompany.php?name=RAHIMAFOOD" xr:uid="{29648EBA-D0FE-4BA3-9BDE-0444D0691A44}"/>
    <hyperlink ref="C100" r:id="rId98" display="https://www.dsebd.org/displayCompany.php?name=RAHIMAFOOD" xr:uid="{68599D40-10F3-4B19-8B1C-ED677A9FE060}"/>
    <hyperlink ref="C101" r:id="rId99" display="https://www.dsebd.org/displayCompany.php?name=RAHIMAFOOD" xr:uid="{D4818B82-8164-4352-8616-53958861AFE1}"/>
    <hyperlink ref="C102" r:id="rId100" display="https://www.dsebd.org/displayCompany.php?name=RAHIMAFOOD" xr:uid="{6E4E8C17-548A-4228-BAEF-7C45CDCC713D}"/>
    <hyperlink ref="C103" r:id="rId101" display="https://www.dsebd.org/displayCompany.php?name=RAHIMAFOOD" xr:uid="{70E8314A-BAE6-4B1A-ADCF-F21EF6B98F7D}"/>
    <hyperlink ref="C104" r:id="rId102" display="https://www.dsebd.org/displayCompany.php?name=RAHIMAFOOD" xr:uid="{AA0EE599-B2FD-4279-BBAF-7C888E40BFF2}"/>
    <hyperlink ref="C105" r:id="rId103" display="https://www.dsebd.org/displayCompany.php?name=RAHIMAFOOD" xr:uid="{3FFE7E24-D3C3-41C1-BF36-A5C1DB0D7FB1}"/>
    <hyperlink ref="C106" r:id="rId104" display="https://www.dsebd.org/displayCompany.php?name=RAHIMAFOOD" xr:uid="{F2CD2BAD-8C0A-4E30-8D8D-D45E3CC33CC2}"/>
    <hyperlink ref="C107" r:id="rId105" display="https://www.dsebd.org/displayCompany.php?name=RAHIMAFOOD" xr:uid="{E8E32638-A470-4CDA-8659-3759018AF157}"/>
    <hyperlink ref="C108" r:id="rId106" display="https://www.dsebd.org/displayCompany.php?name=RAHIMAFOOD" xr:uid="{4FE1D7FA-34BB-41C9-B54D-1FF7DFED6A09}"/>
    <hyperlink ref="C109" r:id="rId107" display="https://www.dsebd.org/displayCompany.php?name=RAHIMAFOOD" xr:uid="{357A1EC2-BA2A-42CF-A2BE-93745A074D88}"/>
    <hyperlink ref="C110" r:id="rId108" display="https://www.dsebd.org/displayCompany.php?name=RAHIMAFOOD" xr:uid="{95B46BEE-3FE0-4669-9836-5278B5FB92FB}"/>
    <hyperlink ref="C111" r:id="rId109" display="https://www.dsebd.org/displayCompany.php?name=RAHIMAFOOD" xr:uid="{9A345EAC-9BD0-4E74-9566-7E9EA46F645E}"/>
    <hyperlink ref="C112" r:id="rId110" display="https://www.dsebd.org/displayCompany.php?name=RAHIMAFOOD" xr:uid="{C7AD5D25-9B0B-43E5-9726-572DB61DEA8D}"/>
    <hyperlink ref="C113" r:id="rId111" display="https://www.dsebd.org/displayCompany.php?name=RAHIMAFOOD" xr:uid="{837C3D28-6530-4B78-9BA7-9887564163B1}"/>
    <hyperlink ref="C114" r:id="rId112" display="https://www.dsebd.org/displayCompany.php?name=RAHIMAFOOD" xr:uid="{70115E68-EFF1-4837-9CAC-EA87E1A6AD1B}"/>
    <hyperlink ref="C115" r:id="rId113" display="https://www.dsebd.org/displayCompany.php?name=RAHIMAFOOD" xr:uid="{CB1D5579-E462-44BE-BEED-3157BF01D4E3}"/>
    <hyperlink ref="C116" r:id="rId114" display="https://www.dsebd.org/displayCompany.php?name=RAHIMAFOOD" xr:uid="{4BAF3610-313A-44CA-B891-4B33B43122E6}"/>
    <hyperlink ref="C117" r:id="rId115" display="https://www.dsebd.org/displayCompany.php?name=RAHIMAFOOD" xr:uid="{D36EF5FD-B11B-4738-9826-262A72023BE7}"/>
    <hyperlink ref="C118" r:id="rId116" display="https://www.dsebd.org/displayCompany.php?name=RAHIMAFOOD" xr:uid="{3C2AFADF-DF28-4A3E-A3FA-FFEB3804C996}"/>
    <hyperlink ref="C119" r:id="rId117" display="https://www.dsebd.org/displayCompany.php?name=RAHIMAFOOD" xr:uid="{06990AF6-4FF0-4735-9548-DF86D4FCEB40}"/>
    <hyperlink ref="C120" r:id="rId118" display="https://www.dsebd.org/displayCompany.php?name=RAHIMAFOOD" xr:uid="{7E6421D7-9A5D-40DD-A613-D605B05BA149}"/>
    <hyperlink ref="C121" r:id="rId119" display="https://www.dsebd.org/displayCompany.php?name=RAHIMAFOOD" xr:uid="{781DB4C2-E24C-4965-88F6-8CB9F06822A3}"/>
    <hyperlink ref="C122" r:id="rId120" display="https://www.dsebd.org/displayCompany.php?name=RAHIMAFOOD" xr:uid="{740F22FA-A397-45CC-BA24-67B1571E4167}"/>
    <hyperlink ref="C123" r:id="rId121" display="https://www.dsebd.org/displayCompany.php?name=RAHIMAFOOD" xr:uid="{A6AB667B-48CF-43D0-A928-B6C82762F4ED}"/>
    <hyperlink ref="C124" r:id="rId122" display="https://www.dsebd.org/displayCompany.php?name=RAHIMAFOOD" xr:uid="{3309F7C6-D5DB-4FEC-A8D2-2E2FAA5CDF62}"/>
    <hyperlink ref="C125" r:id="rId123" display="https://www.dsebd.org/displayCompany.php?name=RAHIMAFOOD" xr:uid="{B447C276-C08E-4B19-804B-BF9D2DAF76B3}"/>
    <hyperlink ref="C126" r:id="rId124" display="https://www.dsebd.org/displayCompany.php?name=RAHIMAFOOD" xr:uid="{DCD9DC5B-CD6D-4420-B0D4-E7D61412DD90}"/>
    <hyperlink ref="C127" r:id="rId125" display="https://www.dsebd.org/displayCompany.php?name=RAHIMAFOOD" xr:uid="{C2513B16-CE08-4058-AEBA-D7F0590C734E}"/>
    <hyperlink ref="C128" r:id="rId126" display="https://www.dsebd.org/displayCompany.php?name=RAHIMAFOOD" xr:uid="{A77EC8FE-6E07-4235-9E6B-11066F57DD55}"/>
    <hyperlink ref="C129" r:id="rId127" display="https://www.dsebd.org/displayCompany.php?name=RAHIMAFOOD" xr:uid="{7A39D0BB-22D2-46E0-BD8A-B691178DB3B1}"/>
    <hyperlink ref="C130" r:id="rId128" display="https://www.dsebd.org/displayCompany.php?name=RAHIMAFOOD" xr:uid="{B2FA6917-7AC8-4F28-8467-80DC8D91970B}"/>
    <hyperlink ref="C131" r:id="rId129" display="https://www.dsebd.org/displayCompany.php?name=RAHIMAFOOD" xr:uid="{DE20CDE9-DBEE-4C89-AFB2-9E210ECECCB6}"/>
    <hyperlink ref="C132" r:id="rId130" display="https://www.dsebd.org/displayCompany.php?name=RAHIMAFOOD" xr:uid="{6F559231-9155-4025-BF6C-C9D1CB7EE454}"/>
    <hyperlink ref="C133" r:id="rId131" display="https://www.dsebd.org/displayCompany.php?name=RAHIMAFOOD" xr:uid="{4409F178-062A-45A0-A9D3-049E2272AAC0}"/>
    <hyperlink ref="C134" r:id="rId132" display="https://www.dsebd.org/displayCompany.php?name=RAHIMAFOOD" xr:uid="{9369EB88-DCD8-4B2F-83EF-76E8721CC3CE}"/>
    <hyperlink ref="C135" r:id="rId133" display="https://www.dsebd.org/displayCompany.php?name=RAHIMAFOOD" xr:uid="{1DD3FA9C-92CF-4AB2-8B5F-F93E4FC8AAB8}"/>
    <hyperlink ref="C136" r:id="rId134" display="https://www.dsebd.org/displayCompany.php?name=RAHIMAFOOD" xr:uid="{5CA78F6D-A736-4ACE-BF7B-9210A6DE5A5C}"/>
    <hyperlink ref="C137" r:id="rId135" display="https://www.dsebd.org/displayCompany.php?name=RAHIMAFOOD" xr:uid="{075D85CD-133A-4402-9429-C0C9713E71A0}"/>
    <hyperlink ref="C138" r:id="rId136" display="https://www.dsebd.org/displayCompany.php?name=RAHIMAFOOD" xr:uid="{6D7C235D-2E18-4911-B555-8962C2AA8C10}"/>
    <hyperlink ref="C139" r:id="rId137" display="https://www.dsebd.org/displayCompany.php?name=RAHIMAFOOD" xr:uid="{5DC94361-5E1B-484E-B2DF-F876883050D4}"/>
    <hyperlink ref="C140" r:id="rId138" display="https://www.dsebd.org/displayCompany.php?name=RAHIMAFOOD" xr:uid="{38B23893-EF4B-48DF-9050-D0856738B109}"/>
    <hyperlink ref="C141" r:id="rId139" display="https://www.dsebd.org/displayCompany.php?name=RAHIMAFOOD" xr:uid="{CCC9907C-230E-4F13-A673-B4A921A5CF7E}"/>
    <hyperlink ref="C142" r:id="rId140" display="https://www.dsebd.org/displayCompany.php?name=RAHIMAFOOD" xr:uid="{078C9ED9-3FD3-4FDA-88D6-E7279C538024}"/>
    <hyperlink ref="C143" r:id="rId141" display="https://www.dsebd.org/displayCompany.php?name=RAHIMAFOOD" xr:uid="{E54CE2CB-90A3-4792-B42D-56662DBCC0DE}"/>
    <hyperlink ref="C144" r:id="rId142" display="https://www.dsebd.org/displayCompany.php?name=RAHIMAFOOD" xr:uid="{92D072FA-B4B7-42FE-9B49-2C82104F3790}"/>
    <hyperlink ref="C145" r:id="rId143" display="https://www.dsebd.org/displayCompany.php?name=RAHIMAFOOD" xr:uid="{A037755D-7DAC-4947-A729-74348B5EF127}"/>
    <hyperlink ref="C146" r:id="rId144" display="https://www.dsebd.org/displayCompany.php?name=RAHIMAFOOD" xr:uid="{FA82C9F0-FCAE-4C65-BB3B-FE6B20662407}"/>
    <hyperlink ref="C147" r:id="rId145" display="https://www.dsebd.org/displayCompany.php?name=RAHIMAFOOD" xr:uid="{9B96BE60-85A8-4EA1-8D96-77C39AE7A2DF}"/>
    <hyperlink ref="C148" r:id="rId146" display="https://www.dsebd.org/displayCompany.php?name=RAHIMAFOOD" xr:uid="{BD83C923-A3EC-4E93-A31D-E760C8283DE4}"/>
    <hyperlink ref="C149" r:id="rId147" display="https://www.dsebd.org/displayCompany.php?name=RAHIMAFOOD" xr:uid="{E9FA338F-15DC-4676-8B02-C79DF20E8B0C}"/>
    <hyperlink ref="C150" r:id="rId148" display="https://www.dsebd.org/displayCompany.php?name=RAHIMAFOOD" xr:uid="{E9767EF9-63A8-4B5D-A10C-DA35698147E3}"/>
    <hyperlink ref="C151" r:id="rId149" display="https://www.dsebd.org/displayCompany.php?name=RAHIMAFOOD" xr:uid="{C40003AC-D0F8-4027-B22E-A1377A0628B0}"/>
    <hyperlink ref="C152" r:id="rId150" display="https://www.dsebd.org/displayCompany.php?name=RAHIMAFOOD" xr:uid="{A16FC5C7-46F4-47C0-AFDF-56E6D9A2AD3F}"/>
    <hyperlink ref="C153" r:id="rId151" display="https://www.dsebd.org/displayCompany.php?name=RAHIMAFOOD" xr:uid="{05A60BE9-4DA3-48F9-B23A-1D6FBC90FC80}"/>
    <hyperlink ref="C154" r:id="rId152" display="https://www.dsebd.org/displayCompany.php?name=RAHIMAFOOD" xr:uid="{C4054C7D-35F3-422A-84A5-05406912331D}"/>
    <hyperlink ref="C155" r:id="rId153" display="https://www.dsebd.org/displayCompany.php?name=RAHIMAFOOD" xr:uid="{D057FD6F-8BF9-4EAE-95C3-3063B3F496AC}"/>
    <hyperlink ref="C156" r:id="rId154" display="https://www.dsebd.org/displayCompany.php?name=RAHIMAFOOD" xr:uid="{F091714E-213A-4E5F-A44C-16118243AD5A}"/>
    <hyperlink ref="C157" r:id="rId155" display="https://www.dsebd.org/displayCompany.php?name=RAHIMAFOOD" xr:uid="{E0E7A75F-C70B-4D91-BD26-CED2BF08668D}"/>
    <hyperlink ref="C158" r:id="rId156" display="https://www.dsebd.org/displayCompany.php?name=RAHIMAFOOD" xr:uid="{B32E0760-E2E2-4CDE-8792-0E203E45BCCD}"/>
    <hyperlink ref="C159" r:id="rId157" display="https://www.dsebd.org/displayCompany.php?name=RAHIMAFOOD" xr:uid="{7648E750-81DE-43C7-B911-837D1127BCFA}"/>
    <hyperlink ref="C160" r:id="rId158" display="https://www.dsebd.org/displayCompany.php?name=RAHIMAFOOD" xr:uid="{B1BDD551-2012-4896-B15F-C068CB75C570}"/>
    <hyperlink ref="C161" r:id="rId159" display="https://www.dsebd.org/displayCompany.php?name=RAHIMAFOOD" xr:uid="{08A2DDF1-0BF2-48E9-B75A-8EE7C299CCB6}"/>
    <hyperlink ref="C162" r:id="rId160" display="https://www.dsebd.org/displayCompany.php?name=RAHIMAFOOD" xr:uid="{9BBB9D74-44A4-4198-8B11-4A21E1DC5F6B}"/>
    <hyperlink ref="C163" r:id="rId161" display="https://www.dsebd.org/displayCompany.php?name=RAHIMAFOOD" xr:uid="{A844840D-1597-4103-A0D8-0BF403B76B5B}"/>
    <hyperlink ref="C164" r:id="rId162" display="https://www.dsebd.org/displayCompany.php?name=RAHIMAFOOD" xr:uid="{DC9A00D4-D2CA-4CFF-A225-D7FDAA4FC581}"/>
    <hyperlink ref="C165" r:id="rId163" display="https://www.dsebd.org/displayCompany.php?name=RAHIMAFOOD" xr:uid="{53B2C33F-597A-4CB1-B549-BB2B514C50C2}"/>
    <hyperlink ref="C166" r:id="rId164" display="https://www.dsebd.org/displayCompany.php?name=RAHIMAFOOD" xr:uid="{816581A0-1134-4BFB-A249-9831D8974F3B}"/>
    <hyperlink ref="C167" r:id="rId165" display="https://www.dsebd.org/displayCompany.php?name=RAHIMAFOOD" xr:uid="{65EA1CE9-90AD-4FC4-9D79-4D4AD4389F6E}"/>
    <hyperlink ref="C168" r:id="rId166" display="https://www.dsebd.org/displayCompany.php?name=RAHIMAFOOD" xr:uid="{CED2954D-7689-4C7D-A722-3ED67910F8C5}"/>
    <hyperlink ref="C169" r:id="rId167" display="https://www.dsebd.org/displayCompany.php?name=RAHIMAFOOD" xr:uid="{8A6DA9EA-83A2-4B3A-A14E-597744E32957}"/>
    <hyperlink ref="C170" r:id="rId168" display="https://www.dsebd.org/displayCompany.php?name=RAHIMAFOOD" xr:uid="{BFE7A3B8-59B9-4001-A663-FE5E54BE6D8C}"/>
    <hyperlink ref="C171" r:id="rId169" display="https://www.dsebd.org/displayCompany.php?name=RAHIMAFOOD" xr:uid="{4AD9D51C-E37B-4EB9-8C16-8A8F33BC7FC5}"/>
    <hyperlink ref="C172" r:id="rId170" display="https://www.dsebd.org/displayCompany.php?name=RAHIMAFOOD" xr:uid="{13317A31-7C67-4225-92D8-3148A036F3A1}"/>
    <hyperlink ref="C173" r:id="rId171" display="https://www.dsebd.org/displayCompany.php?name=RAHIMAFOOD" xr:uid="{CCDC43D3-FB22-4DEB-A6E7-DE577F56E86F}"/>
    <hyperlink ref="C174" r:id="rId172" display="https://www.dsebd.org/displayCompany.php?name=RAHIMAFOOD" xr:uid="{54238B15-0943-4F95-8512-31366C795B20}"/>
    <hyperlink ref="C175" r:id="rId173" display="https://www.dsebd.org/displayCompany.php?name=RAHIMAFOOD" xr:uid="{9D24ADED-1AFD-4E6F-823E-6B58F946CFF3}"/>
    <hyperlink ref="C176" r:id="rId174" display="https://www.dsebd.org/displayCompany.php?name=RAHIMAFOOD" xr:uid="{53D6357E-2E76-41BD-8ED1-81401844BAB5}"/>
    <hyperlink ref="C177" r:id="rId175" display="https://www.dsebd.org/displayCompany.php?name=RAHIMAFOOD" xr:uid="{41A0A642-2B6E-4FBA-89B6-A08A5761CAB2}"/>
    <hyperlink ref="C178" r:id="rId176" display="https://www.dsebd.org/displayCompany.php?name=RAHIMAFOOD" xr:uid="{62B780A8-EBF8-4967-A418-F021CC462667}"/>
    <hyperlink ref="C179" r:id="rId177" display="https://www.dsebd.org/displayCompany.php?name=RAHIMAFOOD" xr:uid="{4B170140-EE60-4A37-A0A3-3063474F82F1}"/>
    <hyperlink ref="C180" r:id="rId178" display="https://www.dsebd.org/displayCompany.php?name=RAHIMAFOOD" xr:uid="{8D508600-0F0D-4360-BA37-63064E76FEEF}"/>
    <hyperlink ref="C181" r:id="rId179" display="https://www.dsebd.org/displayCompany.php?name=RAHIMAFOOD" xr:uid="{99AD3D8D-481E-4E25-9026-7B2F8A4DC799}"/>
    <hyperlink ref="C182" r:id="rId180" display="https://www.dsebd.org/displayCompany.php?name=RAHIMAFOOD" xr:uid="{8A54701A-4D09-414A-8FCC-BE109A255A0B}"/>
    <hyperlink ref="C183" r:id="rId181" display="https://www.dsebd.org/displayCompany.php?name=RAHIMAFOOD" xr:uid="{7F69A291-978E-4AB2-B6F0-6E538BDCDFC8}"/>
    <hyperlink ref="C184" r:id="rId182" display="https://www.dsebd.org/displayCompany.php?name=RAHIMAFOOD" xr:uid="{19CA3A10-B892-4BB9-8474-DC1FD92B9329}"/>
    <hyperlink ref="C185" r:id="rId183" display="https://www.dsebd.org/displayCompany.php?name=RAHIMAFOOD" xr:uid="{0FC09712-BE1D-465E-B80B-C03393EF8BC8}"/>
    <hyperlink ref="C186" r:id="rId184" display="https://www.dsebd.org/displayCompany.php?name=RAHIMAFOOD" xr:uid="{AB2BF522-E055-4F92-BD6A-12684A1B58CE}"/>
    <hyperlink ref="C187" r:id="rId185" display="https://www.dsebd.org/displayCompany.php?name=RAHIMAFOOD" xr:uid="{84D4F9AD-8E2B-456F-83B8-2280D1C43506}"/>
    <hyperlink ref="C188" r:id="rId186" display="https://www.dsebd.org/displayCompany.php?name=RAHIMAFOOD" xr:uid="{BA8A99BA-E144-4BA7-A89C-AB0BA26CC005}"/>
    <hyperlink ref="C189" r:id="rId187" display="https://www.dsebd.org/displayCompany.php?name=RAHIMAFOOD" xr:uid="{3F4FF0F8-DE2A-42E9-9484-BA150D4A098B}"/>
    <hyperlink ref="C190" r:id="rId188" display="https://www.dsebd.org/displayCompany.php?name=RAHIMAFOOD" xr:uid="{14409FE4-EB1F-4854-9A19-DEAB374BE3F7}"/>
    <hyperlink ref="C191" r:id="rId189" display="https://www.dsebd.org/displayCompany.php?name=RAHIMAFOOD" xr:uid="{FF8D882D-273F-4338-A2E2-AF66EAA95147}"/>
    <hyperlink ref="C192" r:id="rId190" display="https://www.dsebd.org/displayCompany.php?name=RAHIMAFOOD" xr:uid="{5AF20298-CCA4-4B30-9456-8ED34D676A0C}"/>
    <hyperlink ref="C193" r:id="rId191" display="https://www.dsebd.org/displayCompany.php?name=RAHIMAFOOD" xr:uid="{E54AD70C-C6A9-4BE9-986C-564947A62088}"/>
    <hyperlink ref="C194" r:id="rId192" display="https://www.dsebd.org/displayCompany.php?name=RAHIMAFOOD" xr:uid="{8B47E2CE-B2E7-4192-AB65-E64239A8846E}"/>
    <hyperlink ref="C195" r:id="rId193" display="https://www.dsebd.org/displayCompany.php?name=RAHIMAFOOD" xr:uid="{C3534257-2C59-4D30-A764-37CE044E8AAB}"/>
    <hyperlink ref="C196" r:id="rId194" display="https://www.dsebd.org/displayCompany.php?name=RAHIMAFOOD" xr:uid="{0C0F48A0-F5CA-4451-B00D-F0256AE45AFD}"/>
    <hyperlink ref="C197" r:id="rId195" display="https://www.dsebd.org/displayCompany.php?name=RAHIMAFOOD" xr:uid="{7BB98791-3E34-4093-9AB7-2EEAB790BB8C}"/>
    <hyperlink ref="C198" r:id="rId196" display="https://www.dsebd.org/displayCompany.php?name=RAHIMAFOOD" xr:uid="{9AC599EB-FD76-43D2-AFC4-627F634DE95A}"/>
    <hyperlink ref="C199" r:id="rId197" display="https://www.dsebd.org/displayCompany.php?name=RAHIMAFOOD" xr:uid="{D58C09C0-2D86-4A5A-B04C-D195A86C3DB0}"/>
    <hyperlink ref="C200" r:id="rId198" display="https://www.dsebd.org/displayCompany.php?name=RAHIMAFOOD" xr:uid="{AEBDD703-6624-4C09-BAC2-CDD5002D89E2}"/>
    <hyperlink ref="C201" r:id="rId199" display="https://www.dsebd.org/displayCompany.php?name=RAHIMAFOOD" xr:uid="{E1CC0633-8942-4A8B-99A8-44DA15B6220A}"/>
    <hyperlink ref="C202" r:id="rId200" display="https://www.dsebd.org/displayCompany.php?name=RAHIMAFOOD" xr:uid="{6C86ABF3-B47D-4885-8B3F-A04BC2B0AFF7}"/>
    <hyperlink ref="C203" r:id="rId201" display="https://www.dsebd.org/displayCompany.php?name=RAHIMAFOOD" xr:uid="{11DB62E2-B40B-4189-ADFF-7CAC06F68F4B}"/>
    <hyperlink ref="C204" r:id="rId202" display="https://www.dsebd.org/displayCompany.php?name=RAHIMAFOOD" xr:uid="{85D3946D-6B28-47BA-9D63-A88E9BFCC611}"/>
    <hyperlink ref="C205" r:id="rId203" display="https://www.dsebd.org/displayCompany.php?name=RAHIMAFOOD" xr:uid="{2FDB49A1-722E-4D17-8703-589859C867DA}"/>
    <hyperlink ref="C206" r:id="rId204" display="https://www.dsebd.org/displayCompany.php?name=RAHIMAFOOD" xr:uid="{1A944DD3-DE87-43DB-B0E1-BE67B134C1AD}"/>
    <hyperlink ref="C207" r:id="rId205" display="https://www.dsebd.org/displayCompany.php?name=RAHIMAFOOD" xr:uid="{40F7C2B9-46A9-4855-945C-E726585834EF}"/>
    <hyperlink ref="C208" r:id="rId206" display="https://www.dsebd.org/displayCompany.php?name=RAHIMAFOOD" xr:uid="{B6A6F7AE-58B0-4910-BCC2-9413EB36B29E}"/>
    <hyperlink ref="C209" r:id="rId207" display="https://www.dsebd.org/displayCompany.php?name=RAHIMAFOOD" xr:uid="{26411F86-CBDE-42B9-90E9-632716ECEAD8}"/>
    <hyperlink ref="C210" r:id="rId208" display="https://www.dsebd.org/displayCompany.php?name=RAHIMAFOOD" xr:uid="{37A8B638-8C52-4504-895B-B4CB7521A4AB}"/>
    <hyperlink ref="C211" r:id="rId209" display="https://www.dsebd.org/displayCompany.php?name=RAHIMAFOOD" xr:uid="{B441D279-03B9-43E8-ACE8-FD1325C8211D}"/>
    <hyperlink ref="C212" r:id="rId210" display="https://www.dsebd.org/displayCompany.php?name=RAHIMAFOOD" xr:uid="{8051778F-492B-4B2F-AADC-5EE6330F4538}"/>
    <hyperlink ref="C213" r:id="rId211" display="https://www.dsebd.org/displayCompany.php?name=RAHIMAFOOD" xr:uid="{B8884912-5957-48A0-8C8A-818442177D0F}"/>
    <hyperlink ref="C214" r:id="rId212" display="https://www.dsebd.org/displayCompany.php?name=RAHIMAFOOD" xr:uid="{519BD04B-98B4-41FF-910A-15AF3DFF0B6C}"/>
    <hyperlink ref="C215" r:id="rId213" display="https://www.dsebd.org/displayCompany.php?name=RAHIMAFOOD" xr:uid="{0587F2E5-5231-4921-ADF2-96073F995922}"/>
    <hyperlink ref="C216" r:id="rId214" display="https://www.dsebd.org/displayCompany.php?name=RAHIMAFOOD" xr:uid="{9EB0E175-B422-471E-A8A6-38B58ECE7988}"/>
    <hyperlink ref="C217" r:id="rId215" display="https://www.dsebd.org/displayCompany.php?name=RAHIMAFOOD" xr:uid="{B0D9892E-F0B3-44F6-9D00-E3EE682918FD}"/>
    <hyperlink ref="C218" r:id="rId216" display="https://www.dsebd.org/displayCompany.php?name=RAHIMAFOOD" xr:uid="{DEDF8E28-1628-4B71-8EA6-265D67129E3F}"/>
    <hyperlink ref="C219" r:id="rId217" display="https://www.dsebd.org/displayCompany.php?name=RAHIMAFOOD" xr:uid="{1521C4A1-A8AC-4E97-87F1-707B843BB9CB}"/>
    <hyperlink ref="C220" r:id="rId218" display="https://www.dsebd.org/displayCompany.php?name=RAHIMAFOOD" xr:uid="{DB589382-6124-4505-9F8F-95D95302BADF}"/>
    <hyperlink ref="C221" r:id="rId219" display="https://www.dsebd.org/displayCompany.php?name=RAHIMAFOOD" xr:uid="{F2494EE6-6A62-4E15-9FEA-1AFF8C85EB4A}"/>
    <hyperlink ref="C222" r:id="rId220" display="https://www.dsebd.org/displayCompany.php?name=RAHIMAFOOD" xr:uid="{4B76F477-547B-4876-B92E-3B965F3EB55C}"/>
    <hyperlink ref="C223" r:id="rId221" display="https://www.dsebd.org/displayCompany.php?name=RAHIMAFOOD" xr:uid="{8A8D655D-9AF0-4236-BF8A-9F30311A6AA5}"/>
    <hyperlink ref="C224" r:id="rId222" display="https://www.dsebd.org/displayCompany.php?name=RAHIMAFOOD" xr:uid="{CB0CC28F-E688-4757-84F2-D2071739CFB2}"/>
    <hyperlink ref="C225" r:id="rId223" display="https://www.dsebd.org/displayCompany.php?name=RAHIMAFOOD" xr:uid="{E9AAEDA2-90AE-4125-A3B7-EEE9805C8747}"/>
    <hyperlink ref="C226" r:id="rId224" display="https://www.dsebd.org/displayCompany.php?name=RAHIMAFOOD" xr:uid="{77106BF2-4F36-456B-A0CD-245DEDD1DB87}"/>
    <hyperlink ref="C227" r:id="rId225" display="https://www.dsebd.org/displayCompany.php?name=RAHIMAFOOD" xr:uid="{50C515B5-C049-41B3-8B4C-F97506577520}"/>
    <hyperlink ref="C228" r:id="rId226" display="https://www.dsebd.org/displayCompany.php?name=RAHIMAFOOD" xr:uid="{607C9D9A-2EC4-4AB2-AF6F-CBE57EF6B83C}"/>
    <hyperlink ref="C229" r:id="rId227" display="https://www.dsebd.org/displayCompany.php?name=RAHIMAFOOD" xr:uid="{E11870DD-4A30-43AF-B818-199A6A041E63}"/>
    <hyperlink ref="C230" r:id="rId228" display="https://www.dsebd.org/displayCompany.php?name=RAHIMAFOOD" xr:uid="{5F53A7D3-9F7C-4EB8-A282-C4B3DF35112D}"/>
    <hyperlink ref="C231" r:id="rId229" display="https://www.dsebd.org/displayCompany.php?name=RAHIMAFOOD" xr:uid="{FEFAFCAE-36D3-4A32-A75F-BE0A7F898CD9}"/>
    <hyperlink ref="C232" r:id="rId230" display="https://www.dsebd.org/displayCompany.php?name=RAHIMAFOOD" xr:uid="{3F7CA068-EC15-49FF-869B-62D3D734F85D}"/>
    <hyperlink ref="C233" r:id="rId231" display="https://www.dsebd.org/displayCompany.php?name=RAHIMAFOOD" xr:uid="{E249AB2B-9B04-49D9-8748-425B45347FE1}"/>
    <hyperlink ref="C234" r:id="rId232" display="https://www.dsebd.org/displayCompany.php?name=RAHIMAFOOD" xr:uid="{8942B143-6DDB-4809-9C43-C39C382AF84C}"/>
    <hyperlink ref="C235" r:id="rId233" display="https://www.dsebd.org/displayCompany.php?name=RAHIMAFOOD" xr:uid="{68EE9DD6-54F7-47DD-966B-E89FB58A9916}"/>
    <hyperlink ref="C236" r:id="rId234" display="https://www.dsebd.org/displayCompany.php?name=RAHIMAFOOD" xr:uid="{E2F7E077-7782-4EBF-B4F3-C47106BC0825}"/>
    <hyperlink ref="C237" r:id="rId235" display="https://www.dsebd.org/displayCompany.php?name=RAHIMAFOOD" xr:uid="{ABD7ADD5-7D22-49C4-BFAF-ED3B976F5DBD}"/>
    <hyperlink ref="C238" r:id="rId236" display="https://www.dsebd.org/displayCompany.php?name=RAHIMAFOOD" xr:uid="{349912FB-59B6-4820-8CBF-2A58F709C165}"/>
    <hyperlink ref="C239" r:id="rId237" display="https://www.dsebd.org/displayCompany.php?name=RAHIMAFOOD" xr:uid="{6F590DD0-8D01-4BE6-A443-827D71195E38}"/>
    <hyperlink ref="C240" r:id="rId238" display="https://www.dsebd.org/displayCompany.php?name=RAHIMAFOOD" xr:uid="{BF695E56-6004-4F08-8FEF-2EE4DC1AF91C}"/>
    <hyperlink ref="C241" r:id="rId239" display="https://www.dsebd.org/displayCompany.php?name=RAHIMAFOOD" xr:uid="{A2498CDB-A359-48F5-8585-A64FDE801F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9155-0662-43F7-961F-02DA00B4E3C1}">
  <dimension ref="A3:L243"/>
  <sheetViews>
    <sheetView workbookViewId="0">
      <selection activeCell="D5" sqref="D5:D243"/>
    </sheetView>
  </sheetViews>
  <sheetFormatPr defaultColWidth="8.875" defaultRowHeight="14.25"/>
  <cols>
    <col min="1" max="16384" width="8.875" style="2"/>
  </cols>
  <sheetData>
    <row r="3" spans="1:12" ht="30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</row>
    <row r="4" spans="1:12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">
        <v>1</v>
      </c>
      <c r="B5" s="4">
        <v>46015</v>
      </c>
      <c r="C5" s="5" t="s">
        <v>17</v>
      </c>
      <c r="D5" s="6">
        <v>28.2</v>
      </c>
      <c r="E5" s="6">
        <v>28.3</v>
      </c>
      <c r="F5" s="6">
        <v>27.9</v>
      </c>
      <c r="G5" s="6">
        <v>28</v>
      </c>
      <c r="H5" s="6">
        <v>28.2</v>
      </c>
      <c r="I5" s="6">
        <v>28</v>
      </c>
      <c r="J5" s="6">
        <v>442</v>
      </c>
      <c r="K5" s="6">
        <v>17.704999999999998</v>
      </c>
      <c r="L5" s="7">
        <v>631315</v>
      </c>
    </row>
    <row r="6" spans="1:12">
      <c r="A6" s="3">
        <v>2</v>
      </c>
      <c r="B6" s="4">
        <v>46014</v>
      </c>
      <c r="C6" s="5" t="s">
        <v>17</v>
      </c>
      <c r="D6" s="6">
        <v>28</v>
      </c>
      <c r="E6" s="6">
        <v>28.3</v>
      </c>
      <c r="F6" s="6">
        <v>27.9</v>
      </c>
      <c r="G6" s="6">
        <v>28.3</v>
      </c>
      <c r="H6" s="6">
        <v>28</v>
      </c>
      <c r="I6" s="6">
        <v>28.1</v>
      </c>
      <c r="J6" s="6">
        <v>409</v>
      </c>
      <c r="K6" s="6">
        <v>22.584</v>
      </c>
      <c r="L6" s="7">
        <v>805716</v>
      </c>
    </row>
    <row r="7" spans="1:12">
      <c r="A7" s="3">
        <v>3</v>
      </c>
      <c r="B7" s="4">
        <v>46013</v>
      </c>
      <c r="C7" s="5" t="s">
        <v>17</v>
      </c>
      <c r="D7" s="6">
        <v>28.1</v>
      </c>
      <c r="E7" s="6">
        <v>28.4</v>
      </c>
      <c r="F7" s="6">
        <v>28</v>
      </c>
      <c r="G7" s="6">
        <v>28.1</v>
      </c>
      <c r="H7" s="6">
        <v>28.1</v>
      </c>
      <c r="I7" s="6">
        <v>27.8</v>
      </c>
      <c r="J7" s="6">
        <v>480</v>
      </c>
      <c r="K7" s="6">
        <v>22.667999999999999</v>
      </c>
      <c r="L7" s="7">
        <v>807133</v>
      </c>
    </row>
    <row r="8" spans="1:12">
      <c r="A8" s="3">
        <v>4</v>
      </c>
      <c r="B8" s="4">
        <v>46012</v>
      </c>
      <c r="C8" s="5" t="s">
        <v>17</v>
      </c>
      <c r="D8" s="6">
        <v>27.8</v>
      </c>
      <c r="E8" s="6">
        <v>27.9</v>
      </c>
      <c r="F8" s="6">
        <v>27.6</v>
      </c>
      <c r="G8" s="6">
        <v>27.8</v>
      </c>
      <c r="H8" s="6">
        <v>27.8</v>
      </c>
      <c r="I8" s="6">
        <v>28</v>
      </c>
      <c r="J8" s="6">
        <v>465</v>
      </c>
      <c r="K8" s="6">
        <v>20.135999999999999</v>
      </c>
      <c r="L8" s="7">
        <v>724781</v>
      </c>
    </row>
    <row r="9" spans="1:12">
      <c r="A9" s="3">
        <v>5</v>
      </c>
      <c r="B9" s="4">
        <v>46009</v>
      </c>
      <c r="C9" s="5" t="s">
        <v>17</v>
      </c>
      <c r="D9" s="6">
        <v>28</v>
      </c>
      <c r="E9" s="6">
        <v>28.1</v>
      </c>
      <c r="F9" s="6">
        <v>27.8</v>
      </c>
      <c r="G9" s="6">
        <v>28</v>
      </c>
      <c r="H9" s="6">
        <v>28</v>
      </c>
      <c r="I9" s="6">
        <v>28</v>
      </c>
      <c r="J9" s="6">
        <v>366</v>
      </c>
      <c r="K9" s="6">
        <v>16.812000000000001</v>
      </c>
      <c r="L9" s="7">
        <v>601656</v>
      </c>
    </row>
    <row r="10" spans="1:12">
      <c r="A10" s="3">
        <v>6</v>
      </c>
      <c r="B10" s="4">
        <v>46008</v>
      </c>
      <c r="C10" s="5" t="s">
        <v>17</v>
      </c>
      <c r="D10" s="6">
        <v>28</v>
      </c>
      <c r="E10" s="6">
        <v>28.3</v>
      </c>
      <c r="F10" s="6">
        <v>27.9</v>
      </c>
      <c r="G10" s="6">
        <v>28.2</v>
      </c>
      <c r="H10" s="6">
        <v>28</v>
      </c>
      <c r="I10" s="6">
        <v>28.1</v>
      </c>
      <c r="J10" s="6">
        <v>616</v>
      </c>
      <c r="K10" s="6">
        <v>25.266999999999999</v>
      </c>
      <c r="L10" s="7">
        <v>902716</v>
      </c>
    </row>
    <row r="11" spans="1:12">
      <c r="A11" s="3">
        <v>7</v>
      </c>
      <c r="B11" s="4">
        <v>46006</v>
      </c>
      <c r="C11" s="5" t="s">
        <v>17</v>
      </c>
      <c r="D11" s="6">
        <v>28.1</v>
      </c>
      <c r="E11" s="6">
        <v>28.4</v>
      </c>
      <c r="F11" s="6">
        <v>28.1</v>
      </c>
      <c r="G11" s="6">
        <v>28.3</v>
      </c>
      <c r="H11" s="6">
        <v>28.1</v>
      </c>
      <c r="I11" s="6">
        <v>28.3</v>
      </c>
      <c r="J11" s="6">
        <v>542</v>
      </c>
      <c r="K11" s="6">
        <v>26.664000000000001</v>
      </c>
      <c r="L11" s="7">
        <v>945743</v>
      </c>
    </row>
    <row r="12" spans="1:12">
      <c r="A12" s="3">
        <v>8</v>
      </c>
      <c r="B12" s="4">
        <v>46005</v>
      </c>
      <c r="C12" s="5" t="s">
        <v>17</v>
      </c>
      <c r="D12" s="6">
        <v>28.3</v>
      </c>
      <c r="E12" s="6">
        <v>28.7</v>
      </c>
      <c r="F12" s="6">
        <v>28.2</v>
      </c>
      <c r="G12" s="6">
        <v>28.6</v>
      </c>
      <c r="H12" s="6">
        <v>28.3</v>
      </c>
      <c r="I12" s="6">
        <v>28.5</v>
      </c>
      <c r="J12" s="6">
        <v>651</v>
      </c>
      <c r="K12" s="6">
        <v>38.575000000000003</v>
      </c>
      <c r="L12" s="7">
        <v>1355987</v>
      </c>
    </row>
    <row r="13" spans="1:12">
      <c r="A13" s="3">
        <v>9</v>
      </c>
      <c r="B13" s="4">
        <v>46002</v>
      </c>
      <c r="C13" s="5" t="s">
        <v>17</v>
      </c>
      <c r="D13" s="6">
        <v>28.5</v>
      </c>
      <c r="E13" s="6">
        <v>28.7</v>
      </c>
      <c r="F13" s="6">
        <v>28.3</v>
      </c>
      <c r="G13" s="6">
        <v>28.6</v>
      </c>
      <c r="H13" s="6">
        <v>28.5</v>
      </c>
      <c r="I13" s="6">
        <v>28.5</v>
      </c>
      <c r="J13" s="6">
        <v>534</v>
      </c>
      <c r="K13" s="6">
        <v>25.184999999999999</v>
      </c>
      <c r="L13" s="7">
        <v>885324</v>
      </c>
    </row>
    <row r="14" spans="1:12">
      <c r="A14" s="3">
        <v>10</v>
      </c>
      <c r="B14" s="4">
        <v>46001</v>
      </c>
      <c r="C14" s="5" t="s">
        <v>17</v>
      </c>
      <c r="D14" s="6">
        <v>28.5</v>
      </c>
      <c r="E14" s="6">
        <v>28.8</v>
      </c>
      <c r="F14" s="6">
        <v>28.4</v>
      </c>
      <c r="G14" s="6">
        <v>28.6</v>
      </c>
      <c r="H14" s="6">
        <v>28.5</v>
      </c>
      <c r="I14" s="6">
        <v>28.5</v>
      </c>
      <c r="J14" s="6">
        <v>615</v>
      </c>
      <c r="K14" s="6">
        <v>44.415999999999997</v>
      </c>
      <c r="L14" s="7">
        <v>1555766</v>
      </c>
    </row>
    <row r="15" spans="1:12">
      <c r="A15" s="3">
        <v>11</v>
      </c>
      <c r="B15" s="4">
        <v>46000</v>
      </c>
      <c r="C15" s="5" t="s">
        <v>17</v>
      </c>
      <c r="D15" s="6">
        <v>28.5</v>
      </c>
      <c r="E15" s="6">
        <v>28.6</v>
      </c>
      <c r="F15" s="6">
        <v>28.2</v>
      </c>
      <c r="G15" s="6">
        <v>28.2</v>
      </c>
      <c r="H15" s="6">
        <v>28.5</v>
      </c>
      <c r="I15" s="6">
        <v>28.1</v>
      </c>
      <c r="J15" s="6">
        <v>649</v>
      </c>
      <c r="K15" s="6">
        <v>30.073</v>
      </c>
      <c r="L15" s="7">
        <v>1057774</v>
      </c>
    </row>
    <row r="16" spans="1:12">
      <c r="A16" s="3">
        <v>12</v>
      </c>
      <c r="B16" s="4">
        <v>45999</v>
      </c>
      <c r="C16" s="5" t="s">
        <v>17</v>
      </c>
      <c r="D16" s="6">
        <v>28.1</v>
      </c>
      <c r="E16" s="6">
        <v>28.3</v>
      </c>
      <c r="F16" s="6">
        <v>27.7</v>
      </c>
      <c r="G16" s="6">
        <v>27.7</v>
      </c>
      <c r="H16" s="6">
        <v>28.1</v>
      </c>
      <c r="I16" s="6">
        <v>27.9</v>
      </c>
      <c r="J16" s="6">
        <v>541</v>
      </c>
      <c r="K16" s="6">
        <v>27.82</v>
      </c>
      <c r="L16" s="7">
        <v>990284</v>
      </c>
    </row>
    <row r="17" spans="1:12">
      <c r="A17" s="3">
        <v>13</v>
      </c>
      <c r="B17" s="4">
        <v>45998</v>
      </c>
      <c r="C17" s="5" t="s">
        <v>17</v>
      </c>
      <c r="D17" s="6">
        <v>27.9</v>
      </c>
      <c r="E17" s="6">
        <v>28</v>
      </c>
      <c r="F17" s="6">
        <v>27.7</v>
      </c>
      <c r="G17" s="6">
        <v>28</v>
      </c>
      <c r="H17" s="6">
        <v>27.9</v>
      </c>
      <c r="I17" s="6">
        <v>27.8</v>
      </c>
      <c r="J17" s="6">
        <v>408</v>
      </c>
      <c r="K17" s="6">
        <v>15.329000000000001</v>
      </c>
      <c r="L17" s="7">
        <v>550422</v>
      </c>
    </row>
    <row r="18" spans="1:12">
      <c r="A18" s="3">
        <v>14</v>
      </c>
      <c r="B18" s="4">
        <v>45995</v>
      </c>
      <c r="C18" s="5" t="s">
        <v>17</v>
      </c>
      <c r="D18" s="6">
        <v>27.8</v>
      </c>
      <c r="E18" s="6">
        <v>28</v>
      </c>
      <c r="F18" s="6">
        <v>27.6</v>
      </c>
      <c r="G18" s="6">
        <v>28</v>
      </c>
      <c r="H18" s="6">
        <v>27.8</v>
      </c>
      <c r="I18" s="6">
        <v>28</v>
      </c>
      <c r="J18" s="6">
        <v>802</v>
      </c>
      <c r="K18" s="6">
        <v>47.718000000000004</v>
      </c>
      <c r="L18" s="7">
        <v>1719607</v>
      </c>
    </row>
    <row r="19" spans="1:12">
      <c r="A19" s="3">
        <v>15</v>
      </c>
      <c r="B19" s="4">
        <v>45994</v>
      </c>
      <c r="C19" s="5" t="s">
        <v>17</v>
      </c>
      <c r="D19" s="6">
        <v>28</v>
      </c>
      <c r="E19" s="6">
        <v>28.3</v>
      </c>
      <c r="F19" s="6">
        <v>27.9</v>
      </c>
      <c r="G19" s="6">
        <v>28.3</v>
      </c>
      <c r="H19" s="6">
        <v>28</v>
      </c>
      <c r="I19" s="6">
        <v>28.1</v>
      </c>
      <c r="J19" s="6">
        <v>576</v>
      </c>
      <c r="K19" s="6">
        <v>29.202999999999999</v>
      </c>
      <c r="L19" s="7">
        <v>1041537</v>
      </c>
    </row>
    <row r="20" spans="1:12">
      <c r="A20" s="3">
        <v>16</v>
      </c>
      <c r="B20" s="4">
        <v>45993</v>
      </c>
      <c r="C20" s="5" t="s">
        <v>17</v>
      </c>
      <c r="D20" s="6">
        <v>28.1</v>
      </c>
      <c r="E20" s="6">
        <v>28.2</v>
      </c>
      <c r="F20" s="6">
        <v>27.9</v>
      </c>
      <c r="G20" s="6">
        <v>28.1</v>
      </c>
      <c r="H20" s="6">
        <v>28.1</v>
      </c>
      <c r="I20" s="6">
        <v>28</v>
      </c>
      <c r="J20" s="6">
        <v>569</v>
      </c>
      <c r="K20" s="6">
        <v>28.308</v>
      </c>
      <c r="L20" s="7">
        <v>1010967</v>
      </c>
    </row>
    <row r="21" spans="1:12">
      <c r="A21" s="3">
        <v>17</v>
      </c>
      <c r="B21" s="4">
        <v>45992</v>
      </c>
      <c r="C21" s="5" t="s">
        <v>17</v>
      </c>
      <c r="D21" s="6">
        <v>28</v>
      </c>
      <c r="E21" s="6">
        <v>28.2</v>
      </c>
      <c r="F21" s="6">
        <v>27.9</v>
      </c>
      <c r="G21" s="6">
        <v>28.2</v>
      </c>
      <c r="H21" s="6">
        <v>28</v>
      </c>
      <c r="I21" s="6">
        <v>28.2</v>
      </c>
      <c r="J21" s="6">
        <v>775</v>
      </c>
      <c r="K21" s="6">
        <v>34.341999999999999</v>
      </c>
      <c r="L21" s="7">
        <v>1225277</v>
      </c>
    </row>
    <row r="22" spans="1:12">
      <c r="A22" s="3">
        <v>18</v>
      </c>
      <c r="B22" s="4">
        <v>45991</v>
      </c>
      <c r="C22" s="5" t="s">
        <v>17</v>
      </c>
      <c r="D22" s="6">
        <v>28.2</v>
      </c>
      <c r="E22" s="6">
        <v>28.8</v>
      </c>
      <c r="F22" s="6">
        <v>28.2</v>
      </c>
      <c r="G22" s="6">
        <v>28.7</v>
      </c>
      <c r="H22" s="6">
        <v>28.2</v>
      </c>
      <c r="I22" s="6">
        <v>28.7</v>
      </c>
      <c r="J22" s="6">
        <v>889</v>
      </c>
      <c r="K22" s="6">
        <v>49.761000000000003</v>
      </c>
      <c r="L22" s="7">
        <v>1749991</v>
      </c>
    </row>
    <row r="23" spans="1:12">
      <c r="A23" s="3">
        <v>19</v>
      </c>
      <c r="B23" s="4">
        <v>45988</v>
      </c>
      <c r="C23" s="5" t="s">
        <v>17</v>
      </c>
      <c r="D23" s="6">
        <v>28.7</v>
      </c>
      <c r="E23" s="6">
        <v>28.8</v>
      </c>
      <c r="F23" s="6">
        <v>28.4</v>
      </c>
      <c r="G23" s="6">
        <v>28.6</v>
      </c>
      <c r="H23" s="6">
        <v>28.7</v>
      </c>
      <c r="I23" s="6">
        <v>28.5</v>
      </c>
      <c r="J23" s="6">
        <v>567</v>
      </c>
      <c r="K23" s="6">
        <v>32.027999999999999</v>
      </c>
      <c r="L23" s="7">
        <v>1118447</v>
      </c>
    </row>
    <row r="24" spans="1:12">
      <c r="A24" s="3">
        <v>20</v>
      </c>
      <c r="B24" s="4">
        <v>45987</v>
      </c>
      <c r="C24" s="5" t="s">
        <v>17</v>
      </c>
      <c r="D24" s="6">
        <v>28.5</v>
      </c>
      <c r="E24" s="6">
        <v>28.8</v>
      </c>
      <c r="F24" s="6">
        <v>28.4</v>
      </c>
      <c r="G24" s="6">
        <v>28.7</v>
      </c>
      <c r="H24" s="6">
        <v>28.5</v>
      </c>
      <c r="I24" s="6">
        <v>28.7</v>
      </c>
      <c r="J24" s="6">
        <v>849</v>
      </c>
      <c r="K24" s="6">
        <v>36.023000000000003</v>
      </c>
      <c r="L24" s="7">
        <v>1261744</v>
      </c>
    </row>
    <row r="25" spans="1:12">
      <c r="A25" s="3">
        <v>21</v>
      </c>
      <c r="B25" s="4">
        <v>45986</v>
      </c>
      <c r="C25" s="5" t="s">
        <v>17</v>
      </c>
      <c r="D25" s="6">
        <v>28.7</v>
      </c>
      <c r="E25" s="6">
        <v>29.1</v>
      </c>
      <c r="F25" s="6">
        <v>28.6</v>
      </c>
      <c r="G25" s="6">
        <v>28.7</v>
      </c>
      <c r="H25" s="6">
        <v>28.7</v>
      </c>
      <c r="I25" s="6">
        <v>28.6</v>
      </c>
      <c r="J25" s="7">
        <v>1222</v>
      </c>
      <c r="K25" s="6">
        <v>72.323999999999998</v>
      </c>
      <c r="L25" s="7">
        <v>2507767</v>
      </c>
    </row>
    <row r="26" spans="1:12">
      <c r="A26" s="3">
        <v>22</v>
      </c>
      <c r="B26" s="4">
        <v>45985</v>
      </c>
      <c r="C26" s="5" t="s">
        <v>17</v>
      </c>
      <c r="D26" s="6">
        <v>28.6</v>
      </c>
      <c r="E26" s="6">
        <v>28.8</v>
      </c>
      <c r="F26" s="6">
        <v>28.1</v>
      </c>
      <c r="G26" s="6">
        <v>28.2</v>
      </c>
      <c r="H26" s="6">
        <v>28.6</v>
      </c>
      <c r="I26" s="6">
        <v>28</v>
      </c>
      <c r="J26" s="7">
        <v>1137</v>
      </c>
      <c r="K26" s="6">
        <v>53.283999999999999</v>
      </c>
      <c r="L26" s="7">
        <v>1874354</v>
      </c>
    </row>
    <row r="27" spans="1:12">
      <c r="A27" s="3">
        <v>23</v>
      </c>
      <c r="B27" s="4">
        <v>45984</v>
      </c>
      <c r="C27" s="5" t="s">
        <v>17</v>
      </c>
      <c r="D27" s="6">
        <v>28</v>
      </c>
      <c r="E27" s="6">
        <v>28.2</v>
      </c>
      <c r="F27" s="6">
        <v>27.4</v>
      </c>
      <c r="G27" s="6">
        <v>27.6</v>
      </c>
      <c r="H27" s="6">
        <v>28</v>
      </c>
      <c r="I27" s="6">
        <v>27.7</v>
      </c>
      <c r="J27" s="6">
        <v>778</v>
      </c>
      <c r="K27" s="6">
        <v>34.030999999999999</v>
      </c>
      <c r="L27" s="7">
        <v>1225591</v>
      </c>
    </row>
    <row r="28" spans="1:12">
      <c r="A28" s="3">
        <v>24</v>
      </c>
      <c r="B28" s="4">
        <v>45981</v>
      </c>
      <c r="C28" s="5" t="s">
        <v>17</v>
      </c>
      <c r="D28" s="6">
        <v>27.7</v>
      </c>
      <c r="E28" s="6">
        <v>28.3</v>
      </c>
      <c r="F28" s="6">
        <v>27.6</v>
      </c>
      <c r="G28" s="6">
        <v>28.2</v>
      </c>
      <c r="H28" s="6">
        <v>27.7</v>
      </c>
      <c r="I28" s="6">
        <v>28</v>
      </c>
      <c r="J28" s="6">
        <v>976</v>
      </c>
      <c r="K28" s="6">
        <v>36.838000000000001</v>
      </c>
      <c r="L28" s="7">
        <v>1319233</v>
      </c>
    </row>
    <row r="29" spans="1:12">
      <c r="A29" s="3">
        <v>25</v>
      </c>
      <c r="B29" s="4">
        <v>45980</v>
      </c>
      <c r="C29" s="5" t="s">
        <v>17</v>
      </c>
      <c r="D29" s="6">
        <v>28</v>
      </c>
      <c r="E29" s="6">
        <v>28.1</v>
      </c>
      <c r="F29" s="6">
        <v>27.8</v>
      </c>
      <c r="G29" s="6">
        <v>28</v>
      </c>
      <c r="H29" s="6">
        <v>28</v>
      </c>
      <c r="I29" s="6">
        <v>27.9</v>
      </c>
      <c r="J29" s="6">
        <v>755</v>
      </c>
      <c r="K29" s="6">
        <v>32.835000000000001</v>
      </c>
      <c r="L29" s="7">
        <v>1174825</v>
      </c>
    </row>
    <row r="30" spans="1:12">
      <c r="A30" s="3">
        <v>26</v>
      </c>
      <c r="B30" s="4">
        <v>45979</v>
      </c>
      <c r="C30" s="5" t="s">
        <v>17</v>
      </c>
      <c r="D30" s="6">
        <v>27.9</v>
      </c>
      <c r="E30" s="6">
        <v>28.3</v>
      </c>
      <c r="F30" s="6">
        <v>27.6</v>
      </c>
      <c r="G30" s="6">
        <v>27.6</v>
      </c>
      <c r="H30" s="6">
        <v>27.9</v>
      </c>
      <c r="I30" s="6">
        <v>27.6</v>
      </c>
      <c r="J30" s="7">
        <v>1166</v>
      </c>
      <c r="K30" s="6">
        <v>56.936</v>
      </c>
      <c r="L30" s="7">
        <v>2038367</v>
      </c>
    </row>
    <row r="31" spans="1:12">
      <c r="A31" s="3">
        <v>27</v>
      </c>
      <c r="B31" s="4">
        <v>45978</v>
      </c>
      <c r="C31" s="5" t="s">
        <v>17</v>
      </c>
      <c r="D31" s="6">
        <v>27.6</v>
      </c>
      <c r="E31" s="6">
        <v>27.8</v>
      </c>
      <c r="F31" s="6">
        <v>27.1</v>
      </c>
      <c r="G31" s="6">
        <v>27.4</v>
      </c>
      <c r="H31" s="6">
        <v>27.6</v>
      </c>
      <c r="I31" s="6">
        <v>27.3</v>
      </c>
      <c r="J31" s="7">
        <v>1056</v>
      </c>
      <c r="K31" s="6">
        <v>45.804000000000002</v>
      </c>
      <c r="L31" s="7">
        <v>1663188</v>
      </c>
    </row>
    <row r="32" spans="1:12">
      <c r="A32" s="3">
        <v>28</v>
      </c>
      <c r="B32" s="4">
        <v>45977</v>
      </c>
      <c r="C32" s="5" t="s">
        <v>17</v>
      </c>
      <c r="D32" s="6">
        <v>27.3</v>
      </c>
      <c r="E32" s="6">
        <v>27.6</v>
      </c>
      <c r="F32" s="6">
        <v>26.7</v>
      </c>
      <c r="G32" s="6">
        <v>27.1</v>
      </c>
      <c r="H32" s="6">
        <v>27.3</v>
      </c>
      <c r="I32" s="6">
        <v>27</v>
      </c>
      <c r="J32" s="7">
        <v>1129</v>
      </c>
      <c r="K32" s="6">
        <v>42.277999999999999</v>
      </c>
      <c r="L32" s="7">
        <v>1562790</v>
      </c>
    </row>
    <row r="33" spans="1:12">
      <c r="A33" s="3">
        <v>29</v>
      </c>
      <c r="B33" s="4">
        <v>45974</v>
      </c>
      <c r="C33" s="5" t="s">
        <v>17</v>
      </c>
      <c r="D33" s="6">
        <v>27</v>
      </c>
      <c r="E33" s="6">
        <v>28.3</v>
      </c>
      <c r="F33" s="6">
        <v>26.9</v>
      </c>
      <c r="G33" s="6">
        <v>28.3</v>
      </c>
      <c r="H33" s="6">
        <v>27</v>
      </c>
      <c r="I33" s="6">
        <v>28.2</v>
      </c>
      <c r="J33" s="7">
        <v>1939</v>
      </c>
      <c r="K33" s="6">
        <v>97.709000000000003</v>
      </c>
      <c r="L33" s="7">
        <v>3572105</v>
      </c>
    </row>
    <row r="34" spans="1:12">
      <c r="A34" s="3">
        <v>30</v>
      </c>
      <c r="B34" s="4">
        <v>45973</v>
      </c>
      <c r="C34" s="5" t="s">
        <v>17</v>
      </c>
      <c r="D34" s="6">
        <v>28.2</v>
      </c>
      <c r="E34" s="6">
        <v>28.7</v>
      </c>
      <c r="F34" s="6">
        <v>28.1</v>
      </c>
      <c r="G34" s="6">
        <v>28.7</v>
      </c>
      <c r="H34" s="6">
        <v>28.2</v>
      </c>
      <c r="I34" s="6">
        <v>28.5</v>
      </c>
      <c r="J34" s="6">
        <v>708</v>
      </c>
      <c r="K34" s="6">
        <v>30.398</v>
      </c>
      <c r="L34" s="7">
        <v>1072290</v>
      </c>
    </row>
    <row r="35" spans="1:12">
      <c r="A35" s="3">
        <v>31</v>
      </c>
      <c r="B35" s="4">
        <v>45972</v>
      </c>
      <c r="C35" s="5" t="s">
        <v>17</v>
      </c>
      <c r="D35" s="6">
        <v>28.5</v>
      </c>
      <c r="E35" s="6">
        <v>28.7</v>
      </c>
      <c r="F35" s="6">
        <v>28.3</v>
      </c>
      <c r="G35" s="6">
        <v>28.5</v>
      </c>
      <c r="H35" s="6">
        <v>28.5</v>
      </c>
      <c r="I35" s="6">
        <v>28.5</v>
      </c>
      <c r="J35" s="6">
        <v>844</v>
      </c>
      <c r="K35" s="6">
        <v>34.386000000000003</v>
      </c>
      <c r="L35" s="7">
        <v>1208385</v>
      </c>
    </row>
    <row r="36" spans="1:12">
      <c r="A36" s="3">
        <v>32</v>
      </c>
      <c r="B36" s="4">
        <v>45971</v>
      </c>
      <c r="C36" s="5" t="s">
        <v>17</v>
      </c>
      <c r="D36" s="6">
        <v>28.5</v>
      </c>
      <c r="E36" s="6">
        <v>28.9</v>
      </c>
      <c r="F36" s="6">
        <v>28</v>
      </c>
      <c r="G36" s="6">
        <v>28</v>
      </c>
      <c r="H36" s="6">
        <v>28.5</v>
      </c>
      <c r="I36" s="6">
        <v>28.7</v>
      </c>
      <c r="J36" s="6">
        <v>841</v>
      </c>
      <c r="K36" s="6">
        <v>35.427999999999997</v>
      </c>
      <c r="L36" s="7">
        <v>1241394</v>
      </c>
    </row>
    <row r="37" spans="1:12">
      <c r="A37" s="3">
        <v>33</v>
      </c>
      <c r="B37" s="4">
        <v>45970</v>
      </c>
      <c r="C37" s="5" t="s">
        <v>17</v>
      </c>
      <c r="D37" s="6">
        <v>28.7</v>
      </c>
      <c r="E37" s="6">
        <v>29.3</v>
      </c>
      <c r="F37" s="6">
        <v>28.6</v>
      </c>
      <c r="G37" s="6">
        <v>29</v>
      </c>
      <c r="H37" s="6">
        <v>28.7</v>
      </c>
      <c r="I37" s="6">
        <v>29</v>
      </c>
      <c r="J37" s="6">
        <v>879</v>
      </c>
      <c r="K37" s="6">
        <v>37.534999999999997</v>
      </c>
      <c r="L37" s="7">
        <v>1299146</v>
      </c>
    </row>
    <row r="38" spans="1:12">
      <c r="A38" s="3">
        <v>34</v>
      </c>
      <c r="B38" s="4">
        <v>45967</v>
      </c>
      <c r="C38" s="5" t="s">
        <v>17</v>
      </c>
      <c r="D38" s="6">
        <v>29</v>
      </c>
      <c r="E38" s="6">
        <v>29.2</v>
      </c>
      <c r="F38" s="6">
        <v>28.6</v>
      </c>
      <c r="G38" s="6">
        <v>28.9</v>
      </c>
      <c r="H38" s="6">
        <v>29</v>
      </c>
      <c r="I38" s="6">
        <v>28.9</v>
      </c>
      <c r="J38" s="6">
        <v>789</v>
      </c>
      <c r="K38" s="6">
        <v>55.093000000000004</v>
      </c>
      <c r="L38" s="7">
        <v>1908856</v>
      </c>
    </row>
    <row r="39" spans="1:12">
      <c r="A39" s="3">
        <v>35</v>
      </c>
      <c r="B39" s="4">
        <v>45966</v>
      </c>
      <c r="C39" s="5" t="s">
        <v>17</v>
      </c>
      <c r="D39" s="6">
        <v>28.9</v>
      </c>
      <c r="E39" s="6">
        <v>29.1</v>
      </c>
      <c r="F39" s="6">
        <v>28.8</v>
      </c>
      <c r="G39" s="6">
        <v>28.9</v>
      </c>
      <c r="H39" s="6">
        <v>28.9</v>
      </c>
      <c r="I39" s="6">
        <v>28.9</v>
      </c>
      <c r="J39" s="6">
        <v>835</v>
      </c>
      <c r="K39" s="6">
        <v>41.085000000000001</v>
      </c>
      <c r="L39" s="7">
        <v>1420159</v>
      </c>
    </row>
    <row r="40" spans="1:12">
      <c r="A40" s="3">
        <v>36</v>
      </c>
      <c r="B40" s="4">
        <v>45965</v>
      </c>
      <c r="C40" s="5" t="s">
        <v>17</v>
      </c>
      <c r="D40" s="6">
        <v>28.9</v>
      </c>
      <c r="E40" s="6">
        <v>29.2</v>
      </c>
      <c r="F40" s="6">
        <v>28.9</v>
      </c>
      <c r="G40" s="6">
        <v>29</v>
      </c>
      <c r="H40" s="6">
        <v>28.9</v>
      </c>
      <c r="I40" s="6">
        <v>29</v>
      </c>
      <c r="J40" s="6">
        <v>850</v>
      </c>
      <c r="K40" s="6">
        <v>40.731999999999999</v>
      </c>
      <c r="L40" s="7">
        <v>1406485</v>
      </c>
    </row>
    <row r="41" spans="1:12">
      <c r="A41" s="3">
        <v>37</v>
      </c>
      <c r="B41" s="4">
        <v>45964</v>
      </c>
      <c r="C41" s="5" t="s">
        <v>17</v>
      </c>
      <c r="D41" s="6">
        <v>29</v>
      </c>
      <c r="E41" s="6">
        <v>29.4</v>
      </c>
      <c r="F41" s="6">
        <v>28.9</v>
      </c>
      <c r="G41" s="6">
        <v>29.2</v>
      </c>
      <c r="H41" s="6">
        <v>29</v>
      </c>
      <c r="I41" s="6">
        <v>29.3</v>
      </c>
      <c r="J41" s="7">
        <v>1350</v>
      </c>
      <c r="K41" s="6">
        <v>57.518999999999998</v>
      </c>
      <c r="L41" s="7">
        <v>1978468</v>
      </c>
    </row>
    <row r="42" spans="1:12">
      <c r="A42" s="3">
        <v>38</v>
      </c>
      <c r="B42" s="4">
        <v>45963</v>
      </c>
      <c r="C42" s="5" t="s">
        <v>17</v>
      </c>
      <c r="D42" s="6">
        <v>29.3</v>
      </c>
      <c r="E42" s="6">
        <v>29.7</v>
      </c>
      <c r="F42" s="6">
        <v>29.2</v>
      </c>
      <c r="G42" s="6">
        <v>29.6</v>
      </c>
      <c r="H42" s="6">
        <v>29.3</v>
      </c>
      <c r="I42" s="6">
        <v>29.6</v>
      </c>
      <c r="J42" s="7">
        <v>1306</v>
      </c>
      <c r="K42" s="6">
        <v>66.882000000000005</v>
      </c>
      <c r="L42" s="7">
        <v>2270769</v>
      </c>
    </row>
    <row r="43" spans="1:12">
      <c r="A43" s="3">
        <v>39</v>
      </c>
      <c r="B43" s="4">
        <v>45960</v>
      </c>
      <c r="C43" s="5" t="s">
        <v>17</v>
      </c>
      <c r="D43" s="6">
        <v>29.6</v>
      </c>
      <c r="E43" s="6">
        <v>30</v>
      </c>
      <c r="F43" s="6">
        <v>29.5</v>
      </c>
      <c r="G43" s="6">
        <v>30</v>
      </c>
      <c r="H43" s="6">
        <v>29.6</v>
      </c>
      <c r="I43" s="6">
        <v>29.8</v>
      </c>
      <c r="J43" s="7">
        <v>1354</v>
      </c>
      <c r="K43" s="6">
        <v>75.14</v>
      </c>
      <c r="L43" s="7">
        <v>2532706</v>
      </c>
    </row>
    <row r="44" spans="1:12">
      <c r="A44" s="3">
        <v>40</v>
      </c>
      <c r="B44" s="4">
        <v>45959</v>
      </c>
      <c r="C44" s="5" t="s">
        <v>17</v>
      </c>
      <c r="D44" s="6">
        <v>29.8</v>
      </c>
      <c r="E44" s="6">
        <v>30.4</v>
      </c>
      <c r="F44" s="6">
        <v>29.7</v>
      </c>
      <c r="G44" s="6">
        <v>30</v>
      </c>
      <c r="H44" s="6">
        <v>29.8</v>
      </c>
      <c r="I44" s="6">
        <v>29.9</v>
      </c>
      <c r="J44" s="7">
        <v>1229</v>
      </c>
      <c r="K44" s="6">
        <v>93.543999999999997</v>
      </c>
      <c r="L44" s="7">
        <v>3119275</v>
      </c>
    </row>
    <row r="45" spans="1:12">
      <c r="A45" s="3">
        <v>41</v>
      </c>
      <c r="B45" s="4">
        <v>45958</v>
      </c>
      <c r="C45" s="5" t="s">
        <v>17</v>
      </c>
      <c r="D45" s="6">
        <v>29.9</v>
      </c>
      <c r="E45" s="6">
        <v>30.2</v>
      </c>
      <c r="F45" s="6">
        <v>29.4</v>
      </c>
      <c r="G45" s="6">
        <v>30.2</v>
      </c>
      <c r="H45" s="6">
        <v>29.9</v>
      </c>
      <c r="I45" s="6">
        <v>29.8</v>
      </c>
      <c r="J45" s="7">
        <v>1948</v>
      </c>
      <c r="K45" s="6">
        <v>152.345</v>
      </c>
      <c r="L45" s="7">
        <v>5121444</v>
      </c>
    </row>
    <row r="46" spans="1:12">
      <c r="A46" s="3">
        <v>42</v>
      </c>
      <c r="B46" s="4">
        <v>45957</v>
      </c>
      <c r="C46" s="5" t="s">
        <v>17</v>
      </c>
      <c r="D46" s="6">
        <v>29.8</v>
      </c>
      <c r="E46" s="6">
        <v>30.3</v>
      </c>
      <c r="F46" s="6">
        <v>29.6</v>
      </c>
      <c r="G46" s="6">
        <v>30.3</v>
      </c>
      <c r="H46" s="6">
        <v>29.8</v>
      </c>
      <c r="I46" s="6">
        <v>30.2</v>
      </c>
      <c r="J46" s="7">
        <v>1434</v>
      </c>
      <c r="K46" s="6">
        <v>80.033000000000001</v>
      </c>
      <c r="L46" s="7">
        <v>2679296</v>
      </c>
    </row>
    <row r="47" spans="1:12">
      <c r="A47" s="3">
        <v>43</v>
      </c>
      <c r="B47" s="4">
        <v>45956</v>
      </c>
      <c r="C47" s="5" t="s">
        <v>17</v>
      </c>
      <c r="D47" s="6">
        <v>30.2</v>
      </c>
      <c r="E47" s="6">
        <v>31.2</v>
      </c>
      <c r="F47" s="6">
        <v>30.1</v>
      </c>
      <c r="G47" s="6">
        <v>30.7</v>
      </c>
      <c r="H47" s="6">
        <v>30.2</v>
      </c>
      <c r="I47" s="6">
        <v>30.6</v>
      </c>
      <c r="J47" s="7">
        <v>1787</v>
      </c>
      <c r="K47" s="6">
        <v>116.98699999999999</v>
      </c>
      <c r="L47" s="7">
        <v>3833056</v>
      </c>
    </row>
    <row r="48" spans="1:12">
      <c r="A48" s="3">
        <v>44</v>
      </c>
      <c r="B48" s="4">
        <v>45953</v>
      </c>
      <c r="C48" s="5" t="s">
        <v>17</v>
      </c>
      <c r="D48" s="6">
        <v>30.6</v>
      </c>
      <c r="E48" s="6">
        <v>30.7</v>
      </c>
      <c r="F48" s="6">
        <v>29.7</v>
      </c>
      <c r="G48" s="6">
        <v>30</v>
      </c>
      <c r="H48" s="6">
        <v>30.6</v>
      </c>
      <c r="I48" s="6">
        <v>29.7</v>
      </c>
      <c r="J48" s="7">
        <v>2873</v>
      </c>
      <c r="K48" s="6">
        <v>214.494</v>
      </c>
      <c r="L48" s="7">
        <v>7055684</v>
      </c>
    </row>
    <row r="49" spans="1:12">
      <c r="A49" s="3">
        <v>45</v>
      </c>
      <c r="B49" s="4">
        <v>45952</v>
      </c>
      <c r="C49" s="5" t="s">
        <v>17</v>
      </c>
      <c r="D49" s="6">
        <v>29.7</v>
      </c>
      <c r="E49" s="6">
        <v>29.9</v>
      </c>
      <c r="F49" s="6">
        <v>29</v>
      </c>
      <c r="G49" s="6">
        <v>29.2</v>
      </c>
      <c r="H49" s="6">
        <v>29.7</v>
      </c>
      <c r="I49" s="6">
        <v>29.1</v>
      </c>
      <c r="J49" s="7">
        <v>1240</v>
      </c>
      <c r="K49" s="6">
        <v>63.38</v>
      </c>
      <c r="L49" s="7">
        <v>2148708</v>
      </c>
    </row>
    <row r="50" spans="1:12">
      <c r="A50" s="3">
        <v>46</v>
      </c>
      <c r="B50" s="4">
        <v>45951</v>
      </c>
      <c r="C50" s="5" t="s">
        <v>17</v>
      </c>
      <c r="D50" s="6">
        <v>29.2</v>
      </c>
      <c r="E50" s="6">
        <v>29.6</v>
      </c>
      <c r="F50" s="6">
        <v>28.9</v>
      </c>
      <c r="G50" s="6">
        <v>29.4</v>
      </c>
      <c r="H50" s="6">
        <v>29.1</v>
      </c>
      <c r="I50" s="6">
        <v>29.2</v>
      </c>
      <c r="J50" s="7">
        <v>1129</v>
      </c>
      <c r="K50" s="6">
        <v>59.905000000000001</v>
      </c>
      <c r="L50" s="7">
        <v>2046947</v>
      </c>
    </row>
    <row r="51" spans="1:12">
      <c r="A51" s="3">
        <v>47</v>
      </c>
      <c r="B51" s="4">
        <v>45950</v>
      </c>
      <c r="C51" s="5" t="s">
        <v>17</v>
      </c>
      <c r="D51" s="6">
        <v>29.2</v>
      </c>
      <c r="E51" s="6">
        <v>29.4</v>
      </c>
      <c r="F51" s="6">
        <v>28.7</v>
      </c>
      <c r="G51" s="6">
        <v>28.7</v>
      </c>
      <c r="H51" s="6">
        <v>29.2</v>
      </c>
      <c r="I51" s="6">
        <v>28.7</v>
      </c>
      <c r="J51" s="7">
        <v>1121</v>
      </c>
      <c r="K51" s="6">
        <v>74.644000000000005</v>
      </c>
      <c r="L51" s="7">
        <v>2567038</v>
      </c>
    </row>
    <row r="52" spans="1:12">
      <c r="A52" s="3">
        <v>48</v>
      </c>
      <c r="B52" s="4">
        <v>45949</v>
      </c>
      <c r="C52" s="5" t="s">
        <v>17</v>
      </c>
      <c r="D52" s="6">
        <v>28.7</v>
      </c>
      <c r="E52" s="6">
        <v>29.5</v>
      </c>
      <c r="F52" s="6">
        <v>28.5</v>
      </c>
      <c r="G52" s="6">
        <v>29.5</v>
      </c>
      <c r="H52" s="6">
        <v>28.7</v>
      </c>
      <c r="I52" s="6">
        <v>29.3</v>
      </c>
      <c r="J52" s="7">
        <v>1814</v>
      </c>
      <c r="K52" s="6">
        <v>108.599</v>
      </c>
      <c r="L52" s="7">
        <v>3771485</v>
      </c>
    </row>
    <row r="53" spans="1:12">
      <c r="A53" s="3">
        <v>49</v>
      </c>
      <c r="B53" s="4">
        <v>45946</v>
      </c>
      <c r="C53" s="5" t="s">
        <v>17</v>
      </c>
      <c r="D53" s="6">
        <v>29.3</v>
      </c>
      <c r="E53" s="6">
        <v>29.9</v>
      </c>
      <c r="F53" s="6">
        <v>29.2</v>
      </c>
      <c r="G53" s="6">
        <v>29.8</v>
      </c>
      <c r="H53" s="6">
        <v>29.3</v>
      </c>
      <c r="I53" s="6">
        <v>29.7</v>
      </c>
      <c r="J53" s="7">
        <v>1325</v>
      </c>
      <c r="K53" s="6">
        <v>89.578999999999994</v>
      </c>
      <c r="L53" s="7">
        <v>3041480</v>
      </c>
    </row>
    <row r="54" spans="1:12">
      <c r="A54" s="3">
        <v>50</v>
      </c>
      <c r="B54" s="4">
        <v>45945</v>
      </c>
      <c r="C54" s="5" t="s">
        <v>17</v>
      </c>
      <c r="D54" s="6">
        <v>29.7</v>
      </c>
      <c r="E54" s="6">
        <v>31</v>
      </c>
      <c r="F54" s="6">
        <v>29.6</v>
      </c>
      <c r="G54" s="6">
        <v>30.5</v>
      </c>
      <c r="H54" s="6">
        <v>29.7</v>
      </c>
      <c r="I54" s="6">
        <v>30.2</v>
      </c>
      <c r="J54" s="7">
        <v>1463</v>
      </c>
      <c r="K54" s="6">
        <v>80.834999999999994</v>
      </c>
      <c r="L54" s="7">
        <v>2695290</v>
      </c>
    </row>
    <row r="55" spans="1:12">
      <c r="A55" s="3">
        <v>51</v>
      </c>
      <c r="B55" s="4">
        <v>45944</v>
      </c>
      <c r="C55" s="5" t="s">
        <v>17</v>
      </c>
      <c r="D55" s="6">
        <v>30.2</v>
      </c>
      <c r="E55" s="6">
        <v>30.7</v>
      </c>
      <c r="F55" s="6">
        <v>30</v>
      </c>
      <c r="G55" s="6">
        <v>30</v>
      </c>
      <c r="H55" s="6">
        <v>30.2</v>
      </c>
      <c r="I55" s="6">
        <v>29.9</v>
      </c>
      <c r="J55" s="7">
        <v>2094</v>
      </c>
      <c r="K55" s="6">
        <v>136.99799999999999</v>
      </c>
      <c r="L55" s="7">
        <v>4515957</v>
      </c>
    </row>
    <row r="56" spans="1:12">
      <c r="A56" s="3">
        <v>52</v>
      </c>
      <c r="B56" s="4">
        <v>45943</v>
      </c>
      <c r="C56" s="5" t="s">
        <v>17</v>
      </c>
      <c r="D56" s="6">
        <v>29.9</v>
      </c>
      <c r="E56" s="6">
        <v>30.1</v>
      </c>
      <c r="F56" s="6">
        <v>29.2</v>
      </c>
      <c r="G56" s="6">
        <v>29.2</v>
      </c>
      <c r="H56" s="6">
        <v>29.9</v>
      </c>
      <c r="I56" s="6">
        <v>29.2</v>
      </c>
      <c r="J56" s="7">
        <v>1537</v>
      </c>
      <c r="K56" s="6">
        <v>115.297</v>
      </c>
      <c r="L56" s="7">
        <v>3907358</v>
      </c>
    </row>
    <row r="57" spans="1:12">
      <c r="A57" s="3">
        <v>53</v>
      </c>
      <c r="B57" s="4">
        <v>45942</v>
      </c>
      <c r="C57" s="5" t="s">
        <v>17</v>
      </c>
      <c r="D57" s="6">
        <v>29.2</v>
      </c>
      <c r="E57" s="6">
        <v>32</v>
      </c>
      <c r="F57" s="6">
        <v>29.1</v>
      </c>
      <c r="G57" s="6">
        <v>32</v>
      </c>
      <c r="H57" s="6">
        <v>29.2</v>
      </c>
      <c r="I57" s="6">
        <v>29.5</v>
      </c>
      <c r="J57" s="7">
        <v>1696</v>
      </c>
      <c r="K57" s="6">
        <v>133.595</v>
      </c>
      <c r="L57" s="7">
        <v>4557438</v>
      </c>
    </row>
    <row r="58" spans="1:12">
      <c r="A58" s="3">
        <v>54</v>
      </c>
      <c r="B58" s="4">
        <v>45939</v>
      </c>
      <c r="C58" s="5" t="s">
        <v>17</v>
      </c>
      <c r="D58" s="6">
        <v>29.5</v>
      </c>
      <c r="E58" s="6">
        <v>30.2</v>
      </c>
      <c r="F58" s="6">
        <v>29.2</v>
      </c>
      <c r="G58" s="6">
        <v>30</v>
      </c>
      <c r="H58" s="6">
        <v>29.5</v>
      </c>
      <c r="I58" s="6">
        <v>30</v>
      </c>
      <c r="J58" s="7">
        <v>1424</v>
      </c>
      <c r="K58" s="6">
        <v>117.374</v>
      </c>
      <c r="L58" s="7">
        <v>3957194</v>
      </c>
    </row>
    <row r="59" spans="1:12">
      <c r="A59" s="3">
        <v>55</v>
      </c>
      <c r="B59" s="4">
        <v>45938</v>
      </c>
      <c r="C59" s="5" t="s">
        <v>17</v>
      </c>
      <c r="D59" s="6">
        <v>30</v>
      </c>
      <c r="E59" s="6">
        <v>30.6</v>
      </c>
      <c r="F59" s="6">
        <v>29.8</v>
      </c>
      <c r="G59" s="6">
        <v>30.4</v>
      </c>
      <c r="H59" s="6">
        <v>30</v>
      </c>
      <c r="I59" s="6">
        <v>30.4</v>
      </c>
      <c r="J59" s="7">
        <v>1514</v>
      </c>
      <c r="K59" s="6">
        <v>85.605999999999995</v>
      </c>
      <c r="L59" s="7">
        <v>2846917</v>
      </c>
    </row>
    <row r="60" spans="1:12">
      <c r="A60" s="3">
        <v>56</v>
      </c>
      <c r="B60" s="4">
        <v>45937</v>
      </c>
      <c r="C60" s="5" t="s">
        <v>17</v>
      </c>
      <c r="D60" s="6">
        <v>30.4</v>
      </c>
      <c r="E60" s="6">
        <v>31.1</v>
      </c>
      <c r="F60" s="6">
        <v>30.2</v>
      </c>
      <c r="G60" s="6">
        <v>30.8</v>
      </c>
      <c r="H60" s="6">
        <v>30.4</v>
      </c>
      <c r="I60" s="6">
        <v>30.8</v>
      </c>
      <c r="J60" s="7">
        <v>1822</v>
      </c>
      <c r="K60" s="6">
        <v>116.828</v>
      </c>
      <c r="L60" s="7">
        <v>3817339</v>
      </c>
    </row>
    <row r="61" spans="1:12">
      <c r="A61" s="3">
        <v>57</v>
      </c>
      <c r="B61" s="4">
        <v>45936</v>
      </c>
      <c r="C61" s="5" t="s">
        <v>17</v>
      </c>
      <c r="D61" s="6">
        <v>30.8</v>
      </c>
      <c r="E61" s="6">
        <v>31.4</v>
      </c>
      <c r="F61" s="6">
        <v>30.5</v>
      </c>
      <c r="G61" s="6">
        <v>30.5</v>
      </c>
      <c r="H61" s="6">
        <v>30.8</v>
      </c>
      <c r="I61" s="6">
        <v>30.3</v>
      </c>
      <c r="J61" s="7">
        <v>3681</v>
      </c>
      <c r="K61" s="6">
        <v>269.35899999999998</v>
      </c>
      <c r="L61" s="7">
        <v>8714637</v>
      </c>
    </row>
    <row r="62" spans="1:12">
      <c r="A62" s="3">
        <v>58</v>
      </c>
      <c r="B62" s="4">
        <v>45935</v>
      </c>
      <c r="C62" s="5" t="s">
        <v>17</v>
      </c>
      <c r="D62" s="6">
        <v>30.3</v>
      </c>
      <c r="E62" s="6">
        <v>30.5</v>
      </c>
      <c r="F62" s="6">
        <v>29.5</v>
      </c>
      <c r="G62" s="6">
        <v>29.9</v>
      </c>
      <c r="H62" s="6">
        <v>30.3</v>
      </c>
      <c r="I62" s="6">
        <v>29.6</v>
      </c>
      <c r="J62" s="7">
        <v>2099</v>
      </c>
      <c r="K62" s="6">
        <v>115.83799999999999</v>
      </c>
      <c r="L62" s="7">
        <v>3852718</v>
      </c>
    </row>
    <row r="63" spans="1:12">
      <c r="A63" s="3">
        <v>59</v>
      </c>
      <c r="B63" s="4">
        <v>45930</v>
      </c>
      <c r="C63" s="5" t="s">
        <v>17</v>
      </c>
      <c r="D63" s="6">
        <v>29.6</v>
      </c>
      <c r="E63" s="6">
        <v>29.7</v>
      </c>
      <c r="F63" s="6">
        <v>29.2</v>
      </c>
      <c r="G63" s="6">
        <v>29.5</v>
      </c>
      <c r="H63" s="6">
        <v>29.6</v>
      </c>
      <c r="I63" s="6">
        <v>29.3</v>
      </c>
      <c r="J63" s="7">
        <v>1084</v>
      </c>
      <c r="K63" s="6">
        <v>63.39</v>
      </c>
      <c r="L63" s="7">
        <v>2152155</v>
      </c>
    </row>
    <row r="64" spans="1:12">
      <c r="A64" s="3">
        <v>60</v>
      </c>
      <c r="B64" s="4">
        <v>45929</v>
      </c>
      <c r="C64" s="5" t="s">
        <v>17</v>
      </c>
      <c r="D64" s="6">
        <v>29.3</v>
      </c>
      <c r="E64" s="6">
        <v>29.4</v>
      </c>
      <c r="F64" s="6">
        <v>28.9</v>
      </c>
      <c r="G64" s="6">
        <v>29</v>
      </c>
      <c r="H64" s="6">
        <v>29.3</v>
      </c>
      <c r="I64" s="6">
        <v>28.9</v>
      </c>
      <c r="J64" s="6">
        <v>859</v>
      </c>
      <c r="K64" s="6">
        <v>39.226999999999997</v>
      </c>
      <c r="L64" s="7">
        <v>1346616</v>
      </c>
    </row>
    <row r="65" spans="1:12">
      <c r="A65" s="3">
        <v>61</v>
      </c>
      <c r="B65" s="4">
        <v>45928</v>
      </c>
      <c r="C65" s="5" t="s">
        <v>17</v>
      </c>
      <c r="D65" s="6">
        <v>28.9</v>
      </c>
      <c r="E65" s="6">
        <v>29.2</v>
      </c>
      <c r="F65" s="6">
        <v>28.8</v>
      </c>
      <c r="G65" s="6">
        <v>29.2</v>
      </c>
      <c r="H65" s="6">
        <v>28.9</v>
      </c>
      <c r="I65" s="6">
        <v>29.1</v>
      </c>
      <c r="J65" s="6">
        <v>998</v>
      </c>
      <c r="K65" s="6">
        <v>52.448</v>
      </c>
      <c r="L65" s="7">
        <v>1814653</v>
      </c>
    </row>
    <row r="66" spans="1:12">
      <c r="A66" s="3">
        <v>62</v>
      </c>
      <c r="B66" s="4">
        <v>45925</v>
      </c>
      <c r="C66" s="5" t="s">
        <v>17</v>
      </c>
      <c r="D66" s="6">
        <v>29.1</v>
      </c>
      <c r="E66" s="6">
        <v>30.1</v>
      </c>
      <c r="F66" s="6">
        <v>29</v>
      </c>
      <c r="G66" s="6">
        <v>29.7</v>
      </c>
      <c r="H66" s="6">
        <v>29.1</v>
      </c>
      <c r="I66" s="6">
        <v>29.6</v>
      </c>
      <c r="J66" s="7">
        <v>1998</v>
      </c>
      <c r="K66" s="6">
        <v>130.85400000000001</v>
      </c>
      <c r="L66" s="7">
        <v>4442151</v>
      </c>
    </row>
    <row r="67" spans="1:12">
      <c r="A67" s="3">
        <v>63</v>
      </c>
      <c r="B67" s="4">
        <v>45924</v>
      </c>
      <c r="C67" s="5" t="s">
        <v>17</v>
      </c>
      <c r="D67" s="6">
        <v>29.6</v>
      </c>
      <c r="E67" s="6">
        <v>29.9</v>
      </c>
      <c r="F67" s="6">
        <v>29</v>
      </c>
      <c r="G67" s="6">
        <v>29.2</v>
      </c>
      <c r="H67" s="6">
        <v>29.6</v>
      </c>
      <c r="I67" s="6">
        <v>29.2</v>
      </c>
      <c r="J67" s="7">
        <v>1388</v>
      </c>
      <c r="K67" s="6">
        <v>70.41</v>
      </c>
      <c r="L67" s="7">
        <v>2394066</v>
      </c>
    </row>
    <row r="68" spans="1:12">
      <c r="A68" s="3">
        <v>64</v>
      </c>
      <c r="B68" s="4">
        <v>45923</v>
      </c>
      <c r="C68" s="5" t="s">
        <v>17</v>
      </c>
      <c r="D68" s="6">
        <v>29.2</v>
      </c>
      <c r="E68" s="6">
        <v>29.4</v>
      </c>
      <c r="F68" s="6">
        <v>28.7</v>
      </c>
      <c r="G68" s="6">
        <v>28.9</v>
      </c>
      <c r="H68" s="6">
        <v>29.2</v>
      </c>
      <c r="I68" s="6">
        <v>28.8</v>
      </c>
      <c r="J68" s="7">
        <v>1531</v>
      </c>
      <c r="K68" s="6">
        <v>80.644999999999996</v>
      </c>
      <c r="L68" s="7">
        <v>2771584</v>
      </c>
    </row>
    <row r="69" spans="1:12">
      <c r="A69" s="3">
        <v>65</v>
      </c>
      <c r="B69" s="4">
        <v>45922</v>
      </c>
      <c r="C69" s="5" t="s">
        <v>17</v>
      </c>
      <c r="D69" s="6">
        <v>28.8</v>
      </c>
      <c r="E69" s="6">
        <v>29</v>
      </c>
      <c r="F69" s="6">
        <v>28.1</v>
      </c>
      <c r="G69" s="6">
        <v>28.5</v>
      </c>
      <c r="H69" s="6">
        <v>28.8</v>
      </c>
      <c r="I69" s="6">
        <v>28.5</v>
      </c>
      <c r="J69" s="7">
        <v>1613</v>
      </c>
      <c r="K69" s="6">
        <v>86.697000000000003</v>
      </c>
      <c r="L69" s="7">
        <v>3026547</v>
      </c>
    </row>
    <row r="70" spans="1:12">
      <c r="A70" s="3">
        <v>66</v>
      </c>
      <c r="B70" s="4">
        <v>45921</v>
      </c>
      <c r="C70" s="5" t="s">
        <v>17</v>
      </c>
      <c r="D70" s="6">
        <v>28.5</v>
      </c>
      <c r="E70" s="6">
        <v>29.8</v>
      </c>
      <c r="F70" s="6">
        <v>28.4</v>
      </c>
      <c r="G70" s="6">
        <v>29.8</v>
      </c>
      <c r="H70" s="6">
        <v>28.5</v>
      </c>
      <c r="I70" s="6">
        <v>29.4</v>
      </c>
      <c r="J70" s="7">
        <v>2320</v>
      </c>
      <c r="K70" s="6">
        <v>128.05799999999999</v>
      </c>
      <c r="L70" s="7">
        <v>4418547</v>
      </c>
    </row>
    <row r="71" spans="1:12">
      <c r="A71" s="3">
        <v>67</v>
      </c>
      <c r="B71" s="4">
        <v>45918</v>
      </c>
      <c r="C71" s="5" t="s">
        <v>17</v>
      </c>
      <c r="D71" s="6">
        <v>29.4</v>
      </c>
      <c r="E71" s="6">
        <v>30.1</v>
      </c>
      <c r="F71" s="6">
        <v>29.3</v>
      </c>
      <c r="G71" s="6">
        <v>30.1</v>
      </c>
      <c r="H71" s="6">
        <v>29.4</v>
      </c>
      <c r="I71" s="6">
        <v>30.1</v>
      </c>
      <c r="J71" s="7">
        <v>2292</v>
      </c>
      <c r="K71" s="6">
        <v>141.43299999999999</v>
      </c>
      <c r="L71" s="7">
        <v>4772751</v>
      </c>
    </row>
    <row r="72" spans="1:12">
      <c r="A72" s="3">
        <v>68</v>
      </c>
      <c r="B72" s="4">
        <v>45917</v>
      </c>
      <c r="C72" s="5" t="s">
        <v>17</v>
      </c>
      <c r="D72" s="6">
        <v>30.1</v>
      </c>
      <c r="E72" s="6">
        <v>30.5</v>
      </c>
      <c r="F72" s="6">
        <v>29.8</v>
      </c>
      <c r="G72" s="6">
        <v>30.3</v>
      </c>
      <c r="H72" s="6">
        <v>30.1</v>
      </c>
      <c r="I72" s="6">
        <v>30.2</v>
      </c>
      <c r="J72" s="7">
        <v>2292</v>
      </c>
      <c r="K72" s="6">
        <v>137.88800000000001</v>
      </c>
      <c r="L72" s="7">
        <v>4572558</v>
      </c>
    </row>
    <row r="73" spans="1:12">
      <c r="A73" s="3">
        <v>69</v>
      </c>
      <c r="B73" s="4">
        <v>45916</v>
      </c>
      <c r="C73" s="5" t="s">
        <v>17</v>
      </c>
      <c r="D73" s="6">
        <v>30.2</v>
      </c>
      <c r="E73" s="6">
        <v>30.9</v>
      </c>
      <c r="F73" s="6">
        <v>30</v>
      </c>
      <c r="G73" s="6">
        <v>30.6</v>
      </c>
      <c r="H73" s="6">
        <v>30.2</v>
      </c>
      <c r="I73" s="6">
        <v>30.6</v>
      </c>
      <c r="J73" s="7">
        <v>2385</v>
      </c>
      <c r="K73" s="6">
        <v>175.74</v>
      </c>
      <c r="L73" s="7">
        <v>5788082</v>
      </c>
    </row>
    <row r="74" spans="1:12">
      <c r="A74" s="3">
        <v>70</v>
      </c>
      <c r="B74" s="4">
        <v>45915</v>
      </c>
      <c r="C74" s="5" t="s">
        <v>17</v>
      </c>
      <c r="D74" s="6">
        <v>30.6</v>
      </c>
      <c r="E74" s="6">
        <v>31.3</v>
      </c>
      <c r="F74" s="6">
        <v>30.1</v>
      </c>
      <c r="G74" s="6">
        <v>31.3</v>
      </c>
      <c r="H74" s="6">
        <v>30.6</v>
      </c>
      <c r="I74" s="6">
        <v>30.6</v>
      </c>
      <c r="J74" s="7">
        <v>2070</v>
      </c>
      <c r="K74" s="6">
        <v>164.68799999999999</v>
      </c>
      <c r="L74" s="7">
        <v>5380830</v>
      </c>
    </row>
    <row r="75" spans="1:12">
      <c r="A75" s="3">
        <v>71</v>
      </c>
      <c r="B75" s="4">
        <v>45914</v>
      </c>
      <c r="C75" s="5" t="s">
        <v>17</v>
      </c>
      <c r="D75" s="6">
        <v>30.6</v>
      </c>
      <c r="E75" s="6">
        <v>31.9</v>
      </c>
      <c r="F75" s="6">
        <v>30.4</v>
      </c>
      <c r="G75" s="6">
        <v>31.5</v>
      </c>
      <c r="H75" s="6">
        <v>30.6</v>
      </c>
      <c r="I75" s="6">
        <v>31.4</v>
      </c>
      <c r="J75" s="7">
        <v>3017</v>
      </c>
      <c r="K75" s="6">
        <v>248.91</v>
      </c>
      <c r="L75" s="7">
        <v>8013115</v>
      </c>
    </row>
    <row r="76" spans="1:12">
      <c r="A76" s="3">
        <v>72</v>
      </c>
      <c r="B76" s="4">
        <v>45911</v>
      </c>
      <c r="C76" s="5" t="s">
        <v>17</v>
      </c>
      <c r="D76" s="6">
        <v>31.4</v>
      </c>
      <c r="E76" s="6">
        <v>31.6</v>
      </c>
      <c r="F76" s="6">
        <v>30</v>
      </c>
      <c r="G76" s="6">
        <v>30.4</v>
      </c>
      <c r="H76" s="6">
        <v>31.4</v>
      </c>
      <c r="I76" s="6">
        <v>30.4</v>
      </c>
      <c r="J76" s="7">
        <v>3447</v>
      </c>
      <c r="K76" s="6">
        <v>229.51400000000001</v>
      </c>
      <c r="L76" s="7">
        <v>7446361</v>
      </c>
    </row>
    <row r="77" spans="1:12">
      <c r="A77" s="3">
        <v>73</v>
      </c>
      <c r="B77" s="4">
        <v>45910</v>
      </c>
      <c r="C77" s="5" t="s">
        <v>17</v>
      </c>
      <c r="D77" s="6">
        <v>30.4</v>
      </c>
      <c r="E77" s="6">
        <v>31.9</v>
      </c>
      <c r="F77" s="6">
        <v>30.1</v>
      </c>
      <c r="G77" s="6">
        <v>31.8</v>
      </c>
      <c r="H77" s="6">
        <v>30.4</v>
      </c>
      <c r="I77" s="6">
        <v>31.7</v>
      </c>
      <c r="J77" s="7">
        <v>4851</v>
      </c>
      <c r="K77" s="6">
        <v>424.18799999999999</v>
      </c>
      <c r="L77" s="7">
        <v>13622525</v>
      </c>
    </row>
    <row r="78" spans="1:12">
      <c r="A78" s="3">
        <v>74</v>
      </c>
      <c r="B78" s="4">
        <v>45909</v>
      </c>
      <c r="C78" s="5" t="s">
        <v>17</v>
      </c>
      <c r="D78" s="6">
        <v>31.7</v>
      </c>
      <c r="E78" s="6">
        <v>33.1</v>
      </c>
      <c r="F78" s="6">
        <v>31.5</v>
      </c>
      <c r="G78" s="6">
        <v>32.5</v>
      </c>
      <c r="H78" s="6">
        <v>31.7</v>
      </c>
      <c r="I78" s="6">
        <v>32.4</v>
      </c>
      <c r="J78" s="7">
        <v>5579</v>
      </c>
      <c r="K78" s="6">
        <v>392.43799999999999</v>
      </c>
      <c r="L78" s="7">
        <v>12200763</v>
      </c>
    </row>
    <row r="79" spans="1:12">
      <c r="A79" s="3">
        <v>75</v>
      </c>
      <c r="B79" s="4">
        <v>45908</v>
      </c>
      <c r="C79" s="5" t="s">
        <v>17</v>
      </c>
      <c r="D79" s="6">
        <v>32.4</v>
      </c>
      <c r="E79" s="6">
        <v>32.799999999999997</v>
      </c>
      <c r="F79" s="6">
        <v>29.7</v>
      </c>
      <c r="G79" s="6">
        <v>30</v>
      </c>
      <c r="H79" s="6">
        <v>32.4</v>
      </c>
      <c r="I79" s="6">
        <v>29.9</v>
      </c>
      <c r="J79" s="7">
        <v>8765</v>
      </c>
      <c r="K79" s="6">
        <v>743.745</v>
      </c>
      <c r="L79" s="7">
        <v>23621415</v>
      </c>
    </row>
    <row r="80" spans="1:12">
      <c r="A80" s="3">
        <v>76</v>
      </c>
      <c r="B80" s="4">
        <v>45907</v>
      </c>
      <c r="C80" s="5" t="s">
        <v>17</v>
      </c>
      <c r="D80" s="6">
        <v>29.9</v>
      </c>
      <c r="E80" s="6">
        <v>31</v>
      </c>
      <c r="F80" s="6">
        <v>29.3</v>
      </c>
      <c r="G80" s="6">
        <v>29.5</v>
      </c>
      <c r="H80" s="6">
        <v>29.9</v>
      </c>
      <c r="I80" s="6">
        <v>29</v>
      </c>
      <c r="J80" s="7">
        <v>3839</v>
      </c>
      <c r="K80" s="6">
        <v>370.88600000000002</v>
      </c>
      <c r="L80" s="7">
        <v>12333941</v>
      </c>
    </row>
    <row r="81" spans="1:12">
      <c r="A81" s="3">
        <v>77</v>
      </c>
      <c r="B81" s="4">
        <v>45904</v>
      </c>
      <c r="C81" s="5" t="s">
        <v>17</v>
      </c>
      <c r="D81" s="6">
        <v>29</v>
      </c>
      <c r="E81" s="6">
        <v>29.4</v>
      </c>
      <c r="F81" s="6">
        <v>28.9</v>
      </c>
      <c r="G81" s="6">
        <v>29.4</v>
      </c>
      <c r="H81" s="6">
        <v>29</v>
      </c>
      <c r="I81" s="6">
        <v>29.4</v>
      </c>
      <c r="J81" s="7">
        <v>1718</v>
      </c>
      <c r="K81" s="6">
        <v>136.351</v>
      </c>
      <c r="L81" s="7">
        <v>4691515</v>
      </c>
    </row>
    <row r="82" spans="1:12">
      <c r="A82" s="3">
        <v>78</v>
      </c>
      <c r="B82" s="4">
        <v>45903</v>
      </c>
      <c r="C82" s="5" t="s">
        <v>17</v>
      </c>
      <c r="D82" s="6">
        <v>29.4</v>
      </c>
      <c r="E82" s="6">
        <v>29.9</v>
      </c>
      <c r="F82" s="6">
        <v>29.1</v>
      </c>
      <c r="G82" s="6">
        <v>29.5</v>
      </c>
      <c r="H82" s="6">
        <v>29.4</v>
      </c>
      <c r="I82" s="6">
        <v>29.2</v>
      </c>
      <c r="J82" s="7">
        <v>2197</v>
      </c>
      <c r="K82" s="6">
        <v>189.321</v>
      </c>
      <c r="L82" s="7">
        <v>6429859</v>
      </c>
    </row>
    <row r="83" spans="1:12">
      <c r="A83" s="3">
        <v>79</v>
      </c>
      <c r="B83" s="4">
        <v>45902</v>
      </c>
      <c r="C83" s="5" t="s">
        <v>17</v>
      </c>
      <c r="D83" s="6">
        <v>29.2</v>
      </c>
      <c r="E83" s="6">
        <v>29.5</v>
      </c>
      <c r="F83" s="6">
        <v>28.5</v>
      </c>
      <c r="G83" s="6">
        <v>28.7</v>
      </c>
      <c r="H83" s="6">
        <v>29.2</v>
      </c>
      <c r="I83" s="6">
        <v>28.6</v>
      </c>
      <c r="J83" s="7">
        <v>2827</v>
      </c>
      <c r="K83" s="6">
        <v>209.64099999999999</v>
      </c>
      <c r="L83" s="7">
        <v>7235490</v>
      </c>
    </row>
    <row r="84" spans="1:12">
      <c r="A84" s="3">
        <v>80</v>
      </c>
      <c r="B84" s="4">
        <v>45901</v>
      </c>
      <c r="C84" s="5" t="s">
        <v>17</v>
      </c>
      <c r="D84" s="6">
        <v>28.6</v>
      </c>
      <c r="E84" s="6">
        <v>29.2</v>
      </c>
      <c r="F84" s="6">
        <v>28.2</v>
      </c>
      <c r="G84" s="6">
        <v>28.8</v>
      </c>
      <c r="H84" s="6">
        <v>28.6</v>
      </c>
      <c r="I84" s="6">
        <v>28.8</v>
      </c>
      <c r="J84" s="7">
        <v>2144</v>
      </c>
      <c r="K84" s="6">
        <v>166.102</v>
      </c>
      <c r="L84" s="7">
        <v>5798233</v>
      </c>
    </row>
    <row r="85" spans="1:12">
      <c r="A85" s="3">
        <v>81</v>
      </c>
      <c r="B85" s="4">
        <v>45900</v>
      </c>
      <c r="C85" s="5" t="s">
        <v>17</v>
      </c>
      <c r="D85" s="6">
        <v>28.8</v>
      </c>
      <c r="E85" s="6">
        <v>29.1</v>
      </c>
      <c r="F85" s="6">
        <v>27.7</v>
      </c>
      <c r="G85" s="6">
        <v>27.7</v>
      </c>
      <c r="H85" s="6">
        <v>28.8</v>
      </c>
      <c r="I85" s="6">
        <v>27.7</v>
      </c>
      <c r="J85" s="7">
        <v>4223</v>
      </c>
      <c r="K85" s="6">
        <v>327.04300000000001</v>
      </c>
      <c r="L85" s="7">
        <v>11501294</v>
      </c>
    </row>
    <row r="86" spans="1:12">
      <c r="A86" s="3">
        <v>82</v>
      </c>
      <c r="B86" s="4">
        <v>45897</v>
      </c>
      <c r="C86" s="5" t="s">
        <v>17</v>
      </c>
      <c r="D86" s="6">
        <v>27.7</v>
      </c>
      <c r="E86" s="6">
        <v>27.8</v>
      </c>
      <c r="F86" s="6">
        <v>27.1</v>
      </c>
      <c r="G86" s="6">
        <v>27.3</v>
      </c>
      <c r="H86" s="6">
        <v>27.7</v>
      </c>
      <c r="I86" s="6">
        <v>27.2</v>
      </c>
      <c r="J86" s="7">
        <v>1113</v>
      </c>
      <c r="K86" s="6">
        <v>79.209999999999994</v>
      </c>
      <c r="L86" s="7">
        <v>2885071</v>
      </c>
    </row>
    <row r="87" spans="1:12">
      <c r="A87" s="3">
        <v>83</v>
      </c>
      <c r="B87" s="4">
        <v>45896</v>
      </c>
      <c r="C87" s="5" t="s">
        <v>17</v>
      </c>
      <c r="D87" s="6">
        <v>27.2</v>
      </c>
      <c r="E87" s="6">
        <v>27.3</v>
      </c>
      <c r="F87" s="6">
        <v>27</v>
      </c>
      <c r="G87" s="6">
        <v>27.3</v>
      </c>
      <c r="H87" s="6">
        <v>27.2</v>
      </c>
      <c r="I87" s="6">
        <v>27.3</v>
      </c>
      <c r="J87" s="6">
        <v>877</v>
      </c>
      <c r="K87" s="6">
        <v>48.37</v>
      </c>
      <c r="L87" s="7">
        <v>1783038</v>
      </c>
    </row>
    <row r="88" spans="1:12">
      <c r="A88" s="3">
        <v>84</v>
      </c>
      <c r="B88" s="4">
        <v>45895</v>
      </c>
      <c r="C88" s="5" t="s">
        <v>17</v>
      </c>
      <c r="D88" s="6">
        <v>27.3</v>
      </c>
      <c r="E88" s="6">
        <v>27.7</v>
      </c>
      <c r="F88" s="6">
        <v>27.2</v>
      </c>
      <c r="G88" s="6">
        <v>27.3</v>
      </c>
      <c r="H88" s="6">
        <v>27.3</v>
      </c>
      <c r="I88" s="6">
        <v>27.3</v>
      </c>
      <c r="J88" s="7">
        <v>1047</v>
      </c>
      <c r="K88" s="6">
        <v>76.361000000000004</v>
      </c>
      <c r="L88" s="7">
        <v>2782397</v>
      </c>
    </row>
    <row r="89" spans="1:12">
      <c r="A89" s="3">
        <v>85</v>
      </c>
      <c r="B89" s="4">
        <v>45894</v>
      </c>
      <c r="C89" s="5" t="s">
        <v>17</v>
      </c>
      <c r="D89" s="6">
        <v>27.3</v>
      </c>
      <c r="E89" s="6">
        <v>27.4</v>
      </c>
      <c r="F89" s="6">
        <v>26.9</v>
      </c>
      <c r="G89" s="6">
        <v>27</v>
      </c>
      <c r="H89" s="6">
        <v>27.3</v>
      </c>
      <c r="I89" s="6">
        <v>26.9</v>
      </c>
      <c r="J89" s="7">
        <v>1094</v>
      </c>
      <c r="K89" s="6">
        <v>62.122</v>
      </c>
      <c r="L89" s="7">
        <v>2287537</v>
      </c>
    </row>
    <row r="90" spans="1:12">
      <c r="A90" s="3">
        <v>86</v>
      </c>
      <c r="B90" s="4">
        <v>45893</v>
      </c>
      <c r="C90" s="5" t="s">
        <v>17</v>
      </c>
      <c r="D90" s="6">
        <v>26.9</v>
      </c>
      <c r="E90" s="6">
        <v>27.1</v>
      </c>
      <c r="F90" s="6">
        <v>26.7</v>
      </c>
      <c r="G90" s="6">
        <v>27</v>
      </c>
      <c r="H90" s="6">
        <v>26.9</v>
      </c>
      <c r="I90" s="6">
        <v>27</v>
      </c>
      <c r="J90" s="6">
        <v>974</v>
      </c>
      <c r="K90" s="6">
        <v>55.715000000000003</v>
      </c>
      <c r="L90" s="7">
        <v>2073541</v>
      </c>
    </row>
    <row r="91" spans="1:12">
      <c r="A91" s="3">
        <v>87</v>
      </c>
      <c r="B91" s="4">
        <v>45890</v>
      </c>
      <c r="C91" s="5" t="s">
        <v>17</v>
      </c>
      <c r="D91" s="6">
        <v>27</v>
      </c>
      <c r="E91" s="6">
        <v>27.2</v>
      </c>
      <c r="F91" s="6">
        <v>26.9</v>
      </c>
      <c r="G91" s="6">
        <v>27.2</v>
      </c>
      <c r="H91" s="6">
        <v>27</v>
      </c>
      <c r="I91" s="6">
        <v>27.2</v>
      </c>
      <c r="J91" s="6">
        <v>903</v>
      </c>
      <c r="K91" s="6">
        <v>32.119</v>
      </c>
      <c r="L91" s="7">
        <v>1189887</v>
      </c>
    </row>
    <row r="92" spans="1:12">
      <c r="A92" s="3">
        <v>88</v>
      </c>
      <c r="B92" s="4">
        <v>45889</v>
      </c>
      <c r="C92" s="5" t="s">
        <v>17</v>
      </c>
      <c r="D92" s="6">
        <v>27.2</v>
      </c>
      <c r="E92" s="6">
        <v>27.5</v>
      </c>
      <c r="F92" s="6">
        <v>27.1</v>
      </c>
      <c r="G92" s="6">
        <v>27.4</v>
      </c>
      <c r="H92" s="6">
        <v>27.2</v>
      </c>
      <c r="I92" s="6">
        <v>27.4</v>
      </c>
      <c r="J92" s="6">
        <v>884</v>
      </c>
      <c r="K92" s="6">
        <v>38.088999999999999</v>
      </c>
      <c r="L92" s="7">
        <v>1397475</v>
      </c>
    </row>
    <row r="93" spans="1:12">
      <c r="A93" s="3">
        <v>89</v>
      </c>
      <c r="B93" s="4">
        <v>45888</v>
      </c>
      <c r="C93" s="5" t="s">
        <v>17</v>
      </c>
      <c r="D93" s="6">
        <v>27.4</v>
      </c>
      <c r="E93" s="6">
        <v>27.8</v>
      </c>
      <c r="F93" s="6">
        <v>27.3</v>
      </c>
      <c r="G93" s="6">
        <v>27.7</v>
      </c>
      <c r="H93" s="6">
        <v>27.4</v>
      </c>
      <c r="I93" s="6">
        <v>27.7</v>
      </c>
      <c r="J93" s="6">
        <v>984</v>
      </c>
      <c r="K93" s="6">
        <v>47.423000000000002</v>
      </c>
      <c r="L93" s="7">
        <v>1724732</v>
      </c>
    </row>
    <row r="94" spans="1:12">
      <c r="A94" s="3">
        <v>90</v>
      </c>
      <c r="B94" s="4">
        <v>45887</v>
      </c>
      <c r="C94" s="5" t="s">
        <v>17</v>
      </c>
      <c r="D94" s="6">
        <v>27.7</v>
      </c>
      <c r="E94" s="6">
        <v>28.2</v>
      </c>
      <c r="F94" s="6">
        <v>27.5</v>
      </c>
      <c r="G94" s="6">
        <v>27.9</v>
      </c>
      <c r="H94" s="6">
        <v>27.7</v>
      </c>
      <c r="I94" s="6">
        <v>27.8</v>
      </c>
      <c r="J94" s="7">
        <v>1279</v>
      </c>
      <c r="K94" s="6">
        <v>80.948999999999998</v>
      </c>
      <c r="L94" s="7">
        <v>2917230</v>
      </c>
    </row>
    <row r="95" spans="1:12">
      <c r="A95" s="3">
        <v>91</v>
      </c>
      <c r="B95" s="4">
        <v>45886</v>
      </c>
      <c r="C95" s="5" t="s">
        <v>17</v>
      </c>
      <c r="D95" s="6">
        <v>27.8</v>
      </c>
      <c r="E95" s="6">
        <v>27.9</v>
      </c>
      <c r="F95" s="6">
        <v>27</v>
      </c>
      <c r="G95" s="6">
        <v>27.1</v>
      </c>
      <c r="H95" s="6">
        <v>27.8</v>
      </c>
      <c r="I95" s="6">
        <v>27.1</v>
      </c>
      <c r="J95" s="7">
        <v>1687</v>
      </c>
      <c r="K95" s="6">
        <v>93.679000000000002</v>
      </c>
      <c r="L95" s="7">
        <v>3401749</v>
      </c>
    </row>
    <row r="96" spans="1:12">
      <c r="A96" s="3">
        <v>92</v>
      </c>
      <c r="B96" s="4">
        <v>45883</v>
      </c>
      <c r="C96" s="5" t="s">
        <v>17</v>
      </c>
      <c r="D96" s="6">
        <v>27.1</v>
      </c>
      <c r="E96" s="6">
        <v>27.2</v>
      </c>
      <c r="F96" s="6">
        <v>26.8</v>
      </c>
      <c r="G96" s="6">
        <v>26.8</v>
      </c>
      <c r="H96" s="6">
        <v>27.1</v>
      </c>
      <c r="I96" s="6">
        <v>26.8</v>
      </c>
      <c r="J96" s="7">
        <v>1162</v>
      </c>
      <c r="K96" s="6">
        <v>43.177</v>
      </c>
      <c r="L96" s="7">
        <v>1599991</v>
      </c>
    </row>
    <row r="97" spans="1:12">
      <c r="A97" s="3">
        <v>93</v>
      </c>
      <c r="B97" s="4">
        <v>45882</v>
      </c>
      <c r="C97" s="5" t="s">
        <v>17</v>
      </c>
      <c r="D97" s="6">
        <v>26.8</v>
      </c>
      <c r="E97" s="6">
        <v>27.2</v>
      </c>
      <c r="F97" s="6">
        <v>26.7</v>
      </c>
      <c r="G97" s="6">
        <v>27.2</v>
      </c>
      <c r="H97" s="6">
        <v>26.8</v>
      </c>
      <c r="I97" s="6">
        <v>26.8</v>
      </c>
      <c r="J97" s="6">
        <v>852</v>
      </c>
      <c r="K97" s="6">
        <v>40.920999999999999</v>
      </c>
      <c r="L97" s="7">
        <v>1522746</v>
      </c>
    </row>
    <row r="98" spans="1:12">
      <c r="A98" s="3">
        <v>94</v>
      </c>
      <c r="B98" s="4">
        <v>45881</v>
      </c>
      <c r="C98" s="5" t="s">
        <v>17</v>
      </c>
      <c r="D98" s="6">
        <v>26.8</v>
      </c>
      <c r="E98" s="6">
        <v>27.5</v>
      </c>
      <c r="F98" s="6">
        <v>26.7</v>
      </c>
      <c r="G98" s="6">
        <v>26.9</v>
      </c>
      <c r="H98" s="6">
        <v>26.8</v>
      </c>
      <c r="I98" s="6">
        <v>26.8</v>
      </c>
      <c r="J98" s="7">
        <v>1210</v>
      </c>
      <c r="K98" s="6">
        <v>49.756</v>
      </c>
      <c r="L98" s="7">
        <v>1843200</v>
      </c>
    </row>
    <row r="99" spans="1:12">
      <c r="A99" s="3">
        <v>95</v>
      </c>
      <c r="B99" s="4">
        <v>45880</v>
      </c>
      <c r="C99" s="5" t="s">
        <v>17</v>
      </c>
      <c r="D99" s="6">
        <v>26.8</v>
      </c>
      <c r="E99" s="6">
        <v>27</v>
      </c>
      <c r="F99" s="6">
        <v>26.6</v>
      </c>
      <c r="G99" s="6">
        <v>26.8</v>
      </c>
      <c r="H99" s="6">
        <v>26.8</v>
      </c>
      <c r="I99" s="6">
        <v>26.7</v>
      </c>
      <c r="J99" s="6">
        <v>872</v>
      </c>
      <c r="K99" s="6">
        <v>36.832999999999998</v>
      </c>
      <c r="L99" s="7">
        <v>1375860</v>
      </c>
    </row>
    <row r="100" spans="1:12">
      <c r="A100" s="3">
        <v>96</v>
      </c>
      <c r="B100" s="4">
        <v>45879</v>
      </c>
      <c r="C100" s="5" t="s">
        <v>17</v>
      </c>
      <c r="D100" s="6">
        <v>26.7</v>
      </c>
      <c r="E100" s="6">
        <v>27.4</v>
      </c>
      <c r="F100" s="6">
        <v>26.5</v>
      </c>
      <c r="G100" s="6">
        <v>27</v>
      </c>
      <c r="H100" s="6">
        <v>26.7</v>
      </c>
      <c r="I100" s="6">
        <v>27.2</v>
      </c>
      <c r="J100" s="7">
        <v>1470</v>
      </c>
      <c r="K100" s="6">
        <v>60.539000000000001</v>
      </c>
      <c r="L100" s="7">
        <v>2254650</v>
      </c>
    </row>
    <row r="101" spans="1:12">
      <c r="A101" s="3">
        <v>97</v>
      </c>
      <c r="B101" s="4">
        <v>45876</v>
      </c>
      <c r="C101" s="5" t="s">
        <v>17</v>
      </c>
      <c r="D101" s="6">
        <v>27.2</v>
      </c>
      <c r="E101" s="6">
        <v>27.8</v>
      </c>
      <c r="F101" s="6">
        <v>27.2</v>
      </c>
      <c r="G101" s="6">
        <v>27.8</v>
      </c>
      <c r="H101" s="6">
        <v>27.2</v>
      </c>
      <c r="I101" s="6">
        <v>27.6</v>
      </c>
      <c r="J101" s="7">
        <v>1306</v>
      </c>
      <c r="K101" s="6">
        <v>49.703000000000003</v>
      </c>
      <c r="L101" s="7">
        <v>1815639</v>
      </c>
    </row>
    <row r="102" spans="1:12">
      <c r="A102" s="3">
        <v>98</v>
      </c>
      <c r="B102" s="4">
        <v>45875</v>
      </c>
      <c r="C102" s="5" t="s">
        <v>17</v>
      </c>
      <c r="D102" s="6">
        <v>27.6</v>
      </c>
      <c r="E102" s="6">
        <v>28.3</v>
      </c>
      <c r="F102" s="6">
        <v>27.5</v>
      </c>
      <c r="G102" s="6">
        <v>28</v>
      </c>
      <c r="H102" s="6">
        <v>27.6</v>
      </c>
      <c r="I102" s="6">
        <v>27.9</v>
      </c>
      <c r="J102" s="7">
        <v>1890</v>
      </c>
      <c r="K102" s="6">
        <v>93.61</v>
      </c>
      <c r="L102" s="7">
        <v>3371134</v>
      </c>
    </row>
    <row r="103" spans="1:12">
      <c r="A103" s="3">
        <v>99</v>
      </c>
      <c r="B103" s="4">
        <v>45873</v>
      </c>
      <c r="C103" s="5" t="s">
        <v>17</v>
      </c>
      <c r="D103" s="6">
        <v>27.9</v>
      </c>
      <c r="E103" s="6">
        <v>28.7</v>
      </c>
      <c r="F103" s="6">
        <v>27.8</v>
      </c>
      <c r="G103" s="6">
        <v>28.6</v>
      </c>
      <c r="H103" s="6">
        <v>27.9</v>
      </c>
      <c r="I103" s="6">
        <v>28.4</v>
      </c>
      <c r="J103" s="7">
        <v>2243</v>
      </c>
      <c r="K103" s="6">
        <v>132.77600000000001</v>
      </c>
      <c r="L103" s="7">
        <v>4712274</v>
      </c>
    </row>
    <row r="104" spans="1:12">
      <c r="A104" s="3">
        <v>100</v>
      </c>
      <c r="B104" s="4">
        <v>45872</v>
      </c>
      <c r="C104" s="5" t="s">
        <v>17</v>
      </c>
      <c r="D104" s="6">
        <v>28.4</v>
      </c>
      <c r="E104" s="6">
        <v>28.8</v>
      </c>
      <c r="F104" s="6">
        <v>27.7</v>
      </c>
      <c r="G104" s="6">
        <v>27.8</v>
      </c>
      <c r="H104" s="6">
        <v>28.4</v>
      </c>
      <c r="I104" s="6">
        <v>27.5</v>
      </c>
      <c r="J104" s="7">
        <v>2736</v>
      </c>
      <c r="K104" s="6">
        <v>170.43</v>
      </c>
      <c r="L104" s="7">
        <v>6015788</v>
      </c>
    </row>
    <row r="105" spans="1:12">
      <c r="A105" s="3">
        <v>101</v>
      </c>
      <c r="B105" s="4">
        <v>45869</v>
      </c>
      <c r="C105" s="5" t="s">
        <v>17</v>
      </c>
      <c r="D105" s="6">
        <v>27.5</v>
      </c>
      <c r="E105" s="6">
        <v>27.8</v>
      </c>
      <c r="F105" s="6">
        <v>27</v>
      </c>
      <c r="G105" s="6">
        <v>27.2</v>
      </c>
      <c r="H105" s="6">
        <v>27.5</v>
      </c>
      <c r="I105" s="6">
        <v>27.2</v>
      </c>
      <c r="J105" s="7">
        <v>2248</v>
      </c>
      <c r="K105" s="6">
        <v>169.155</v>
      </c>
      <c r="L105" s="7">
        <v>6191632</v>
      </c>
    </row>
    <row r="106" spans="1:12">
      <c r="A106" s="3">
        <v>102</v>
      </c>
      <c r="B106" s="4">
        <v>45868</v>
      </c>
      <c r="C106" s="5" t="s">
        <v>17</v>
      </c>
      <c r="D106" s="6">
        <v>27.2</v>
      </c>
      <c r="E106" s="6">
        <v>27.7</v>
      </c>
      <c r="F106" s="6">
        <v>27.1</v>
      </c>
      <c r="G106" s="6">
        <v>27.7</v>
      </c>
      <c r="H106" s="6">
        <v>27.2</v>
      </c>
      <c r="I106" s="6">
        <v>27.7</v>
      </c>
      <c r="J106" s="7">
        <v>2016</v>
      </c>
      <c r="K106" s="6">
        <v>118.371</v>
      </c>
      <c r="L106" s="7">
        <v>4338898</v>
      </c>
    </row>
    <row r="107" spans="1:12">
      <c r="A107" s="3">
        <v>103</v>
      </c>
      <c r="B107" s="4">
        <v>45867</v>
      </c>
      <c r="C107" s="5" t="s">
        <v>17</v>
      </c>
      <c r="D107" s="6">
        <v>27.7</v>
      </c>
      <c r="E107" s="6">
        <v>28.8</v>
      </c>
      <c r="F107" s="6">
        <v>27.6</v>
      </c>
      <c r="G107" s="6">
        <v>28</v>
      </c>
      <c r="H107" s="6">
        <v>27.7</v>
      </c>
      <c r="I107" s="6">
        <v>27.5</v>
      </c>
      <c r="J107" s="7">
        <v>3563</v>
      </c>
      <c r="K107" s="6">
        <v>231.14500000000001</v>
      </c>
      <c r="L107" s="7">
        <v>8205201</v>
      </c>
    </row>
    <row r="108" spans="1:12">
      <c r="A108" s="3">
        <v>104</v>
      </c>
      <c r="B108" s="4">
        <v>45866</v>
      </c>
      <c r="C108" s="5" t="s">
        <v>17</v>
      </c>
      <c r="D108" s="6">
        <v>27.5</v>
      </c>
      <c r="E108" s="6">
        <v>27.9</v>
      </c>
      <c r="F108" s="6">
        <v>26.8</v>
      </c>
      <c r="G108" s="6">
        <v>26.8</v>
      </c>
      <c r="H108" s="6">
        <v>27.5</v>
      </c>
      <c r="I108" s="6">
        <v>26.8</v>
      </c>
      <c r="J108" s="7">
        <v>2736</v>
      </c>
      <c r="K108" s="6">
        <v>181.797</v>
      </c>
      <c r="L108" s="7">
        <v>6615082</v>
      </c>
    </row>
    <row r="109" spans="1:12">
      <c r="A109" s="3">
        <v>105</v>
      </c>
      <c r="B109" s="4">
        <v>45865</v>
      </c>
      <c r="C109" s="5" t="s">
        <v>17</v>
      </c>
      <c r="D109" s="6">
        <v>26.8</v>
      </c>
      <c r="E109" s="6">
        <v>27.2</v>
      </c>
      <c r="F109" s="6">
        <v>26.8</v>
      </c>
      <c r="G109" s="6">
        <v>26.8</v>
      </c>
      <c r="H109" s="6">
        <v>26.8</v>
      </c>
      <c r="I109" s="6">
        <v>26.8</v>
      </c>
      <c r="J109" s="7">
        <v>1520</v>
      </c>
      <c r="K109" s="6">
        <v>79.8</v>
      </c>
      <c r="L109" s="7">
        <v>2961297</v>
      </c>
    </row>
    <row r="110" spans="1:12">
      <c r="A110" s="3">
        <v>106</v>
      </c>
      <c r="B110" s="4">
        <v>45862</v>
      </c>
      <c r="C110" s="5" t="s">
        <v>17</v>
      </c>
      <c r="D110" s="6">
        <v>26.8</v>
      </c>
      <c r="E110" s="6">
        <v>27.1</v>
      </c>
      <c r="F110" s="6">
        <v>26.3</v>
      </c>
      <c r="G110" s="6">
        <v>26.4</v>
      </c>
      <c r="H110" s="6">
        <v>26.8</v>
      </c>
      <c r="I110" s="6">
        <v>26.3</v>
      </c>
      <c r="J110" s="7">
        <v>2377</v>
      </c>
      <c r="K110" s="6">
        <v>129.148</v>
      </c>
      <c r="L110" s="7">
        <v>4822674</v>
      </c>
    </row>
    <row r="111" spans="1:12">
      <c r="A111" s="3">
        <v>107</v>
      </c>
      <c r="B111" s="4">
        <v>45861</v>
      </c>
      <c r="C111" s="5" t="s">
        <v>17</v>
      </c>
      <c r="D111" s="6">
        <v>26.3</v>
      </c>
      <c r="E111" s="6">
        <v>26.4</v>
      </c>
      <c r="F111" s="6">
        <v>25.7</v>
      </c>
      <c r="G111" s="6">
        <v>25.7</v>
      </c>
      <c r="H111" s="6">
        <v>26.3</v>
      </c>
      <c r="I111" s="6">
        <v>25.8</v>
      </c>
      <c r="J111" s="7">
        <v>1655</v>
      </c>
      <c r="K111" s="6">
        <v>81.795000000000002</v>
      </c>
      <c r="L111" s="7">
        <v>3130212</v>
      </c>
    </row>
    <row r="112" spans="1:12">
      <c r="A112" s="3">
        <v>108</v>
      </c>
      <c r="B112" s="4">
        <v>45860</v>
      </c>
      <c r="C112" s="5" t="s">
        <v>17</v>
      </c>
      <c r="D112" s="6">
        <v>25.8</v>
      </c>
      <c r="E112" s="6">
        <v>25.9</v>
      </c>
      <c r="F112" s="6">
        <v>25.4</v>
      </c>
      <c r="G112" s="6">
        <v>25.9</v>
      </c>
      <c r="H112" s="6">
        <v>25.8</v>
      </c>
      <c r="I112" s="6">
        <v>25.8</v>
      </c>
      <c r="J112" s="7">
        <v>1293</v>
      </c>
      <c r="K112" s="6">
        <v>65.930999999999997</v>
      </c>
      <c r="L112" s="7">
        <v>2570298</v>
      </c>
    </row>
    <row r="113" spans="1:12">
      <c r="A113" s="3">
        <v>109</v>
      </c>
      <c r="B113" s="4">
        <v>45859</v>
      </c>
      <c r="C113" s="5" t="s">
        <v>17</v>
      </c>
      <c r="D113" s="6">
        <v>25.8</v>
      </c>
      <c r="E113" s="6">
        <v>26.3</v>
      </c>
      <c r="F113" s="6">
        <v>25.6</v>
      </c>
      <c r="G113" s="6">
        <v>25.8</v>
      </c>
      <c r="H113" s="6">
        <v>25.8</v>
      </c>
      <c r="I113" s="6">
        <v>25.8</v>
      </c>
      <c r="J113" s="7">
        <v>1381</v>
      </c>
      <c r="K113" s="6">
        <v>65.087000000000003</v>
      </c>
      <c r="L113" s="7">
        <v>2508087</v>
      </c>
    </row>
    <row r="114" spans="1:12">
      <c r="A114" s="3">
        <v>110</v>
      </c>
      <c r="B114" s="4">
        <v>45858</v>
      </c>
      <c r="C114" s="5" t="s">
        <v>17</v>
      </c>
      <c r="D114" s="6">
        <v>25.8</v>
      </c>
      <c r="E114" s="6">
        <v>25.9</v>
      </c>
      <c r="F114" s="6">
        <v>25.3</v>
      </c>
      <c r="G114" s="6">
        <v>25.5</v>
      </c>
      <c r="H114" s="6">
        <v>25.8</v>
      </c>
      <c r="I114" s="6">
        <v>25.4</v>
      </c>
      <c r="J114" s="7">
        <v>1311</v>
      </c>
      <c r="K114" s="6">
        <v>66.557000000000002</v>
      </c>
      <c r="L114" s="7">
        <v>2595315</v>
      </c>
    </row>
    <row r="115" spans="1:12">
      <c r="A115" s="3">
        <v>111</v>
      </c>
      <c r="B115" s="4">
        <v>45855</v>
      </c>
      <c r="C115" s="5" t="s">
        <v>17</v>
      </c>
      <c r="D115" s="6">
        <v>25.4</v>
      </c>
      <c r="E115" s="6">
        <v>25.6</v>
      </c>
      <c r="F115" s="6">
        <v>25</v>
      </c>
      <c r="G115" s="6">
        <v>25</v>
      </c>
      <c r="H115" s="6">
        <v>25.4</v>
      </c>
      <c r="I115" s="6">
        <v>25.1</v>
      </c>
      <c r="J115" s="7">
        <v>1101</v>
      </c>
      <c r="K115" s="6">
        <v>50.826999999999998</v>
      </c>
      <c r="L115" s="7">
        <v>2003830</v>
      </c>
    </row>
    <row r="116" spans="1:12">
      <c r="A116" s="3">
        <v>112</v>
      </c>
      <c r="B116" s="4">
        <v>45854</v>
      </c>
      <c r="C116" s="5" t="s">
        <v>17</v>
      </c>
      <c r="D116" s="6">
        <v>25.1</v>
      </c>
      <c r="E116" s="6">
        <v>25.2</v>
      </c>
      <c r="F116" s="6">
        <v>24.9</v>
      </c>
      <c r="G116" s="6">
        <v>25</v>
      </c>
      <c r="H116" s="6">
        <v>25.1</v>
      </c>
      <c r="I116" s="6">
        <v>25</v>
      </c>
      <c r="J116" s="6">
        <v>627</v>
      </c>
      <c r="K116" s="6">
        <v>32.070999999999998</v>
      </c>
      <c r="L116" s="7">
        <v>1281228</v>
      </c>
    </row>
    <row r="117" spans="1:12">
      <c r="A117" s="3">
        <v>113</v>
      </c>
      <c r="B117" s="4">
        <v>45853</v>
      </c>
      <c r="C117" s="5" t="s">
        <v>17</v>
      </c>
      <c r="D117" s="6">
        <v>25</v>
      </c>
      <c r="E117" s="6">
        <v>25.2</v>
      </c>
      <c r="F117" s="6">
        <v>24.9</v>
      </c>
      <c r="G117" s="6">
        <v>24.9</v>
      </c>
      <c r="H117" s="6">
        <v>25</v>
      </c>
      <c r="I117" s="6">
        <v>24.9</v>
      </c>
      <c r="J117" s="6">
        <v>679</v>
      </c>
      <c r="K117" s="6">
        <v>22.39</v>
      </c>
      <c r="L117" s="7">
        <v>895309</v>
      </c>
    </row>
    <row r="118" spans="1:12">
      <c r="A118" s="3">
        <v>114</v>
      </c>
      <c r="B118" s="4">
        <v>45852</v>
      </c>
      <c r="C118" s="5" t="s">
        <v>17</v>
      </c>
      <c r="D118" s="6">
        <v>24.9</v>
      </c>
      <c r="E118" s="6">
        <v>25.3</v>
      </c>
      <c r="F118" s="6">
        <v>24.9</v>
      </c>
      <c r="G118" s="6">
        <v>25</v>
      </c>
      <c r="H118" s="6">
        <v>24.9</v>
      </c>
      <c r="I118" s="6">
        <v>25</v>
      </c>
      <c r="J118" s="6">
        <v>608</v>
      </c>
      <c r="K118" s="6">
        <v>20.776</v>
      </c>
      <c r="L118" s="7">
        <v>829524</v>
      </c>
    </row>
    <row r="119" spans="1:12">
      <c r="A119" s="3">
        <v>115</v>
      </c>
      <c r="B119" s="4">
        <v>45851</v>
      </c>
      <c r="C119" s="5" t="s">
        <v>17</v>
      </c>
      <c r="D119" s="6">
        <v>25</v>
      </c>
      <c r="E119" s="6">
        <v>25.4</v>
      </c>
      <c r="F119" s="6">
        <v>24.9</v>
      </c>
      <c r="G119" s="6">
        <v>25.4</v>
      </c>
      <c r="H119" s="6">
        <v>25</v>
      </c>
      <c r="I119" s="6">
        <v>25.2</v>
      </c>
      <c r="J119" s="7">
        <v>1021</v>
      </c>
      <c r="K119" s="6">
        <v>30.614000000000001</v>
      </c>
      <c r="L119" s="7">
        <v>1219491</v>
      </c>
    </row>
    <row r="120" spans="1:12">
      <c r="A120" s="3">
        <v>116</v>
      </c>
      <c r="B120" s="4">
        <v>45848</v>
      </c>
      <c r="C120" s="5" t="s">
        <v>17</v>
      </c>
      <c r="D120" s="6">
        <v>25.2</v>
      </c>
      <c r="E120" s="6">
        <v>25.9</v>
      </c>
      <c r="F120" s="6">
        <v>25.1</v>
      </c>
      <c r="G120" s="6">
        <v>25.6</v>
      </c>
      <c r="H120" s="6">
        <v>25.2</v>
      </c>
      <c r="I120" s="6">
        <v>25.4</v>
      </c>
      <c r="J120" s="7">
        <v>1313</v>
      </c>
      <c r="K120" s="6">
        <v>46.924999999999997</v>
      </c>
      <c r="L120" s="7">
        <v>1847511</v>
      </c>
    </row>
    <row r="121" spans="1:12">
      <c r="A121" s="3">
        <v>117</v>
      </c>
      <c r="B121" s="4">
        <v>45847</v>
      </c>
      <c r="C121" s="5" t="s">
        <v>17</v>
      </c>
      <c r="D121" s="6">
        <v>25.4</v>
      </c>
      <c r="E121" s="6">
        <v>25.7</v>
      </c>
      <c r="F121" s="6">
        <v>24.7</v>
      </c>
      <c r="G121" s="6">
        <v>24.9</v>
      </c>
      <c r="H121" s="6">
        <v>25.4</v>
      </c>
      <c r="I121" s="6">
        <v>24.8</v>
      </c>
      <c r="J121" s="7">
        <v>1388</v>
      </c>
      <c r="K121" s="6">
        <v>59.329000000000001</v>
      </c>
      <c r="L121" s="7">
        <v>2357977</v>
      </c>
    </row>
    <row r="122" spans="1:12">
      <c r="A122" s="3">
        <v>118</v>
      </c>
      <c r="B122" s="4">
        <v>45846</v>
      </c>
      <c r="C122" s="5" t="s">
        <v>17</v>
      </c>
      <c r="D122" s="6">
        <v>24.8</v>
      </c>
      <c r="E122" s="6">
        <v>24.9</v>
      </c>
      <c r="F122" s="6">
        <v>24.6</v>
      </c>
      <c r="G122" s="6">
        <v>24.9</v>
      </c>
      <c r="H122" s="6">
        <v>24.8</v>
      </c>
      <c r="I122" s="6">
        <v>24.8</v>
      </c>
      <c r="J122" s="6">
        <v>461</v>
      </c>
      <c r="K122" s="6">
        <v>15.122</v>
      </c>
      <c r="L122" s="7">
        <v>610886</v>
      </c>
    </row>
    <row r="123" spans="1:12">
      <c r="A123" s="3">
        <v>119</v>
      </c>
      <c r="B123" s="4">
        <v>45845</v>
      </c>
      <c r="C123" s="5" t="s">
        <v>17</v>
      </c>
      <c r="D123" s="6">
        <v>24.8</v>
      </c>
      <c r="E123" s="6">
        <v>24.9</v>
      </c>
      <c r="F123" s="6">
        <v>24.5</v>
      </c>
      <c r="G123" s="6">
        <v>24.6</v>
      </c>
      <c r="H123" s="6">
        <v>24.8</v>
      </c>
      <c r="I123" s="6">
        <v>24.6</v>
      </c>
      <c r="J123" s="6">
        <v>741</v>
      </c>
      <c r="K123" s="6">
        <v>22.969000000000001</v>
      </c>
      <c r="L123" s="7">
        <v>928749</v>
      </c>
    </row>
    <row r="124" spans="1:12">
      <c r="A124" s="3">
        <v>120</v>
      </c>
      <c r="B124" s="4">
        <v>45841</v>
      </c>
      <c r="C124" s="5" t="s">
        <v>17</v>
      </c>
      <c r="D124" s="6">
        <v>24.6</v>
      </c>
      <c r="E124" s="6">
        <v>24.8</v>
      </c>
      <c r="F124" s="6">
        <v>24.4</v>
      </c>
      <c r="G124" s="6">
        <v>24.8</v>
      </c>
      <c r="H124" s="6">
        <v>24.6</v>
      </c>
      <c r="I124" s="6">
        <v>24.8</v>
      </c>
      <c r="J124" s="6">
        <v>685</v>
      </c>
      <c r="K124" s="6">
        <v>21.305</v>
      </c>
      <c r="L124" s="7">
        <v>865719</v>
      </c>
    </row>
    <row r="125" spans="1:12">
      <c r="A125" s="3">
        <v>121</v>
      </c>
      <c r="B125" s="4">
        <v>45840</v>
      </c>
      <c r="C125" s="5" t="s">
        <v>17</v>
      </c>
      <c r="D125" s="6">
        <v>24.8</v>
      </c>
      <c r="E125" s="6">
        <v>25</v>
      </c>
      <c r="F125" s="6">
        <v>24.4</v>
      </c>
      <c r="G125" s="6">
        <v>24.8</v>
      </c>
      <c r="H125" s="6">
        <v>24.8</v>
      </c>
      <c r="I125" s="6">
        <v>24.8</v>
      </c>
      <c r="J125" s="6">
        <v>847</v>
      </c>
      <c r="K125" s="6">
        <v>34.368000000000002</v>
      </c>
      <c r="L125" s="7">
        <v>1392916</v>
      </c>
    </row>
    <row r="126" spans="1:12">
      <c r="A126" s="3">
        <v>122</v>
      </c>
      <c r="B126" s="4">
        <v>45838</v>
      </c>
      <c r="C126" s="5" t="s">
        <v>17</v>
      </c>
      <c r="D126" s="6">
        <v>24.8</v>
      </c>
      <c r="E126" s="6">
        <v>25</v>
      </c>
      <c r="F126" s="6">
        <v>24.5</v>
      </c>
      <c r="G126" s="6">
        <v>24.9</v>
      </c>
      <c r="H126" s="6">
        <v>24.8</v>
      </c>
      <c r="I126" s="6">
        <v>24.9</v>
      </c>
      <c r="J126" s="6">
        <v>650</v>
      </c>
      <c r="K126" s="6">
        <v>22.738</v>
      </c>
      <c r="L126" s="7">
        <v>919672</v>
      </c>
    </row>
    <row r="127" spans="1:12">
      <c r="A127" s="3">
        <v>123</v>
      </c>
      <c r="B127" s="4">
        <v>45837</v>
      </c>
      <c r="C127" s="5" t="s">
        <v>17</v>
      </c>
      <c r="D127" s="6">
        <v>24.9</v>
      </c>
      <c r="E127" s="6">
        <v>25</v>
      </c>
      <c r="F127" s="6">
        <v>24.7</v>
      </c>
      <c r="G127" s="6">
        <v>24.8</v>
      </c>
      <c r="H127" s="6">
        <v>24.9</v>
      </c>
      <c r="I127" s="6">
        <v>24.6</v>
      </c>
      <c r="J127" s="7">
        <v>1039</v>
      </c>
      <c r="K127" s="6">
        <v>32.262</v>
      </c>
      <c r="L127" s="7">
        <v>1298811</v>
      </c>
    </row>
    <row r="128" spans="1:12">
      <c r="A128" s="3">
        <v>124</v>
      </c>
      <c r="B128" s="4">
        <v>45834</v>
      </c>
      <c r="C128" s="5" t="s">
        <v>17</v>
      </c>
      <c r="D128" s="6">
        <v>24.6</v>
      </c>
      <c r="E128" s="6">
        <v>24.7</v>
      </c>
      <c r="F128" s="6">
        <v>24.2</v>
      </c>
      <c r="G128" s="6">
        <v>24.3</v>
      </c>
      <c r="H128" s="6">
        <v>24.6</v>
      </c>
      <c r="I128" s="6">
        <v>24.2</v>
      </c>
      <c r="J128" s="6">
        <v>952</v>
      </c>
      <c r="K128" s="6">
        <v>28.940999999999999</v>
      </c>
      <c r="L128" s="7">
        <v>1180634</v>
      </c>
    </row>
    <row r="129" spans="1:12">
      <c r="A129" s="3">
        <v>125</v>
      </c>
      <c r="B129" s="4">
        <v>45833</v>
      </c>
      <c r="C129" s="5" t="s">
        <v>17</v>
      </c>
      <c r="D129" s="6">
        <v>24.2</v>
      </c>
      <c r="E129" s="6">
        <v>24.3</v>
      </c>
      <c r="F129" s="6">
        <v>24.1</v>
      </c>
      <c r="G129" s="6">
        <v>24.2</v>
      </c>
      <c r="H129" s="6">
        <v>24.2</v>
      </c>
      <c r="I129" s="6">
        <v>24.1</v>
      </c>
      <c r="J129" s="6">
        <v>563</v>
      </c>
      <c r="K129" s="6">
        <v>19.535</v>
      </c>
      <c r="L129" s="7">
        <v>806769</v>
      </c>
    </row>
    <row r="130" spans="1:12">
      <c r="A130" s="3">
        <v>126</v>
      </c>
      <c r="B130" s="4">
        <v>45832</v>
      </c>
      <c r="C130" s="5" t="s">
        <v>17</v>
      </c>
      <c r="D130" s="6">
        <v>24.1</v>
      </c>
      <c r="E130" s="6">
        <v>24.2</v>
      </c>
      <c r="F130" s="6">
        <v>24</v>
      </c>
      <c r="G130" s="6">
        <v>24</v>
      </c>
      <c r="H130" s="6">
        <v>24.1</v>
      </c>
      <c r="I130" s="6">
        <v>23.8</v>
      </c>
      <c r="J130" s="6">
        <v>536</v>
      </c>
      <c r="K130" s="6">
        <v>13.31</v>
      </c>
      <c r="L130" s="7">
        <v>553533</v>
      </c>
    </row>
    <row r="131" spans="1:12">
      <c r="A131" s="3">
        <v>127</v>
      </c>
      <c r="B131" s="4">
        <v>45831</v>
      </c>
      <c r="C131" s="5" t="s">
        <v>17</v>
      </c>
      <c r="D131" s="6">
        <v>23.8</v>
      </c>
      <c r="E131" s="6">
        <v>24.2</v>
      </c>
      <c r="F131" s="6">
        <v>23.7</v>
      </c>
      <c r="G131" s="6">
        <v>23.7</v>
      </c>
      <c r="H131" s="6">
        <v>23.8</v>
      </c>
      <c r="I131" s="6">
        <v>23.7</v>
      </c>
      <c r="J131" s="6">
        <v>729</v>
      </c>
      <c r="K131" s="6">
        <v>18.984000000000002</v>
      </c>
      <c r="L131" s="7">
        <v>795149</v>
      </c>
    </row>
    <row r="132" spans="1:12">
      <c r="A132" s="3">
        <v>128</v>
      </c>
      <c r="B132" s="4">
        <v>45830</v>
      </c>
      <c r="C132" s="5" t="s">
        <v>17</v>
      </c>
      <c r="D132" s="6">
        <v>23.7</v>
      </c>
      <c r="E132" s="6">
        <v>24.3</v>
      </c>
      <c r="F132" s="6">
        <v>23.6</v>
      </c>
      <c r="G132" s="6">
        <v>24.3</v>
      </c>
      <c r="H132" s="6">
        <v>23.7</v>
      </c>
      <c r="I132" s="6">
        <v>24.3</v>
      </c>
      <c r="J132" s="6">
        <v>717</v>
      </c>
      <c r="K132" s="6">
        <v>19.873000000000001</v>
      </c>
      <c r="L132" s="7">
        <v>835184</v>
      </c>
    </row>
    <row r="133" spans="1:12">
      <c r="A133" s="3">
        <v>129</v>
      </c>
      <c r="B133" s="4">
        <v>45827</v>
      </c>
      <c r="C133" s="5" t="s">
        <v>17</v>
      </c>
      <c r="D133" s="6">
        <v>24.3</v>
      </c>
      <c r="E133" s="6">
        <v>24.4</v>
      </c>
      <c r="F133" s="6">
        <v>24.1</v>
      </c>
      <c r="G133" s="6">
        <v>24.3</v>
      </c>
      <c r="H133" s="6">
        <v>24.3</v>
      </c>
      <c r="I133" s="6">
        <v>24.3</v>
      </c>
      <c r="J133" s="6">
        <v>534</v>
      </c>
      <c r="K133" s="6">
        <v>17.731999999999999</v>
      </c>
      <c r="L133" s="7">
        <v>731117</v>
      </c>
    </row>
    <row r="134" spans="1:12">
      <c r="A134" s="3">
        <v>130</v>
      </c>
      <c r="B134" s="4">
        <v>45826</v>
      </c>
      <c r="C134" s="5" t="s">
        <v>17</v>
      </c>
      <c r="D134" s="6">
        <v>24.3</v>
      </c>
      <c r="E134" s="6">
        <v>24.4</v>
      </c>
      <c r="F134" s="6">
        <v>23.8</v>
      </c>
      <c r="G134" s="6">
        <v>24</v>
      </c>
      <c r="H134" s="6">
        <v>24.3</v>
      </c>
      <c r="I134" s="6">
        <v>23.9</v>
      </c>
      <c r="J134" s="6">
        <v>681</v>
      </c>
      <c r="K134" s="6">
        <v>19.292000000000002</v>
      </c>
      <c r="L134" s="7">
        <v>799416</v>
      </c>
    </row>
    <row r="135" spans="1:12">
      <c r="A135" s="3">
        <v>131</v>
      </c>
      <c r="B135" s="4">
        <v>45825</v>
      </c>
      <c r="C135" s="5" t="s">
        <v>17</v>
      </c>
      <c r="D135" s="6">
        <v>23.9</v>
      </c>
      <c r="E135" s="6">
        <v>24.5</v>
      </c>
      <c r="F135" s="6">
        <v>23.9</v>
      </c>
      <c r="G135" s="6">
        <v>24.5</v>
      </c>
      <c r="H135" s="6">
        <v>23.9</v>
      </c>
      <c r="I135" s="6">
        <v>24.4</v>
      </c>
      <c r="J135" s="6">
        <v>577</v>
      </c>
      <c r="K135" s="6">
        <v>14.257</v>
      </c>
      <c r="L135" s="7">
        <v>590466</v>
      </c>
    </row>
    <row r="136" spans="1:12">
      <c r="A136" s="3">
        <v>132</v>
      </c>
      <c r="B136" s="4">
        <v>45824</v>
      </c>
      <c r="C136" s="5" t="s">
        <v>17</v>
      </c>
      <c r="D136" s="6">
        <v>24.4</v>
      </c>
      <c r="E136" s="6">
        <v>24.5</v>
      </c>
      <c r="F136" s="6">
        <v>23.8</v>
      </c>
      <c r="G136" s="6">
        <v>24</v>
      </c>
      <c r="H136" s="6">
        <v>24.4</v>
      </c>
      <c r="I136" s="6">
        <v>23.8</v>
      </c>
      <c r="J136" s="6">
        <v>833</v>
      </c>
      <c r="K136" s="6">
        <v>24.009</v>
      </c>
      <c r="L136" s="7">
        <v>994407</v>
      </c>
    </row>
    <row r="137" spans="1:12">
      <c r="A137" s="3">
        <v>133</v>
      </c>
      <c r="B137" s="4">
        <v>45823</v>
      </c>
      <c r="C137" s="5" t="s">
        <v>17</v>
      </c>
      <c r="D137" s="6">
        <v>23.8</v>
      </c>
      <c r="E137" s="6">
        <v>24</v>
      </c>
      <c r="F137" s="6">
        <v>23.5</v>
      </c>
      <c r="G137" s="6">
        <v>23.9</v>
      </c>
      <c r="H137" s="6">
        <v>23.8</v>
      </c>
      <c r="I137" s="6">
        <v>24</v>
      </c>
      <c r="J137" s="6">
        <v>550</v>
      </c>
      <c r="K137" s="6">
        <v>16.893999999999998</v>
      </c>
      <c r="L137" s="7">
        <v>711598</v>
      </c>
    </row>
    <row r="138" spans="1:12">
      <c r="A138" s="3">
        <v>134</v>
      </c>
      <c r="B138" s="4">
        <v>45812</v>
      </c>
      <c r="C138" s="5" t="s">
        <v>17</v>
      </c>
      <c r="D138" s="6">
        <v>24</v>
      </c>
      <c r="E138" s="6">
        <v>24.1</v>
      </c>
      <c r="F138" s="6">
        <v>23.7</v>
      </c>
      <c r="G138" s="6">
        <v>23.9</v>
      </c>
      <c r="H138" s="6">
        <v>24</v>
      </c>
      <c r="I138" s="6">
        <v>23.8</v>
      </c>
      <c r="J138" s="6">
        <v>440</v>
      </c>
      <c r="K138" s="6">
        <v>12.766999999999999</v>
      </c>
      <c r="L138" s="7">
        <v>533258</v>
      </c>
    </row>
    <row r="139" spans="1:12">
      <c r="A139" s="3">
        <v>135</v>
      </c>
      <c r="B139" s="4">
        <v>45811</v>
      </c>
      <c r="C139" s="5" t="s">
        <v>17</v>
      </c>
      <c r="D139" s="6">
        <v>23.8</v>
      </c>
      <c r="E139" s="6">
        <v>24</v>
      </c>
      <c r="F139" s="6">
        <v>23.6</v>
      </c>
      <c r="G139" s="6">
        <v>23.9</v>
      </c>
      <c r="H139" s="6">
        <v>23.8</v>
      </c>
      <c r="I139" s="6">
        <v>23.8</v>
      </c>
      <c r="J139" s="6">
        <v>448</v>
      </c>
      <c r="K139" s="6">
        <v>13.989000000000001</v>
      </c>
      <c r="L139" s="7">
        <v>587953</v>
      </c>
    </row>
    <row r="140" spans="1:12">
      <c r="A140" s="3">
        <v>136</v>
      </c>
      <c r="B140" s="4">
        <v>45810</v>
      </c>
      <c r="C140" s="5" t="s">
        <v>17</v>
      </c>
      <c r="D140" s="6">
        <v>23.8</v>
      </c>
      <c r="E140" s="6">
        <v>23.9</v>
      </c>
      <c r="F140" s="6">
        <v>23.5</v>
      </c>
      <c r="G140" s="6">
        <v>23.6</v>
      </c>
      <c r="H140" s="6">
        <v>23.8</v>
      </c>
      <c r="I140" s="6">
        <v>23.5</v>
      </c>
      <c r="J140" s="6">
        <v>480</v>
      </c>
      <c r="K140" s="6">
        <v>17.96</v>
      </c>
      <c r="L140" s="7">
        <v>757948</v>
      </c>
    </row>
    <row r="141" spans="1:12">
      <c r="A141" s="3">
        <v>137</v>
      </c>
      <c r="B141" s="4">
        <v>45809</v>
      </c>
      <c r="C141" s="5" t="s">
        <v>17</v>
      </c>
      <c r="D141" s="6">
        <v>23.5</v>
      </c>
      <c r="E141" s="6">
        <v>23.9</v>
      </c>
      <c r="F141" s="6">
        <v>23.4</v>
      </c>
      <c r="G141" s="6">
        <v>23.5</v>
      </c>
      <c r="H141" s="6">
        <v>23.5</v>
      </c>
      <c r="I141" s="6">
        <v>23.5</v>
      </c>
      <c r="J141" s="6">
        <v>631</v>
      </c>
      <c r="K141" s="6">
        <v>18.126999999999999</v>
      </c>
      <c r="L141" s="7">
        <v>768286</v>
      </c>
    </row>
    <row r="142" spans="1:12">
      <c r="A142" s="3">
        <v>138</v>
      </c>
      <c r="B142" s="4">
        <v>45806</v>
      </c>
      <c r="C142" s="5" t="s">
        <v>17</v>
      </c>
      <c r="D142" s="6">
        <v>23.5</v>
      </c>
      <c r="E142" s="6">
        <v>23.7</v>
      </c>
      <c r="F142" s="6">
        <v>22.7</v>
      </c>
      <c r="G142" s="6">
        <v>22.9</v>
      </c>
      <c r="H142" s="6">
        <v>23.5</v>
      </c>
      <c r="I142" s="6">
        <v>22.9</v>
      </c>
      <c r="J142" s="6">
        <v>778</v>
      </c>
      <c r="K142" s="6">
        <v>21.158999999999999</v>
      </c>
      <c r="L142" s="7">
        <v>908063</v>
      </c>
    </row>
    <row r="143" spans="1:12">
      <c r="A143" s="3">
        <v>139</v>
      </c>
      <c r="B143" s="4">
        <v>45805</v>
      </c>
      <c r="C143" s="5" t="s">
        <v>17</v>
      </c>
      <c r="D143" s="6">
        <v>22.9</v>
      </c>
      <c r="E143" s="6">
        <v>23.3</v>
      </c>
      <c r="F143" s="6">
        <v>22.6</v>
      </c>
      <c r="G143" s="6">
        <v>23.1</v>
      </c>
      <c r="H143" s="6">
        <v>22.9</v>
      </c>
      <c r="I143" s="6">
        <v>23.1</v>
      </c>
      <c r="J143" s="6">
        <v>806</v>
      </c>
      <c r="K143" s="6">
        <v>22.96</v>
      </c>
      <c r="L143" s="7">
        <v>1002052</v>
      </c>
    </row>
    <row r="144" spans="1:12">
      <c r="A144" s="3">
        <v>140</v>
      </c>
      <c r="B144" s="4">
        <v>45804</v>
      </c>
      <c r="C144" s="5" t="s">
        <v>17</v>
      </c>
      <c r="D144" s="6">
        <v>23.1</v>
      </c>
      <c r="E144" s="6">
        <v>23.6</v>
      </c>
      <c r="F144" s="6">
        <v>23</v>
      </c>
      <c r="G144" s="6">
        <v>23.6</v>
      </c>
      <c r="H144" s="6">
        <v>23.1</v>
      </c>
      <c r="I144" s="6">
        <v>23.5</v>
      </c>
      <c r="J144" s="6">
        <v>901</v>
      </c>
      <c r="K144" s="6">
        <v>15.302</v>
      </c>
      <c r="L144" s="7">
        <v>658712</v>
      </c>
    </row>
    <row r="145" spans="1:12">
      <c r="A145" s="3">
        <v>141</v>
      </c>
      <c r="B145" s="4">
        <v>45803</v>
      </c>
      <c r="C145" s="5" t="s">
        <v>17</v>
      </c>
      <c r="D145" s="6">
        <v>23.5</v>
      </c>
      <c r="E145" s="6">
        <v>24</v>
      </c>
      <c r="F145" s="6">
        <v>23.4</v>
      </c>
      <c r="G145" s="6">
        <v>23.8</v>
      </c>
      <c r="H145" s="6">
        <v>23.5</v>
      </c>
      <c r="I145" s="6">
        <v>23.8</v>
      </c>
      <c r="J145" s="6">
        <v>807</v>
      </c>
      <c r="K145" s="6">
        <v>24.981000000000002</v>
      </c>
      <c r="L145" s="7">
        <v>1056105</v>
      </c>
    </row>
    <row r="146" spans="1:12">
      <c r="A146" s="3">
        <v>142</v>
      </c>
      <c r="B146" s="4">
        <v>45802</v>
      </c>
      <c r="C146" s="5" t="s">
        <v>17</v>
      </c>
      <c r="D146" s="6">
        <v>23.8</v>
      </c>
      <c r="E146" s="6">
        <v>24.1</v>
      </c>
      <c r="F146" s="6">
        <v>23.7</v>
      </c>
      <c r="G146" s="6">
        <v>23.8</v>
      </c>
      <c r="H146" s="6">
        <v>23.8</v>
      </c>
      <c r="I146" s="6">
        <v>23.8</v>
      </c>
      <c r="J146" s="6">
        <v>436</v>
      </c>
      <c r="K146" s="6">
        <v>12.781000000000001</v>
      </c>
      <c r="L146" s="7">
        <v>535703</v>
      </c>
    </row>
    <row r="147" spans="1:12">
      <c r="A147" s="3">
        <v>143</v>
      </c>
      <c r="B147" s="4">
        <v>45801</v>
      </c>
      <c r="C147" s="5" t="s">
        <v>17</v>
      </c>
      <c r="D147" s="6">
        <v>23.8</v>
      </c>
      <c r="E147" s="6">
        <v>24.1</v>
      </c>
      <c r="F147" s="6">
        <v>23.7</v>
      </c>
      <c r="G147" s="6">
        <v>24</v>
      </c>
      <c r="H147" s="6">
        <v>23.8</v>
      </c>
      <c r="I147" s="6">
        <v>24</v>
      </c>
      <c r="J147" s="6">
        <v>505</v>
      </c>
      <c r="K147" s="6">
        <v>9.7889999999999997</v>
      </c>
      <c r="L147" s="7">
        <v>410216</v>
      </c>
    </row>
    <row r="148" spans="1:12">
      <c r="A148" s="3">
        <v>144</v>
      </c>
      <c r="B148" s="4">
        <v>45799</v>
      </c>
      <c r="C148" s="5" t="s">
        <v>17</v>
      </c>
      <c r="D148" s="6">
        <v>24</v>
      </c>
      <c r="E148" s="6">
        <v>24.3</v>
      </c>
      <c r="F148" s="6">
        <v>23.9</v>
      </c>
      <c r="G148" s="6">
        <v>24.3</v>
      </c>
      <c r="H148" s="6">
        <v>24</v>
      </c>
      <c r="I148" s="6">
        <v>24.1</v>
      </c>
      <c r="J148" s="6">
        <v>512</v>
      </c>
      <c r="K148" s="6">
        <v>14.422000000000001</v>
      </c>
      <c r="L148" s="7">
        <v>599917</v>
      </c>
    </row>
    <row r="149" spans="1:12">
      <c r="A149" s="3">
        <v>145</v>
      </c>
      <c r="B149" s="4">
        <v>45798</v>
      </c>
      <c r="C149" s="5" t="s">
        <v>17</v>
      </c>
      <c r="D149" s="6">
        <v>24.1</v>
      </c>
      <c r="E149" s="6">
        <v>24.3</v>
      </c>
      <c r="F149" s="6">
        <v>24</v>
      </c>
      <c r="G149" s="6">
        <v>24.2</v>
      </c>
      <c r="H149" s="6">
        <v>24.1</v>
      </c>
      <c r="I149" s="6">
        <v>24.1</v>
      </c>
      <c r="J149" s="6">
        <v>539</v>
      </c>
      <c r="K149" s="6">
        <v>15.217000000000001</v>
      </c>
      <c r="L149" s="7">
        <v>630865</v>
      </c>
    </row>
    <row r="150" spans="1:12">
      <c r="A150" s="3">
        <v>146</v>
      </c>
      <c r="B150" s="4">
        <v>45797</v>
      </c>
      <c r="C150" s="5" t="s">
        <v>17</v>
      </c>
      <c r="D150" s="6">
        <v>24.1</v>
      </c>
      <c r="E150" s="6">
        <v>24.2</v>
      </c>
      <c r="F150" s="6">
        <v>24</v>
      </c>
      <c r="G150" s="6">
        <v>24.2</v>
      </c>
      <c r="H150" s="6">
        <v>24.1</v>
      </c>
      <c r="I150" s="6">
        <v>24</v>
      </c>
      <c r="J150" s="6">
        <v>437</v>
      </c>
      <c r="K150" s="6">
        <v>9.4429999999999996</v>
      </c>
      <c r="L150" s="7">
        <v>392208</v>
      </c>
    </row>
    <row r="151" spans="1:12">
      <c r="A151" s="3">
        <v>147</v>
      </c>
      <c r="B151" s="4">
        <v>45796</v>
      </c>
      <c r="C151" s="5" t="s">
        <v>17</v>
      </c>
      <c r="D151" s="6">
        <v>24</v>
      </c>
      <c r="E151" s="6">
        <v>24.2</v>
      </c>
      <c r="F151" s="6">
        <v>23.9</v>
      </c>
      <c r="G151" s="6">
        <v>24</v>
      </c>
      <c r="H151" s="6">
        <v>24</v>
      </c>
      <c r="I151" s="6">
        <v>24.1</v>
      </c>
      <c r="J151" s="6">
        <v>516</v>
      </c>
      <c r="K151" s="6">
        <v>13.198</v>
      </c>
      <c r="L151" s="7">
        <v>549275</v>
      </c>
    </row>
    <row r="152" spans="1:12">
      <c r="A152" s="3">
        <v>148</v>
      </c>
      <c r="B152" s="4">
        <v>45795</v>
      </c>
      <c r="C152" s="5" t="s">
        <v>17</v>
      </c>
      <c r="D152" s="6">
        <v>24.1</v>
      </c>
      <c r="E152" s="6">
        <v>24.6</v>
      </c>
      <c r="F152" s="6">
        <v>24</v>
      </c>
      <c r="G152" s="6">
        <v>24.4</v>
      </c>
      <c r="H152" s="6">
        <v>24.1</v>
      </c>
      <c r="I152" s="6">
        <v>24.4</v>
      </c>
      <c r="J152" s="6">
        <v>612</v>
      </c>
      <c r="K152" s="6">
        <v>13.196999999999999</v>
      </c>
      <c r="L152" s="7">
        <v>544277</v>
      </c>
    </row>
    <row r="153" spans="1:12">
      <c r="A153" s="3">
        <v>149</v>
      </c>
      <c r="B153" s="4">
        <v>45794</v>
      </c>
      <c r="C153" s="5" t="s">
        <v>17</v>
      </c>
      <c r="D153" s="6">
        <v>24.4</v>
      </c>
      <c r="E153" s="6">
        <v>24.7</v>
      </c>
      <c r="F153" s="6">
        <v>24</v>
      </c>
      <c r="G153" s="6">
        <v>24.7</v>
      </c>
      <c r="H153" s="6">
        <v>24.4</v>
      </c>
      <c r="I153" s="6">
        <v>24.6</v>
      </c>
      <c r="J153" s="6">
        <v>794</v>
      </c>
      <c r="K153" s="6">
        <v>27.106999999999999</v>
      </c>
      <c r="L153" s="7">
        <v>1117417</v>
      </c>
    </row>
    <row r="154" spans="1:12">
      <c r="A154" s="3">
        <v>150</v>
      </c>
      <c r="B154" s="4">
        <v>45792</v>
      </c>
      <c r="C154" s="5" t="s">
        <v>17</v>
      </c>
      <c r="D154" s="6">
        <v>24.6</v>
      </c>
      <c r="E154" s="6">
        <v>24.9</v>
      </c>
      <c r="F154" s="6">
        <v>24.5</v>
      </c>
      <c r="G154" s="6">
        <v>24.9</v>
      </c>
      <c r="H154" s="6">
        <v>24.6</v>
      </c>
      <c r="I154" s="6">
        <v>24.9</v>
      </c>
      <c r="J154" s="6">
        <v>592</v>
      </c>
      <c r="K154" s="6">
        <v>17.311</v>
      </c>
      <c r="L154" s="7">
        <v>704095</v>
      </c>
    </row>
    <row r="155" spans="1:12">
      <c r="A155" s="3">
        <v>151</v>
      </c>
      <c r="B155" s="4">
        <v>45791</v>
      </c>
      <c r="C155" s="5" t="s">
        <v>17</v>
      </c>
      <c r="D155" s="6">
        <v>24.9</v>
      </c>
      <c r="E155" s="6">
        <v>25</v>
      </c>
      <c r="F155" s="6">
        <v>24.5</v>
      </c>
      <c r="G155" s="6">
        <v>25</v>
      </c>
      <c r="H155" s="6">
        <v>24.9</v>
      </c>
      <c r="I155" s="6">
        <v>24.9</v>
      </c>
      <c r="J155" s="6">
        <v>730</v>
      </c>
      <c r="K155" s="6">
        <v>32.274999999999999</v>
      </c>
      <c r="L155" s="7">
        <v>1305133</v>
      </c>
    </row>
    <row r="156" spans="1:12">
      <c r="A156" s="3">
        <v>152</v>
      </c>
      <c r="B156" s="4">
        <v>45790</v>
      </c>
      <c r="C156" s="5" t="s">
        <v>17</v>
      </c>
      <c r="D156" s="6">
        <v>24.9</v>
      </c>
      <c r="E156" s="6">
        <v>25.1</v>
      </c>
      <c r="F156" s="6">
        <v>24.8</v>
      </c>
      <c r="G156" s="6">
        <v>25.1</v>
      </c>
      <c r="H156" s="6">
        <v>24.9</v>
      </c>
      <c r="I156" s="6">
        <v>24.9</v>
      </c>
      <c r="J156" s="6">
        <v>568</v>
      </c>
      <c r="K156" s="6">
        <v>20.428000000000001</v>
      </c>
      <c r="L156" s="7">
        <v>819408</v>
      </c>
    </row>
    <row r="157" spans="1:12">
      <c r="A157" s="3">
        <v>153</v>
      </c>
      <c r="B157" s="4">
        <v>45789</v>
      </c>
      <c r="C157" s="5" t="s">
        <v>17</v>
      </c>
      <c r="D157" s="6">
        <v>24.9</v>
      </c>
      <c r="E157" s="6">
        <v>25.1</v>
      </c>
      <c r="F157" s="6">
        <v>24.8</v>
      </c>
      <c r="G157" s="6">
        <v>25</v>
      </c>
      <c r="H157" s="6">
        <v>24.9</v>
      </c>
      <c r="I157" s="6">
        <v>24.9</v>
      </c>
      <c r="J157" s="6">
        <v>556</v>
      </c>
      <c r="K157" s="6">
        <v>22.544</v>
      </c>
      <c r="L157" s="7">
        <v>904476</v>
      </c>
    </row>
    <row r="158" spans="1:12">
      <c r="A158" s="3">
        <v>154</v>
      </c>
      <c r="B158" s="4">
        <v>45785</v>
      </c>
      <c r="C158" s="5" t="s">
        <v>17</v>
      </c>
      <c r="D158" s="6">
        <v>24.9</v>
      </c>
      <c r="E158" s="6">
        <v>25</v>
      </c>
      <c r="F158" s="6">
        <v>24.4</v>
      </c>
      <c r="G158" s="6">
        <v>24.5</v>
      </c>
      <c r="H158" s="6">
        <v>24.9</v>
      </c>
      <c r="I158" s="6">
        <v>24.3</v>
      </c>
      <c r="J158" s="6">
        <v>623</v>
      </c>
      <c r="K158" s="6">
        <v>22.102</v>
      </c>
      <c r="L158" s="7">
        <v>893753</v>
      </c>
    </row>
    <row r="159" spans="1:12">
      <c r="A159" s="3">
        <v>155</v>
      </c>
      <c r="B159" s="4">
        <v>45784</v>
      </c>
      <c r="C159" s="5" t="s">
        <v>17</v>
      </c>
      <c r="D159" s="6">
        <v>24.3</v>
      </c>
      <c r="E159" s="6">
        <v>24.9</v>
      </c>
      <c r="F159" s="6">
        <v>24.1</v>
      </c>
      <c r="G159" s="6">
        <v>24.9</v>
      </c>
      <c r="H159" s="6">
        <v>24.3</v>
      </c>
      <c r="I159" s="6">
        <v>25.1</v>
      </c>
      <c r="J159" s="7">
        <v>1140</v>
      </c>
      <c r="K159" s="6">
        <v>41.505000000000003</v>
      </c>
      <c r="L159" s="7">
        <v>1691819</v>
      </c>
    </row>
    <row r="160" spans="1:12">
      <c r="A160" s="3">
        <v>156</v>
      </c>
      <c r="B160" s="4">
        <v>45783</v>
      </c>
      <c r="C160" s="5" t="s">
        <v>17</v>
      </c>
      <c r="D160" s="6">
        <v>25.1</v>
      </c>
      <c r="E160" s="6">
        <v>25.4</v>
      </c>
      <c r="F160" s="6">
        <v>25</v>
      </c>
      <c r="G160" s="6">
        <v>25.2</v>
      </c>
      <c r="H160" s="6">
        <v>25.1</v>
      </c>
      <c r="I160" s="6">
        <v>25.2</v>
      </c>
      <c r="J160" s="6">
        <v>592</v>
      </c>
      <c r="K160" s="6">
        <v>21.657</v>
      </c>
      <c r="L160" s="7">
        <v>862140</v>
      </c>
    </row>
    <row r="161" spans="1:12">
      <c r="A161" s="3">
        <v>157</v>
      </c>
      <c r="B161" s="4">
        <v>45782</v>
      </c>
      <c r="C161" s="5" t="s">
        <v>17</v>
      </c>
      <c r="D161" s="6">
        <v>25.2</v>
      </c>
      <c r="E161" s="6">
        <v>25.5</v>
      </c>
      <c r="F161" s="6">
        <v>25.1</v>
      </c>
      <c r="G161" s="6">
        <v>25.4</v>
      </c>
      <c r="H161" s="6">
        <v>25.2</v>
      </c>
      <c r="I161" s="6">
        <v>25.2</v>
      </c>
      <c r="J161" s="6">
        <v>567</v>
      </c>
      <c r="K161" s="6">
        <v>19.907</v>
      </c>
      <c r="L161" s="7">
        <v>789536</v>
      </c>
    </row>
    <row r="162" spans="1:12">
      <c r="A162" s="3">
        <v>158</v>
      </c>
      <c r="B162" s="4">
        <v>45781</v>
      </c>
      <c r="C162" s="5" t="s">
        <v>17</v>
      </c>
      <c r="D162" s="6">
        <v>25.2</v>
      </c>
      <c r="E162" s="6">
        <v>25.4</v>
      </c>
      <c r="F162" s="6">
        <v>24.9</v>
      </c>
      <c r="G162" s="6">
        <v>25</v>
      </c>
      <c r="H162" s="6">
        <v>25.2</v>
      </c>
      <c r="I162" s="6">
        <v>24.9</v>
      </c>
      <c r="J162" s="6">
        <v>585</v>
      </c>
      <c r="K162" s="6">
        <v>20.675999999999998</v>
      </c>
      <c r="L162" s="7">
        <v>825708</v>
      </c>
    </row>
    <row r="163" spans="1:12">
      <c r="A163" s="3">
        <v>159</v>
      </c>
      <c r="B163" s="4">
        <v>45777</v>
      </c>
      <c r="C163" s="5" t="s">
        <v>17</v>
      </c>
      <c r="D163" s="6">
        <v>24.9</v>
      </c>
      <c r="E163" s="6">
        <v>25.3</v>
      </c>
      <c r="F163" s="6">
        <v>24.8</v>
      </c>
      <c r="G163" s="6">
        <v>25.3</v>
      </c>
      <c r="H163" s="6">
        <v>24.9</v>
      </c>
      <c r="I163" s="6">
        <v>25</v>
      </c>
      <c r="J163" s="6">
        <v>626</v>
      </c>
      <c r="K163" s="6">
        <v>19.835999999999999</v>
      </c>
      <c r="L163" s="7">
        <v>794200</v>
      </c>
    </row>
    <row r="164" spans="1:12">
      <c r="A164" s="3">
        <v>160</v>
      </c>
      <c r="B164" s="4">
        <v>45776</v>
      </c>
      <c r="C164" s="5" t="s">
        <v>17</v>
      </c>
      <c r="D164" s="6">
        <v>25</v>
      </c>
      <c r="E164" s="6">
        <v>25.5</v>
      </c>
      <c r="F164" s="6">
        <v>25</v>
      </c>
      <c r="G164" s="6">
        <v>25.5</v>
      </c>
      <c r="H164" s="6">
        <v>25</v>
      </c>
      <c r="I164" s="6">
        <v>25</v>
      </c>
      <c r="J164" s="6">
        <v>522</v>
      </c>
      <c r="K164" s="6">
        <v>16.469000000000001</v>
      </c>
      <c r="L164" s="7">
        <v>657631</v>
      </c>
    </row>
    <row r="165" spans="1:12">
      <c r="A165" s="3">
        <v>161</v>
      </c>
      <c r="B165" s="4">
        <v>45775</v>
      </c>
      <c r="C165" s="5" t="s">
        <v>17</v>
      </c>
      <c r="D165" s="6">
        <v>25</v>
      </c>
      <c r="E165" s="6">
        <v>25.4</v>
      </c>
      <c r="F165" s="6">
        <v>24.9</v>
      </c>
      <c r="G165" s="6">
        <v>25.4</v>
      </c>
      <c r="H165" s="6">
        <v>25</v>
      </c>
      <c r="I165" s="6">
        <v>25.3</v>
      </c>
      <c r="J165" s="6">
        <v>718</v>
      </c>
      <c r="K165" s="6">
        <v>30.773</v>
      </c>
      <c r="L165" s="7">
        <v>1225439</v>
      </c>
    </row>
    <row r="166" spans="1:12">
      <c r="A166" s="3">
        <v>162</v>
      </c>
      <c r="B166" s="4">
        <v>45774</v>
      </c>
      <c r="C166" s="5" t="s">
        <v>17</v>
      </c>
      <c r="D166" s="6">
        <v>25.3</v>
      </c>
      <c r="E166" s="6">
        <v>25.4</v>
      </c>
      <c r="F166" s="6">
        <v>24.8</v>
      </c>
      <c r="G166" s="6">
        <v>25.3</v>
      </c>
      <c r="H166" s="6">
        <v>25.3</v>
      </c>
      <c r="I166" s="6">
        <v>25.3</v>
      </c>
      <c r="J166" s="6">
        <v>819</v>
      </c>
      <c r="K166" s="6">
        <v>27.416</v>
      </c>
      <c r="L166" s="7">
        <v>1094887</v>
      </c>
    </row>
    <row r="167" spans="1:12">
      <c r="A167" s="3">
        <v>163</v>
      </c>
      <c r="B167" s="4">
        <v>45771</v>
      </c>
      <c r="C167" s="5" t="s">
        <v>17</v>
      </c>
      <c r="D167" s="6">
        <v>25.3</v>
      </c>
      <c r="E167" s="6">
        <v>25.5</v>
      </c>
      <c r="F167" s="6">
        <v>25.2</v>
      </c>
      <c r="G167" s="6">
        <v>25.4</v>
      </c>
      <c r="H167" s="6">
        <v>25.3</v>
      </c>
      <c r="I167" s="6">
        <v>25.4</v>
      </c>
      <c r="J167" s="6">
        <v>683</v>
      </c>
      <c r="K167" s="6">
        <v>25.038</v>
      </c>
      <c r="L167" s="7">
        <v>989812</v>
      </c>
    </row>
    <row r="168" spans="1:12">
      <c r="A168" s="3">
        <v>164</v>
      </c>
      <c r="B168" s="4">
        <v>45770</v>
      </c>
      <c r="C168" s="5" t="s">
        <v>17</v>
      </c>
      <c r="D168" s="6">
        <v>25.4</v>
      </c>
      <c r="E168" s="6">
        <v>25.6</v>
      </c>
      <c r="F168" s="6">
        <v>25.4</v>
      </c>
      <c r="G168" s="6">
        <v>25.5</v>
      </c>
      <c r="H168" s="6">
        <v>25.4</v>
      </c>
      <c r="I168" s="6">
        <v>25.4</v>
      </c>
      <c r="J168" s="6">
        <v>578</v>
      </c>
      <c r="K168" s="6">
        <v>22.120999999999999</v>
      </c>
      <c r="L168" s="7">
        <v>868439</v>
      </c>
    </row>
    <row r="169" spans="1:12">
      <c r="A169" s="3">
        <v>165</v>
      </c>
      <c r="B169" s="4">
        <v>45769</v>
      </c>
      <c r="C169" s="5" t="s">
        <v>17</v>
      </c>
      <c r="D169" s="6">
        <v>25.4</v>
      </c>
      <c r="E169" s="6">
        <v>25.6</v>
      </c>
      <c r="F169" s="6">
        <v>25.3</v>
      </c>
      <c r="G169" s="6">
        <v>25.5</v>
      </c>
      <c r="H169" s="6">
        <v>25.4</v>
      </c>
      <c r="I169" s="6">
        <v>25.5</v>
      </c>
      <c r="J169" s="6">
        <v>543</v>
      </c>
      <c r="K169" s="6">
        <v>22.045000000000002</v>
      </c>
      <c r="L169" s="7">
        <v>868603</v>
      </c>
    </row>
    <row r="170" spans="1:12">
      <c r="A170" s="3">
        <v>166</v>
      </c>
      <c r="B170" s="4">
        <v>45768</v>
      </c>
      <c r="C170" s="5" t="s">
        <v>17</v>
      </c>
      <c r="D170" s="6">
        <v>25.5</v>
      </c>
      <c r="E170" s="6">
        <v>25.7</v>
      </c>
      <c r="F170" s="6">
        <v>25.4</v>
      </c>
      <c r="G170" s="6">
        <v>25.5</v>
      </c>
      <c r="H170" s="6">
        <v>25.5</v>
      </c>
      <c r="I170" s="6">
        <v>25.5</v>
      </c>
      <c r="J170" s="6">
        <v>620</v>
      </c>
      <c r="K170" s="6">
        <v>23.521999999999998</v>
      </c>
      <c r="L170" s="7">
        <v>922063</v>
      </c>
    </row>
    <row r="171" spans="1:12">
      <c r="A171" s="3">
        <v>167</v>
      </c>
      <c r="B171" s="4">
        <v>45767</v>
      </c>
      <c r="C171" s="5" t="s">
        <v>17</v>
      </c>
      <c r="D171" s="6">
        <v>25.5</v>
      </c>
      <c r="E171" s="6">
        <v>26</v>
      </c>
      <c r="F171" s="6">
        <v>25.5</v>
      </c>
      <c r="G171" s="6">
        <v>26</v>
      </c>
      <c r="H171" s="6">
        <v>25.5</v>
      </c>
      <c r="I171" s="6">
        <v>25.7</v>
      </c>
      <c r="J171" s="6">
        <v>631</v>
      </c>
      <c r="K171" s="6">
        <v>16.149999999999999</v>
      </c>
      <c r="L171" s="7">
        <v>631204</v>
      </c>
    </row>
    <row r="172" spans="1:12">
      <c r="A172" s="3">
        <v>168</v>
      </c>
      <c r="B172" s="4">
        <v>45764</v>
      </c>
      <c r="C172" s="5" t="s">
        <v>17</v>
      </c>
      <c r="D172" s="6">
        <v>25.7</v>
      </c>
      <c r="E172" s="6">
        <v>26</v>
      </c>
      <c r="F172" s="6">
        <v>25.6</v>
      </c>
      <c r="G172" s="6">
        <v>26</v>
      </c>
      <c r="H172" s="6">
        <v>25.7</v>
      </c>
      <c r="I172" s="6">
        <v>25.8</v>
      </c>
      <c r="J172" s="6">
        <v>493</v>
      </c>
      <c r="K172" s="6">
        <v>17.626999999999999</v>
      </c>
      <c r="L172" s="7">
        <v>685517</v>
      </c>
    </row>
    <row r="173" spans="1:12">
      <c r="A173" s="3">
        <v>169</v>
      </c>
      <c r="B173" s="4">
        <v>45763</v>
      </c>
      <c r="C173" s="5" t="s">
        <v>17</v>
      </c>
      <c r="D173" s="6">
        <v>25.8</v>
      </c>
      <c r="E173" s="6">
        <v>26</v>
      </c>
      <c r="F173" s="6">
        <v>25.8</v>
      </c>
      <c r="G173" s="6">
        <v>25.8</v>
      </c>
      <c r="H173" s="6">
        <v>25.8</v>
      </c>
      <c r="I173" s="6">
        <v>25.9</v>
      </c>
      <c r="J173" s="6">
        <v>712</v>
      </c>
      <c r="K173" s="6">
        <v>35.134</v>
      </c>
      <c r="L173" s="7">
        <v>1357959</v>
      </c>
    </row>
    <row r="174" spans="1:12">
      <c r="A174" s="3">
        <v>170</v>
      </c>
      <c r="B174" s="4">
        <v>45762</v>
      </c>
      <c r="C174" s="5" t="s">
        <v>17</v>
      </c>
      <c r="D174" s="6">
        <v>25.9</v>
      </c>
      <c r="E174" s="6">
        <v>26.5</v>
      </c>
      <c r="F174" s="6">
        <v>25.8</v>
      </c>
      <c r="G174" s="6">
        <v>26.5</v>
      </c>
      <c r="H174" s="6">
        <v>25.9</v>
      </c>
      <c r="I174" s="6">
        <v>26</v>
      </c>
      <c r="J174" s="6">
        <v>580</v>
      </c>
      <c r="K174" s="6">
        <v>23.559000000000001</v>
      </c>
      <c r="L174" s="7">
        <v>907434</v>
      </c>
    </row>
    <row r="175" spans="1:12">
      <c r="A175" s="3">
        <v>171</v>
      </c>
      <c r="B175" s="4">
        <v>45760</v>
      </c>
      <c r="C175" s="5" t="s">
        <v>17</v>
      </c>
      <c r="D175" s="6">
        <v>26</v>
      </c>
      <c r="E175" s="6">
        <v>26.3</v>
      </c>
      <c r="F175" s="6">
        <v>26</v>
      </c>
      <c r="G175" s="6">
        <v>26.2</v>
      </c>
      <c r="H175" s="6">
        <v>26</v>
      </c>
      <c r="I175" s="6">
        <v>26.2</v>
      </c>
      <c r="J175" s="6">
        <v>697</v>
      </c>
      <c r="K175" s="6">
        <v>21.236999999999998</v>
      </c>
      <c r="L175" s="7">
        <v>813179</v>
      </c>
    </row>
    <row r="176" spans="1:12">
      <c r="A176" s="3">
        <v>172</v>
      </c>
      <c r="B176" s="4">
        <v>45757</v>
      </c>
      <c r="C176" s="5" t="s">
        <v>17</v>
      </c>
      <c r="D176" s="6">
        <v>26.2</v>
      </c>
      <c r="E176" s="6">
        <v>26.4</v>
      </c>
      <c r="F176" s="6">
        <v>26.1</v>
      </c>
      <c r="G176" s="6">
        <v>26.2</v>
      </c>
      <c r="H176" s="6">
        <v>26.2</v>
      </c>
      <c r="I176" s="6">
        <v>26.1</v>
      </c>
      <c r="J176" s="6">
        <v>699</v>
      </c>
      <c r="K176" s="6">
        <v>26.986999999999998</v>
      </c>
      <c r="L176" s="7">
        <v>1028267</v>
      </c>
    </row>
    <row r="177" spans="1:12">
      <c r="A177" s="3">
        <v>173</v>
      </c>
      <c r="B177" s="4">
        <v>45756</v>
      </c>
      <c r="C177" s="5" t="s">
        <v>17</v>
      </c>
      <c r="D177" s="6">
        <v>26.1</v>
      </c>
      <c r="E177" s="6">
        <v>26.3</v>
      </c>
      <c r="F177" s="6">
        <v>26</v>
      </c>
      <c r="G177" s="6">
        <v>26.2</v>
      </c>
      <c r="H177" s="6">
        <v>26.1</v>
      </c>
      <c r="I177" s="6">
        <v>26</v>
      </c>
      <c r="J177" s="6">
        <v>663</v>
      </c>
      <c r="K177" s="6">
        <v>25.524999999999999</v>
      </c>
      <c r="L177" s="7">
        <v>976534</v>
      </c>
    </row>
    <row r="178" spans="1:12">
      <c r="A178" s="3">
        <v>174</v>
      </c>
      <c r="B178" s="4">
        <v>45755</v>
      </c>
      <c r="C178" s="5" t="s">
        <v>17</v>
      </c>
      <c r="D178" s="6">
        <v>26</v>
      </c>
      <c r="E178" s="6">
        <v>26.4</v>
      </c>
      <c r="F178" s="6">
        <v>25.9</v>
      </c>
      <c r="G178" s="6">
        <v>26.4</v>
      </c>
      <c r="H178" s="6">
        <v>26</v>
      </c>
      <c r="I178" s="6">
        <v>26.3</v>
      </c>
      <c r="J178" s="6">
        <v>995</v>
      </c>
      <c r="K178" s="6">
        <v>47.526000000000003</v>
      </c>
      <c r="L178" s="7">
        <v>1821472</v>
      </c>
    </row>
    <row r="179" spans="1:12">
      <c r="A179" s="3">
        <v>175</v>
      </c>
      <c r="B179" s="4">
        <v>45754</v>
      </c>
      <c r="C179" s="5" t="s">
        <v>17</v>
      </c>
      <c r="D179" s="6">
        <v>26.3</v>
      </c>
      <c r="E179" s="6">
        <v>26.7</v>
      </c>
      <c r="F179" s="6">
        <v>26.2</v>
      </c>
      <c r="G179" s="6">
        <v>26.5</v>
      </c>
      <c r="H179" s="6">
        <v>26.3</v>
      </c>
      <c r="I179" s="6">
        <v>26.1</v>
      </c>
      <c r="J179" s="7">
        <v>1211</v>
      </c>
      <c r="K179" s="6">
        <v>49.613</v>
      </c>
      <c r="L179" s="7">
        <v>1875857</v>
      </c>
    </row>
    <row r="180" spans="1:12">
      <c r="A180" s="3">
        <v>176</v>
      </c>
      <c r="B180" s="4">
        <v>45753</v>
      </c>
      <c r="C180" s="5" t="s">
        <v>17</v>
      </c>
      <c r="D180" s="6">
        <v>26.1</v>
      </c>
      <c r="E180" s="6">
        <v>26.5</v>
      </c>
      <c r="F180" s="6">
        <v>25.5</v>
      </c>
      <c r="G180" s="6">
        <v>25.8</v>
      </c>
      <c r="H180" s="6">
        <v>26.1</v>
      </c>
      <c r="I180" s="6">
        <v>26.1</v>
      </c>
      <c r="J180" s="7">
        <v>1143</v>
      </c>
      <c r="K180" s="6">
        <v>51.857999999999997</v>
      </c>
      <c r="L180" s="7">
        <v>2006719</v>
      </c>
    </row>
    <row r="181" spans="1:12">
      <c r="A181" s="3">
        <v>177</v>
      </c>
      <c r="B181" s="4">
        <v>45743</v>
      </c>
      <c r="C181" s="5" t="s">
        <v>17</v>
      </c>
      <c r="D181" s="6">
        <v>26.1</v>
      </c>
      <c r="E181" s="6">
        <v>26.1</v>
      </c>
      <c r="F181" s="6">
        <v>25.9</v>
      </c>
      <c r="G181" s="6">
        <v>26.1</v>
      </c>
      <c r="H181" s="6">
        <v>26.1</v>
      </c>
      <c r="I181" s="6">
        <v>26</v>
      </c>
      <c r="J181" s="6">
        <v>613</v>
      </c>
      <c r="K181" s="6">
        <v>19.2</v>
      </c>
      <c r="L181" s="7">
        <v>737955</v>
      </c>
    </row>
    <row r="182" spans="1:12">
      <c r="A182" s="3">
        <v>178</v>
      </c>
      <c r="B182" s="4">
        <v>45741</v>
      </c>
      <c r="C182" s="5" t="s">
        <v>17</v>
      </c>
      <c r="D182" s="6">
        <v>26</v>
      </c>
      <c r="E182" s="6">
        <v>26.1</v>
      </c>
      <c r="F182" s="6">
        <v>25.7</v>
      </c>
      <c r="G182" s="6">
        <v>25.8</v>
      </c>
      <c r="H182" s="6">
        <v>26</v>
      </c>
      <c r="I182" s="6">
        <v>25.6</v>
      </c>
      <c r="J182" s="6">
        <v>688</v>
      </c>
      <c r="K182" s="6">
        <v>20.29</v>
      </c>
      <c r="L182" s="7">
        <v>781853</v>
      </c>
    </row>
    <row r="183" spans="1:12">
      <c r="A183" s="3">
        <v>179</v>
      </c>
      <c r="B183" s="4">
        <v>45740</v>
      </c>
      <c r="C183" s="5" t="s">
        <v>17</v>
      </c>
      <c r="D183" s="6">
        <v>25.6</v>
      </c>
      <c r="E183" s="6">
        <v>25.9</v>
      </c>
      <c r="F183" s="6">
        <v>25.6</v>
      </c>
      <c r="G183" s="6">
        <v>25.6</v>
      </c>
      <c r="H183" s="6">
        <v>25.6</v>
      </c>
      <c r="I183" s="6">
        <v>25.6</v>
      </c>
      <c r="J183" s="6">
        <v>702</v>
      </c>
      <c r="K183" s="6">
        <v>24.834</v>
      </c>
      <c r="L183" s="7">
        <v>966993</v>
      </c>
    </row>
    <row r="184" spans="1:12">
      <c r="A184" s="3">
        <v>180</v>
      </c>
      <c r="B184" s="4">
        <v>45739</v>
      </c>
      <c r="C184" s="5" t="s">
        <v>17</v>
      </c>
      <c r="D184" s="6">
        <v>25.6</v>
      </c>
      <c r="E184" s="6">
        <v>26.1</v>
      </c>
      <c r="F184" s="6">
        <v>25.5</v>
      </c>
      <c r="G184" s="6">
        <v>26</v>
      </c>
      <c r="H184" s="6">
        <v>25.6</v>
      </c>
      <c r="I184" s="6">
        <v>26</v>
      </c>
      <c r="J184" s="6">
        <v>979</v>
      </c>
      <c r="K184" s="6">
        <v>27.05</v>
      </c>
      <c r="L184" s="7">
        <v>1053151</v>
      </c>
    </row>
    <row r="185" spans="1:12">
      <c r="A185" s="3">
        <v>181</v>
      </c>
      <c r="B185" s="4">
        <v>45736</v>
      </c>
      <c r="C185" s="5" t="s">
        <v>17</v>
      </c>
      <c r="D185" s="6">
        <v>26</v>
      </c>
      <c r="E185" s="6">
        <v>26.3</v>
      </c>
      <c r="F185" s="6">
        <v>25.9</v>
      </c>
      <c r="G185" s="6">
        <v>26.3</v>
      </c>
      <c r="H185" s="6">
        <v>26</v>
      </c>
      <c r="I185" s="6">
        <v>26.2</v>
      </c>
      <c r="J185" s="7">
        <v>1116</v>
      </c>
      <c r="K185" s="6">
        <v>28.119</v>
      </c>
      <c r="L185" s="7">
        <v>1080216</v>
      </c>
    </row>
    <row r="186" spans="1:12">
      <c r="A186" s="3">
        <v>182</v>
      </c>
      <c r="B186" s="4">
        <v>45735</v>
      </c>
      <c r="C186" s="5" t="s">
        <v>17</v>
      </c>
      <c r="D186" s="6">
        <v>26.2</v>
      </c>
      <c r="E186" s="6">
        <v>26.6</v>
      </c>
      <c r="F186" s="6">
        <v>26.1</v>
      </c>
      <c r="G186" s="6">
        <v>26.6</v>
      </c>
      <c r="H186" s="6">
        <v>26.2</v>
      </c>
      <c r="I186" s="6">
        <v>26.4</v>
      </c>
      <c r="J186" s="6">
        <v>853</v>
      </c>
      <c r="K186" s="6">
        <v>24.2</v>
      </c>
      <c r="L186" s="7">
        <v>921670</v>
      </c>
    </row>
    <row r="187" spans="1:12">
      <c r="A187" s="3">
        <v>183</v>
      </c>
      <c r="B187" s="4">
        <v>45734</v>
      </c>
      <c r="C187" s="5" t="s">
        <v>17</v>
      </c>
      <c r="D187" s="6">
        <v>26.4</v>
      </c>
      <c r="E187" s="6">
        <v>26.8</v>
      </c>
      <c r="F187" s="6">
        <v>26.2</v>
      </c>
      <c r="G187" s="6">
        <v>26.2</v>
      </c>
      <c r="H187" s="6">
        <v>26.4</v>
      </c>
      <c r="I187" s="6">
        <v>26.2</v>
      </c>
      <c r="J187" s="6">
        <v>821</v>
      </c>
      <c r="K187" s="6">
        <v>33.453000000000003</v>
      </c>
      <c r="L187" s="7">
        <v>1261686</v>
      </c>
    </row>
    <row r="188" spans="1:12">
      <c r="A188" s="3">
        <v>184</v>
      </c>
      <c r="B188" s="4">
        <v>45733</v>
      </c>
      <c r="C188" s="5" t="s">
        <v>17</v>
      </c>
      <c r="D188" s="6">
        <v>26.2</v>
      </c>
      <c r="E188" s="6">
        <v>27.3</v>
      </c>
      <c r="F188" s="6">
        <v>26.1</v>
      </c>
      <c r="G188" s="6">
        <v>27.3</v>
      </c>
      <c r="H188" s="6">
        <v>26.2</v>
      </c>
      <c r="I188" s="6">
        <v>28.1</v>
      </c>
      <c r="J188" s="7">
        <v>2217</v>
      </c>
      <c r="K188" s="6">
        <v>73.997</v>
      </c>
      <c r="L188" s="7">
        <v>2802355</v>
      </c>
    </row>
    <row r="189" spans="1:12">
      <c r="A189" s="3">
        <v>185</v>
      </c>
      <c r="B189" s="4">
        <v>45732</v>
      </c>
      <c r="C189" s="5" t="s">
        <v>17</v>
      </c>
      <c r="D189" s="6">
        <v>0</v>
      </c>
      <c r="E189" s="6">
        <v>0</v>
      </c>
      <c r="F189" s="6">
        <v>0</v>
      </c>
      <c r="G189" s="6">
        <v>0</v>
      </c>
      <c r="H189" s="6">
        <v>28.1</v>
      </c>
      <c r="I189" s="6">
        <v>28.1</v>
      </c>
      <c r="J189" s="6">
        <v>0</v>
      </c>
      <c r="K189" s="6">
        <v>0</v>
      </c>
      <c r="L189" s="6">
        <v>0</v>
      </c>
    </row>
    <row r="190" spans="1:12">
      <c r="A190" s="3">
        <v>186</v>
      </c>
      <c r="B190" s="4">
        <v>45729</v>
      </c>
      <c r="C190" s="5" t="s">
        <v>17</v>
      </c>
      <c r="D190" s="6">
        <v>28.1</v>
      </c>
      <c r="E190" s="6">
        <v>28.3</v>
      </c>
      <c r="F190" s="6">
        <v>27.9</v>
      </c>
      <c r="G190" s="6">
        <v>28.1</v>
      </c>
      <c r="H190" s="6">
        <v>28.1</v>
      </c>
      <c r="I190" s="6">
        <v>28</v>
      </c>
      <c r="J190" s="7">
        <v>1443</v>
      </c>
      <c r="K190" s="6">
        <v>71.905000000000001</v>
      </c>
      <c r="L190" s="7">
        <v>2558722</v>
      </c>
    </row>
    <row r="191" spans="1:12">
      <c r="A191" s="3">
        <v>187</v>
      </c>
      <c r="B191" s="4">
        <v>45728</v>
      </c>
      <c r="C191" s="5" t="s">
        <v>17</v>
      </c>
      <c r="D191" s="6">
        <v>28</v>
      </c>
      <c r="E191" s="6">
        <v>28.4</v>
      </c>
      <c r="F191" s="6">
        <v>27.9</v>
      </c>
      <c r="G191" s="6">
        <v>28.3</v>
      </c>
      <c r="H191" s="6">
        <v>28</v>
      </c>
      <c r="I191" s="6">
        <v>28.3</v>
      </c>
      <c r="J191" s="7">
        <v>1787</v>
      </c>
      <c r="K191" s="6">
        <v>76.162000000000006</v>
      </c>
      <c r="L191" s="7">
        <v>2712266</v>
      </c>
    </row>
    <row r="192" spans="1:12">
      <c r="A192" s="3">
        <v>188</v>
      </c>
      <c r="B192" s="4">
        <v>45727</v>
      </c>
      <c r="C192" s="5" t="s">
        <v>17</v>
      </c>
      <c r="D192" s="6">
        <v>28.3</v>
      </c>
      <c r="E192" s="6">
        <v>28.7</v>
      </c>
      <c r="F192" s="6">
        <v>28.2</v>
      </c>
      <c r="G192" s="6">
        <v>28.6</v>
      </c>
      <c r="H192" s="6">
        <v>28.3</v>
      </c>
      <c r="I192" s="6">
        <v>28.6</v>
      </c>
      <c r="J192" s="7">
        <v>1834</v>
      </c>
      <c r="K192" s="6">
        <v>81.634</v>
      </c>
      <c r="L192" s="7">
        <v>2869872</v>
      </c>
    </row>
    <row r="193" spans="1:12">
      <c r="A193" s="3">
        <v>189</v>
      </c>
      <c r="B193" s="4">
        <v>45726</v>
      </c>
      <c r="C193" s="5" t="s">
        <v>17</v>
      </c>
      <c r="D193" s="6">
        <v>28.6</v>
      </c>
      <c r="E193" s="6">
        <v>28.9</v>
      </c>
      <c r="F193" s="6">
        <v>28.5</v>
      </c>
      <c r="G193" s="6">
        <v>28.9</v>
      </c>
      <c r="H193" s="6">
        <v>28.6</v>
      </c>
      <c r="I193" s="6">
        <v>28.8</v>
      </c>
      <c r="J193" s="7">
        <v>1163</v>
      </c>
      <c r="K193" s="6">
        <v>53.064999999999998</v>
      </c>
      <c r="L193" s="7">
        <v>1851587</v>
      </c>
    </row>
    <row r="194" spans="1:12">
      <c r="A194" s="3">
        <v>190</v>
      </c>
      <c r="B194" s="4">
        <v>45725</v>
      </c>
      <c r="C194" s="5" t="s">
        <v>17</v>
      </c>
      <c r="D194" s="6">
        <v>28.8</v>
      </c>
      <c r="E194" s="6">
        <v>29.2</v>
      </c>
      <c r="F194" s="6">
        <v>28.8</v>
      </c>
      <c r="G194" s="6">
        <v>29.2</v>
      </c>
      <c r="H194" s="6">
        <v>28.8</v>
      </c>
      <c r="I194" s="6">
        <v>29.1</v>
      </c>
      <c r="J194" s="6">
        <v>782</v>
      </c>
      <c r="K194" s="6">
        <v>56.728999999999999</v>
      </c>
      <c r="L194" s="7">
        <v>1962368</v>
      </c>
    </row>
    <row r="195" spans="1:12">
      <c r="A195" s="3">
        <v>191</v>
      </c>
      <c r="B195" s="4">
        <v>45722</v>
      </c>
      <c r="C195" s="5" t="s">
        <v>17</v>
      </c>
      <c r="D195" s="6">
        <v>29.1</v>
      </c>
      <c r="E195" s="6">
        <v>29.2</v>
      </c>
      <c r="F195" s="6">
        <v>28.7</v>
      </c>
      <c r="G195" s="6">
        <v>28.8</v>
      </c>
      <c r="H195" s="6">
        <v>29.1</v>
      </c>
      <c r="I195" s="6">
        <v>28.7</v>
      </c>
      <c r="J195" s="7">
        <v>1311</v>
      </c>
      <c r="K195" s="6">
        <v>105.54600000000001</v>
      </c>
      <c r="L195" s="7">
        <v>3635651</v>
      </c>
    </row>
    <row r="196" spans="1:12">
      <c r="A196" s="3">
        <v>192</v>
      </c>
      <c r="B196" s="4">
        <v>45721</v>
      </c>
      <c r="C196" s="5" t="s">
        <v>17</v>
      </c>
      <c r="D196" s="6">
        <v>28.7</v>
      </c>
      <c r="E196" s="6">
        <v>28.9</v>
      </c>
      <c r="F196" s="6">
        <v>28.6</v>
      </c>
      <c r="G196" s="6">
        <v>28.7</v>
      </c>
      <c r="H196" s="6">
        <v>28.7</v>
      </c>
      <c r="I196" s="6">
        <v>28.7</v>
      </c>
      <c r="J196" s="6">
        <v>705</v>
      </c>
      <c r="K196" s="6">
        <v>34.616999999999997</v>
      </c>
      <c r="L196" s="7">
        <v>1204891</v>
      </c>
    </row>
    <row r="197" spans="1:12">
      <c r="A197" s="3">
        <v>193</v>
      </c>
      <c r="B197" s="4">
        <v>45720</v>
      </c>
      <c r="C197" s="5" t="s">
        <v>17</v>
      </c>
      <c r="D197" s="6">
        <v>28.7</v>
      </c>
      <c r="E197" s="6">
        <v>28.9</v>
      </c>
      <c r="F197" s="6">
        <v>28.7</v>
      </c>
      <c r="G197" s="6">
        <v>28.8</v>
      </c>
      <c r="H197" s="6">
        <v>28.7</v>
      </c>
      <c r="I197" s="6">
        <v>28.7</v>
      </c>
      <c r="J197" s="6">
        <v>917</v>
      </c>
      <c r="K197" s="6">
        <v>46.231999999999999</v>
      </c>
      <c r="L197" s="7">
        <v>1608221</v>
      </c>
    </row>
    <row r="198" spans="1:12">
      <c r="A198" s="3">
        <v>194</v>
      </c>
      <c r="B198" s="4">
        <v>45719</v>
      </c>
      <c r="C198" s="5" t="s">
        <v>17</v>
      </c>
      <c r="D198" s="6">
        <v>28.7</v>
      </c>
      <c r="E198" s="6">
        <v>28.9</v>
      </c>
      <c r="F198" s="6">
        <v>28.5</v>
      </c>
      <c r="G198" s="6">
        <v>28.8</v>
      </c>
      <c r="H198" s="6">
        <v>28.7</v>
      </c>
      <c r="I198" s="6">
        <v>28.6</v>
      </c>
      <c r="J198" s="7">
        <v>1036</v>
      </c>
      <c r="K198" s="6">
        <v>51.418999999999997</v>
      </c>
      <c r="L198" s="7">
        <v>1790489</v>
      </c>
    </row>
    <row r="199" spans="1:12">
      <c r="A199" s="3">
        <v>195</v>
      </c>
      <c r="B199" s="4">
        <v>45718</v>
      </c>
      <c r="C199" s="5" t="s">
        <v>17</v>
      </c>
      <c r="D199" s="6">
        <v>28.6</v>
      </c>
      <c r="E199" s="6">
        <v>28.7</v>
      </c>
      <c r="F199" s="6">
        <v>28.4</v>
      </c>
      <c r="G199" s="6">
        <v>28.5</v>
      </c>
      <c r="H199" s="6">
        <v>28.6</v>
      </c>
      <c r="I199" s="6">
        <v>28.5</v>
      </c>
      <c r="J199" s="6">
        <v>917</v>
      </c>
      <c r="K199" s="6">
        <v>49.168999999999997</v>
      </c>
      <c r="L199" s="7">
        <v>1724246</v>
      </c>
    </row>
    <row r="200" spans="1:12">
      <c r="A200" s="3">
        <v>196</v>
      </c>
      <c r="B200" s="4">
        <v>45715</v>
      </c>
      <c r="C200" s="5" t="s">
        <v>17</v>
      </c>
      <c r="D200" s="6">
        <v>28.5</v>
      </c>
      <c r="E200" s="6">
        <v>28.9</v>
      </c>
      <c r="F200" s="6">
        <v>28.5</v>
      </c>
      <c r="G200" s="6">
        <v>28.6</v>
      </c>
      <c r="H200" s="6">
        <v>28.5</v>
      </c>
      <c r="I200" s="6">
        <v>28.6</v>
      </c>
      <c r="J200" s="7">
        <v>1288</v>
      </c>
      <c r="K200" s="6">
        <v>64.421999999999997</v>
      </c>
      <c r="L200" s="7">
        <v>2251075</v>
      </c>
    </row>
    <row r="201" spans="1:12">
      <c r="A201" s="3">
        <v>197</v>
      </c>
      <c r="B201" s="4">
        <v>45714</v>
      </c>
      <c r="C201" s="5" t="s">
        <v>17</v>
      </c>
      <c r="D201" s="6">
        <v>28.6</v>
      </c>
      <c r="E201" s="6">
        <v>28.9</v>
      </c>
      <c r="F201" s="6">
        <v>28.5</v>
      </c>
      <c r="G201" s="6">
        <v>28.8</v>
      </c>
      <c r="H201" s="6">
        <v>28.6</v>
      </c>
      <c r="I201" s="6">
        <v>28.8</v>
      </c>
      <c r="J201" s="7">
        <v>1226</v>
      </c>
      <c r="K201" s="6">
        <v>53.636000000000003</v>
      </c>
      <c r="L201" s="7">
        <v>1870288</v>
      </c>
    </row>
    <row r="202" spans="1:12">
      <c r="A202" s="3">
        <v>198</v>
      </c>
      <c r="B202" s="4">
        <v>45713</v>
      </c>
      <c r="C202" s="5" t="s">
        <v>17</v>
      </c>
      <c r="D202" s="6">
        <v>28.8</v>
      </c>
      <c r="E202" s="6">
        <v>29.1</v>
      </c>
      <c r="F202" s="6">
        <v>28.7</v>
      </c>
      <c r="G202" s="6">
        <v>29</v>
      </c>
      <c r="H202" s="6">
        <v>28.8</v>
      </c>
      <c r="I202" s="6">
        <v>28.9</v>
      </c>
      <c r="J202" s="7">
        <v>1442</v>
      </c>
      <c r="K202" s="6">
        <v>72.116</v>
      </c>
      <c r="L202" s="7">
        <v>2499466</v>
      </c>
    </row>
    <row r="203" spans="1:12">
      <c r="A203" s="3">
        <v>199</v>
      </c>
      <c r="B203" s="4">
        <v>45712</v>
      </c>
      <c r="C203" s="5" t="s">
        <v>17</v>
      </c>
      <c r="D203" s="6">
        <v>28.9</v>
      </c>
      <c r="E203" s="6">
        <v>29.2</v>
      </c>
      <c r="F203" s="6">
        <v>28.8</v>
      </c>
      <c r="G203" s="6">
        <v>29</v>
      </c>
      <c r="H203" s="6">
        <v>28.9</v>
      </c>
      <c r="I203" s="6">
        <v>28.9</v>
      </c>
      <c r="J203" s="7">
        <v>1194</v>
      </c>
      <c r="K203" s="6">
        <v>68.203999999999994</v>
      </c>
      <c r="L203" s="7">
        <v>2353503</v>
      </c>
    </row>
    <row r="204" spans="1:12">
      <c r="A204" s="3">
        <v>200</v>
      </c>
      <c r="B204" s="4">
        <v>45711</v>
      </c>
      <c r="C204" s="5" t="s">
        <v>17</v>
      </c>
      <c r="D204" s="6">
        <v>28.9</v>
      </c>
      <c r="E204" s="6">
        <v>29.3</v>
      </c>
      <c r="F204" s="6">
        <v>28.9</v>
      </c>
      <c r="G204" s="6">
        <v>29.2</v>
      </c>
      <c r="H204" s="6">
        <v>28.9</v>
      </c>
      <c r="I204" s="6">
        <v>28.9</v>
      </c>
      <c r="J204" s="7">
        <v>1625</v>
      </c>
      <c r="K204" s="6">
        <v>122.93</v>
      </c>
      <c r="L204" s="7">
        <v>4235117</v>
      </c>
    </row>
    <row r="205" spans="1:12">
      <c r="A205" s="3">
        <v>201</v>
      </c>
      <c r="B205" s="4">
        <v>45708</v>
      </c>
      <c r="C205" s="5" t="s">
        <v>17</v>
      </c>
      <c r="D205" s="6">
        <v>28.9</v>
      </c>
      <c r="E205" s="6">
        <v>29.6</v>
      </c>
      <c r="F205" s="6">
        <v>28.7</v>
      </c>
      <c r="G205" s="6">
        <v>29.4</v>
      </c>
      <c r="H205" s="6">
        <v>28.9</v>
      </c>
      <c r="I205" s="6">
        <v>29</v>
      </c>
      <c r="J205" s="7">
        <v>2018</v>
      </c>
      <c r="K205" s="6">
        <v>111.756</v>
      </c>
      <c r="L205" s="7">
        <v>3865127</v>
      </c>
    </row>
    <row r="206" spans="1:12">
      <c r="A206" s="3">
        <v>202</v>
      </c>
      <c r="B206" s="4">
        <v>45707</v>
      </c>
      <c r="C206" s="5" t="s">
        <v>17</v>
      </c>
      <c r="D206" s="6">
        <v>29</v>
      </c>
      <c r="E206" s="6">
        <v>29.6</v>
      </c>
      <c r="F206" s="6">
        <v>28.9</v>
      </c>
      <c r="G206" s="6">
        <v>29.6</v>
      </c>
      <c r="H206" s="6">
        <v>29</v>
      </c>
      <c r="I206" s="6">
        <v>29.3</v>
      </c>
      <c r="J206" s="7">
        <v>1989</v>
      </c>
      <c r="K206" s="6">
        <v>101.423</v>
      </c>
      <c r="L206" s="7">
        <v>3481662</v>
      </c>
    </row>
    <row r="207" spans="1:12">
      <c r="A207" s="3">
        <v>203</v>
      </c>
      <c r="B207" s="4">
        <v>45706</v>
      </c>
      <c r="C207" s="5" t="s">
        <v>17</v>
      </c>
      <c r="D207" s="6">
        <v>29.3</v>
      </c>
      <c r="E207" s="6">
        <v>30.8</v>
      </c>
      <c r="F207" s="6">
        <v>29.1</v>
      </c>
      <c r="G207" s="6">
        <v>30.8</v>
      </c>
      <c r="H207" s="6">
        <v>29.3</v>
      </c>
      <c r="I207" s="6">
        <v>29.4</v>
      </c>
      <c r="J207" s="7">
        <v>5829</v>
      </c>
      <c r="K207" s="6">
        <v>324.32100000000003</v>
      </c>
      <c r="L207" s="7">
        <v>10863612</v>
      </c>
    </row>
    <row r="208" spans="1:12">
      <c r="A208" s="3">
        <v>204</v>
      </c>
      <c r="B208" s="4">
        <v>45705</v>
      </c>
      <c r="C208" s="5" t="s">
        <v>17</v>
      </c>
      <c r="D208" s="6">
        <v>29.4</v>
      </c>
      <c r="E208" s="6">
        <v>29.8</v>
      </c>
      <c r="F208" s="6">
        <v>29.2</v>
      </c>
      <c r="G208" s="6">
        <v>29.7</v>
      </c>
      <c r="H208" s="6">
        <v>29.4</v>
      </c>
      <c r="I208" s="6">
        <v>29.7</v>
      </c>
      <c r="J208" s="7">
        <v>1944</v>
      </c>
      <c r="K208" s="6">
        <v>110.245</v>
      </c>
      <c r="L208" s="7">
        <v>3745718</v>
      </c>
    </row>
    <row r="209" spans="1:12">
      <c r="A209" s="3">
        <v>205</v>
      </c>
      <c r="B209" s="4">
        <v>45704</v>
      </c>
      <c r="C209" s="5" t="s">
        <v>17</v>
      </c>
      <c r="D209" s="6">
        <v>29.7</v>
      </c>
      <c r="E209" s="6">
        <v>30.2</v>
      </c>
      <c r="F209" s="6">
        <v>29.5</v>
      </c>
      <c r="G209" s="6">
        <v>29.7</v>
      </c>
      <c r="H209" s="6">
        <v>29.7</v>
      </c>
      <c r="I209" s="6">
        <v>29.6</v>
      </c>
      <c r="J209" s="7">
        <v>3194</v>
      </c>
      <c r="K209" s="6">
        <v>198.82</v>
      </c>
      <c r="L209" s="7">
        <v>6655371</v>
      </c>
    </row>
    <row r="210" spans="1:12">
      <c r="A210" s="3">
        <v>206</v>
      </c>
      <c r="B210" s="4">
        <v>45701</v>
      </c>
      <c r="C210" s="5" t="s">
        <v>17</v>
      </c>
      <c r="D210" s="6">
        <v>29.6</v>
      </c>
      <c r="E210" s="6">
        <v>29.7</v>
      </c>
      <c r="F210" s="6">
        <v>28.7</v>
      </c>
      <c r="G210" s="6">
        <v>29.1</v>
      </c>
      <c r="H210" s="6">
        <v>29.6</v>
      </c>
      <c r="I210" s="6">
        <v>29</v>
      </c>
      <c r="J210" s="7">
        <v>3064</v>
      </c>
      <c r="K210" s="6">
        <v>233.25700000000001</v>
      </c>
      <c r="L210" s="7">
        <v>7983016</v>
      </c>
    </row>
    <row r="211" spans="1:12">
      <c r="A211" s="3">
        <v>207</v>
      </c>
      <c r="B211" s="4">
        <v>45700</v>
      </c>
      <c r="C211" s="5" t="s">
        <v>17</v>
      </c>
      <c r="D211" s="6">
        <v>29</v>
      </c>
      <c r="E211" s="6">
        <v>29.4</v>
      </c>
      <c r="F211" s="6">
        <v>28.7</v>
      </c>
      <c r="G211" s="6">
        <v>29</v>
      </c>
      <c r="H211" s="6">
        <v>29</v>
      </c>
      <c r="I211" s="6">
        <v>28.7</v>
      </c>
      <c r="J211" s="7">
        <v>1611</v>
      </c>
      <c r="K211" s="6">
        <v>122.125</v>
      </c>
      <c r="L211" s="7">
        <v>4216173</v>
      </c>
    </row>
    <row r="212" spans="1:12">
      <c r="A212" s="3">
        <v>208</v>
      </c>
      <c r="B212" s="4">
        <v>45699</v>
      </c>
      <c r="C212" s="5" t="s">
        <v>17</v>
      </c>
      <c r="D212" s="6">
        <v>28.7</v>
      </c>
      <c r="E212" s="6">
        <v>29</v>
      </c>
      <c r="F212" s="6">
        <v>28.6</v>
      </c>
      <c r="G212" s="6">
        <v>28.7</v>
      </c>
      <c r="H212" s="6">
        <v>28.7</v>
      </c>
      <c r="I212" s="6">
        <v>28.6</v>
      </c>
      <c r="J212" s="6">
        <v>821</v>
      </c>
      <c r="K212" s="6">
        <v>54.081000000000003</v>
      </c>
      <c r="L212" s="7">
        <v>1881003</v>
      </c>
    </row>
    <row r="213" spans="1:12">
      <c r="A213" s="3">
        <v>209</v>
      </c>
      <c r="B213" s="4">
        <v>45698</v>
      </c>
      <c r="C213" s="5" t="s">
        <v>17</v>
      </c>
      <c r="D213" s="6">
        <v>28.6</v>
      </c>
      <c r="E213" s="6">
        <v>29</v>
      </c>
      <c r="F213" s="6">
        <v>28.5</v>
      </c>
      <c r="G213" s="6">
        <v>28.8</v>
      </c>
      <c r="H213" s="6">
        <v>28.6</v>
      </c>
      <c r="I213" s="6">
        <v>28.9</v>
      </c>
      <c r="J213" s="7">
        <v>1013</v>
      </c>
      <c r="K213" s="6">
        <v>33.487000000000002</v>
      </c>
      <c r="L213" s="7">
        <v>1166079</v>
      </c>
    </row>
    <row r="214" spans="1:12">
      <c r="A214" s="3">
        <v>210</v>
      </c>
      <c r="B214" s="4">
        <v>45697</v>
      </c>
      <c r="C214" s="5" t="s">
        <v>17</v>
      </c>
      <c r="D214" s="6">
        <v>28.9</v>
      </c>
      <c r="E214" s="6">
        <v>29.4</v>
      </c>
      <c r="F214" s="6">
        <v>28.7</v>
      </c>
      <c r="G214" s="6">
        <v>28.7</v>
      </c>
      <c r="H214" s="6">
        <v>28.9</v>
      </c>
      <c r="I214" s="6">
        <v>28.7</v>
      </c>
      <c r="J214" s="7">
        <v>1793</v>
      </c>
      <c r="K214" s="6">
        <v>93.347999999999999</v>
      </c>
      <c r="L214" s="7">
        <v>3216810</v>
      </c>
    </row>
    <row r="215" spans="1:12">
      <c r="A215" s="3">
        <v>211</v>
      </c>
      <c r="B215" s="4">
        <v>45694</v>
      </c>
      <c r="C215" s="5" t="s">
        <v>17</v>
      </c>
      <c r="D215" s="6">
        <v>28.7</v>
      </c>
      <c r="E215" s="6">
        <v>28.8</v>
      </c>
      <c r="F215" s="6">
        <v>28.1</v>
      </c>
      <c r="G215" s="6">
        <v>28.3</v>
      </c>
      <c r="H215" s="6">
        <v>28.7</v>
      </c>
      <c r="I215" s="6">
        <v>28.2</v>
      </c>
      <c r="J215" s="6">
        <v>986</v>
      </c>
      <c r="K215" s="6">
        <v>48.89</v>
      </c>
      <c r="L215" s="7">
        <v>1715453</v>
      </c>
    </row>
    <row r="216" spans="1:12">
      <c r="A216" s="3">
        <v>212</v>
      </c>
      <c r="B216" s="4">
        <v>45693</v>
      </c>
      <c r="C216" s="5" t="s">
        <v>17</v>
      </c>
      <c r="D216" s="6">
        <v>28.2</v>
      </c>
      <c r="E216" s="6">
        <v>28.5</v>
      </c>
      <c r="F216" s="6">
        <v>28.2</v>
      </c>
      <c r="G216" s="6">
        <v>28.3</v>
      </c>
      <c r="H216" s="6">
        <v>28.2</v>
      </c>
      <c r="I216" s="6">
        <v>28.2</v>
      </c>
      <c r="J216" s="6">
        <v>634</v>
      </c>
      <c r="K216" s="6">
        <v>24.292999999999999</v>
      </c>
      <c r="L216" s="7">
        <v>858394</v>
      </c>
    </row>
    <row r="217" spans="1:12">
      <c r="A217" s="3">
        <v>213</v>
      </c>
      <c r="B217" s="4">
        <v>45692</v>
      </c>
      <c r="C217" s="5" t="s">
        <v>17</v>
      </c>
      <c r="D217" s="6">
        <v>28.2</v>
      </c>
      <c r="E217" s="6">
        <v>28.6</v>
      </c>
      <c r="F217" s="6">
        <v>28.1</v>
      </c>
      <c r="G217" s="6">
        <v>28.5</v>
      </c>
      <c r="H217" s="6">
        <v>28.2</v>
      </c>
      <c r="I217" s="6">
        <v>28.4</v>
      </c>
      <c r="J217" s="6">
        <v>857</v>
      </c>
      <c r="K217" s="6">
        <v>34.430999999999997</v>
      </c>
      <c r="L217" s="7">
        <v>1217539</v>
      </c>
    </row>
    <row r="218" spans="1:12">
      <c r="A218" s="3">
        <v>214</v>
      </c>
      <c r="B218" s="4">
        <v>45691</v>
      </c>
      <c r="C218" s="5" t="s">
        <v>17</v>
      </c>
      <c r="D218" s="6">
        <v>28.4</v>
      </c>
      <c r="E218" s="6">
        <v>28.6</v>
      </c>
      <c r="F218" s="6">
        <v>28.3</v>
      </c>
      <c r="G218" s="6">
        <v>28.4</v>
      </c>
      <c r="H218" s="6">
        <v>28.4</v>
      </c>
      <c r="I218" s="6">
        <v>28.4</v>
      </c>
      <c r="J218" s="6">
        <v>757</v>
      </c>
      <c r="K218" s="6">
        <v>28.071000000000002</v>
      </c>
      <c r="L218" s="7">
        <v>986056</v>
      </c>
    </row>
    <row r="219" spans="1:12">
      <c r="A219" s="3">
        <v>215</v>
      </c>
      <c r="B219" s="4">
        <v>45690</v>
      </c>
      <c r="C219" s="5" t="s">
        <v>17</v>
      </c>
      <c r="D219" s="6">
        <v>28.4</v>
      </c>
      <c r="E219" s="6">
        <v>28.6</v>
      </c>
      <c r="F219" s="6">
        <v>28.3</v>
      </c>
      <c r="G219" s="6">
        <v>28.5</v>
      </c>
      <c r="H219" s="6">
        <v>28.4</v>
      </c>
      <c r="I219" s="6">
        <v>28.4</v>
      </c>
      <c r="J219" s="6">
        <v>775</v>
      </c>
      <c r="K219" s="6">
        <v>30.719000000000001</v>
      </c>
      <c r="L219" s="7">
        <v>1080090</v>
      </c>
    </row>
    <row r="220" spans="1:12">
      <c r="A220" s="3">
        <v>216</v>
      </c>
      <c r="B220" s="4">
        <v>45687</v>
      </c>
      <c r="C220" s="5" t="s">
        <v>17</v>
      </c>
      <c r="D220" s="6">
        <v>28.4</v>
      </c>
      <c r="E220" s="6">
        <v>28.7</v>
      </c>
      <c r="F220" s="6">
        <v>27.8</v>
      </c>
      <c r="G220" s="6">
        <v>27.9</v>
      </c>
      <c r="H220" s="6">
        <v>28.4</v>
      </c>
      <c r="I220" s="6">
        <v>27.9</v>
      </c>
      <c r="J220" s="7">
        <v>1563</v>
      </c>
      <c r="K220" s="6">
        <v>76.745000000000005</v>
      </c>
      <c r="L220" s="7">
        <v>2703737</v>
      </c>
    </row>
    <row r="221" spans="1:12">
      <c r="A221" s="3">
        <v>217</v>
      </c>
      <c r="B221" s="4">
        <v>45686</v>
      </c>
      <c r="C221" s="5" t="s">
        <v>17</v>
      </c>
      <c r="D221" s="6">
        <v>27.9</v>
      </c>
      <c r="E221" s="6">
        <v>28.1</v>
      </c>
      <c r="F221" s="6">
        <v>27.7</v>
      </c>
      <c r="G221" s="6">
        <v>28</v>
      </c>
      <c r="H221" s="6">
        <v>27.9</v>
      </c>
      <c r="I221" s="6">
        <v>28</v>
      </c>
      <c r="J221" s="6">
        <v>550</v>
      </c>
      <c r="K221" s="6">
        <v>30.727</v>
      </c>
      <c r="L221" s="7">
        <v>1102122</v>
      </c>
    </row>
    <row r="222" spans="1:12">
      <c r="A222" s="3">
        <v>218</v>
      </c>
      <c r="B222" s="4">
        <v>45685</v>
      </c>
      <c r="C222" s="5" t="s">
        <v>17</v>
      </c>
      <c r="D222" s="6">
        <v>28</v>
      </c>
      <c r="E222" s="6">
        <v>28.2</v>
      </c>
      <c r="F222" s="6">
        <v>27.9</v>
      </c>
      <c r="G222" s="6">
        <v>27.9</v>
      </c>
      <c r="H222" s="6">
        <v>28</v>
      </c>
      <c r="I222" s="6">
        <v>27.9</v>
      </c>
      <c r="J222" s="6">
        <v>750</v>
      </c>
      <c r="K222" s="6">
        <v>33.024000000000001</v>
      </c>
      <c r="L222" s="7">
        <v>1179630</v>
      </c>
    </row>
    <row r="223" spans="1:12">
      <c r="A223" s="3">
        <v>219</v>
      </c>
      <c r="B223" s="4">
        <v>45684</v>
      </c>
      <c r="C223" s="5" t="s">
        <v>17</v>
      </c>
      <c r="D223" s="6">
        <v>27.9</v>
      </c>
      <c r="E223" s="6">
        <v>28.1</v>
      </c>
      <c r="F223" s="6">
        <v>27.6</v>
      </c>
      <c r="G223" s="6">
        <v>27.7</v>
      </c>
      <c r="H223" s="6">
        <v>27.9</v>
      </c>
      <c r="I223" s="6">
        <v>27.6</v>
      </c>
      <c r="J223" s="6">
        <v>900</v>
      </c>
      <c r="K223" s="6">
        <v>36.343000000000004</v>
      </c>
      <c r="L223" s="7">
        <v>1304517</v>
      </c>
    </row>
    <row r="224" spans="1:12">
      <c r="A224" s="3">
        <v>220</v>
      </c>
      <c r="B224" s="4">
        <v>45683</v>
      </c>
      <c r="C224" s="5" t="s">
        <v>17</v>
      </c>
      <c r="D224" s="6">
        <v>27.6</v>
      </c>
      <c r="E224" s="6">
        <v>27.9</v>
      </c>
      <c r="F224" s="6">
        <v>27.5</v>
      </c>
      <c r="G224" s="6">
        <v>27.8</v>
      </c>
      <c r="H224" s="6">
        <v>27.6</v>
      </c>
      <c r="I224" s="6">
        <v>27.8</v>
      </c>
      <c r="J224" s="6">
        <v>757</v>
      </c>
      <c r="K224" s="6">
        <v>25.82</v>
      </c>
      <c r="L224" s="7">
        <v>935044</v>
      </c>
    </row>
    <row r="225" spans="1:12">
      <c r="A225" s="3">
        <v>221</v>
      </c>
      <c r="B225" s="4">
        <v>45680</v>
      </c>
      <c r="C225" s="5" t="s">
        <v>17</v>
      </c>
      <c r="D225" s="6">
        <v>27.8</v>
      </c>
      <c r="E225" s="6">
        <v>28.3</v>
      </c>
      <c r="F225" s="6">
        <v>27.6</v>
      </c>
      <c r="G225" s="6">
        <v>28.1</v>
      </c>
      <c r="H225" s="6">
        <v>27.8</v>
      </c>
      <c r="I225" s="6">
        <v>28.1</v>
      </c>
      <c r="J225" s="7">
        <v>1323</v>
      </c>
      <c r="K225" s="6">
        <v>48.667999999999999</v>
      </c>
      <c r="L225" s="7">
        <v>1748965</v>
      </c>
    </row>
    <row r="226" spans="1:12">
      <c r="A226" s="3">
        <v>222</v>
      </c>
      <c r="B226" s="4">
        <v>45679</v>
      </c>
      <c r="C226" s="5" t="s">
        <v>17</v>
      </c>
      <c r="D226" s="6">
        <v>28.1</v>
      </c>
      <c r="E226" s="6">
        <v>28.5</v>
      </c>
      <c r="F226" s="6">
        <v>28</v>
      </c>
      <c r="G226" s="6">
        <v>28.4</v>
      </c>
      <c r="H226" s="6">
        <v>28.1</v>
      </c>
      <c r="I226" s="6">
        <v>28.4</v>
      </c>
      <c r="J226" s="6">
        <v>936</v>
      </c>
      <c r="K226" s="6">
        <v>32.064999999999998</v>
      </c>
      <c r="L226" s="7">
        <v>1137916</v>
      </c>
    </row>
    <row r="227" spans="1:12">
      <c r="A227" s="3">
        <v>223</v>
      </c>
      <c r="B227" s="4">
        <v>45678</v>
      </c>
      <c r="C227" s="5" t="s">
        <v>17</v>
      </c>
      <c r="D227" s="6">
        <v>28.4</v>
      </c>
      <c r="E227" s="6">
        <v>28.8</v>
      </c>
      <c r="F227" s="6">
        <v>28.3</v>
      </c>
      <c r="G227" s="6">
        <v>28.8</v>
      </c>
      <c r="H227" s="6">
        <v>28.4</v>
      </c>
      <c r="I227" s="6">
        <v>28.6</v>
      </c>
      <c r="J227" s="7">
        <v>1227</v>
      </c>
      <c r="K227" s="6">
        <v>81.861000000000004</v>
      </c>
      <c r="L227" s="7">
        <v>2869660</v>
      </c>
    </row>
    <row r="228" spans="1:12">
      <c r="A228" s="3">
        <v>224</v>
      </c>
      <c r="B228" s="4">
        <v>45677</v>
      </c>
      <c r="C228" s="5" t="s">
        <v>17</v>
      </c>
      <c r="D228" s="6">
        <v>28.6</v>
      </c>
      <c r="E228" s="6">
        <v>28.8</v>
      </c>
      <c r="F228" s="6">
        <v>28.4</v>
      </c>
      <c r="G228" s="6">
        <v>28.6</v>
      </c>
      <c r="H228" s="6">
        <v>28.6</v>
      </c>
      <c r="I228" s="6">
        <v>28.5</v>
      </c>
      <c r="J228" s="6">
        <v>829</v>
      </c>
      <c r="K228" s="6">
        <v>58.17</v>
      </c>
      <c r="L228" s="7">
        <v>2033967</v>
      </c>
    </row>
    <row r="229" spans="1:12">
      <c r="A229" s="3">
        <v>225</v>
      </c>
      <c r="B229" s="4">
        <v>45676</v>
      </c>
      <c r="C229" s="5" t="s">
        <v>17</v>
      </c>
      <c r="D229" s="6">
        <v>28.5</v>
      </c>
      <c r="E229" s="6">
        <v>28.7</v>
      </c>
      <c r="F229" s="6">
        <v>28.3</v>
      </c>
      <c r="G229" s="6">
        <v>28.5</v>
      </c>
      <c r="H229" s="6">
        <v>28.5</v>
      </c>
      <c r="I229" s="6">
        <v>28.4</v>
      </c>
      <c r="J229" s="6">
        <v>586</v>
      </c>
      <c r="K229" s="6">
        <v>37.311999999999998</v>
      </c>
      <c r="L229" s="7">
        <v>1308343</v>
      </c>
    </row>
    <row r="230" spans="1:12">
      <c r="A230" s="3">
        <v>226</v>
      </c>
      <c r="B230" s="4">
        <v>45673</v>
      </c>
      <c r="C230" s="5" t="s">
        <v>17</v>
      </c>
      <c r="D230" s="6">
        <v>28.4</v>
      </c>
      <c r="E230" s="6">
        <v>28.6</v>
      </c>
      <c r="F230" s="6">
        <v>28.3</v>
      </c>
      <c r="G230" s="6">
        <v>28.5</v>
      </c>
      <c r="H230" s="6">
        <v>28.4</v>
      </c>
      <c r="I230" s="6">
        <v>28.5</v>
      </c>
      <c r="J230" s="6">
        <v>848</v>
      </c>
      <c r="K230" s="6">
        <v>53.847999999999999</v>
      </c>
      <c r="L230" s="7">
        <v>1891386</v>
      </c>
    </row>
    <row r="231" spans="1:12">
      <c r="A231" s="3">
        <v>227</v>
      </c>
      <c r="B231" s="4">
        <v>45672</v>
      </c>
      <c r="C231" s="5" t="s">
        <v>17</v>
      </c>
      <c r="D231" s="6">
        <v>28.5</v>
      </c>
      <c r="E231" s="6">
        <v>29</v>
      </c>
      <c r="F231" s="6">
        <v>28.4</v>
      </c>
      <c r="G231" s="6">
        <v>28.8</v>
      </c>
      <c r="H231" s="6">
        <v>28.5</v>
      </c>
      <c r="I231" s="6">
        <v>28.8</v>
      </c>
      <c r="J231" s="7">
        <v>1041</v>
      </c>
      <c r="K231" s="6">
        <v>55.313000000000002</v>
      </c>
      <c r="L231" s="7">
        <v>1929506</v>
      </c>
    </row>
    <row r="232" spans="1:12">
      <c r="A232" s="3">
        <v>228</v>
      </c>
      <c r="B232" s="4">
        <v>45671</v>
      </c>
      <c r="C232" s="5" t="s">
        <v>17</v>
      </c>
      <c r="D232" s="6">
        <v>28.8</v>
      </c>
      <c r="E232" s="6">
        <v>29.3</v>
      </c>
      <c r="F232" s="6">
        <v>28.7</v>
      </c>
      <c r="G232" s="6">
        <v>29</v>
      </c>
      <c r="H232" s="6">
        <v>28.8</v>
      </c>
      <c r="I232" s="6">
        <v>29</v>
      </c>
      <c r="J232" s="7">
        <v>1090</v>
      </c>
      <c r="K232" s="6">
        <v>53.917999999999999</v>
      </c>
      <c r="L232" s="7">
        <v>1864243</v>
      </c>
    </row>
    <row r="233" spans="1:12">
      <c r="A233" s="3">
        <v>229</v>
      </c>
      <c r="B233" s="4">
        <v>45670</v>
      </c>
      <c r="C233" s="5" t="s">
        <v>17</v>
      </c>
      <c r="D233" s="6">
        <v>29</v>
      </c>
      <c r="E233" s="6">
        <v>29.4</v>
      </c>
      <c r="F233" s="6">
        <v>28.8</v>
      </c>
      <c r="G233" s="6">
        <v>29.3</v>
      </c>
      <c r="H233" s="6">
        <v>29</v>
      </c>
      <c r="I233" s="6">
        <v>29.3</v>
      </c>
      <c r="J233" s="7">
        <v>1239</v>
      </c>
      <c r="K233" s="6">
        <v>71.652000000000001</v>
      </c>
      <c r="L233" s="7">
        <v>2463823</v>
      </c>
    </row>
    <row r="234" spans="1:12">
      <c r="A234" s="3">
        <v>230</v>
      </c>
      <c r="B234" s="4">
        <v>45669</v>
      </c>
      <c r="C234" s="5" t="s">
        <v>17</v>
      </c>
      <c r="D234" s="6">
        <v>29.3</v>
      </c>
      <c r="E234" s="6">
        <v>29.8</v>
      </c>
      <c r="F234" s="6">
        <v>29.1</v>
      </c>
      <c r="G234" s="6">
        <v>29.6</v>
      </c>
      <c r="H234" s="6">
        <v>29.3</v>
      </c>
      <c r="I234" s="6">
        <v>29.5</v>
      </c>
      <c r="J234" s="7">
        <v>1337</v>
      </c>
      <c r="K234" s="6">
        <v>84.918000000000006</v>
      </c>
      <c r="L234" s="7">
        <v>2885046</v>
      </c>
    </row>
    <row r="235" spans="1:12">
      <c r="A235" s="3">
        <v>231</v>
      </c>
      <c r="B235" s="4">
        <v>45666</v>
      </c>
      <c r="C235" s="5" t="s">
        <v>17</v>
      </c>
      <c r="D235" s="6">
        <v>29.5</v>
      </c>
      <c r="E235" s="6">
        <v>29.7</v>
      </c>
      <c r="F235" s="6">
        <v>29.1</v>
      </c>
      <c r="G235" s="6">
        <v>29.3</v>
      </c>
      <c r="H235" s="6">
        <v>29.5</v>
      </c>
      <c r="I235" s="6">
        <v>29.1</v>
      </c>
      <c r="J235" s="7">
        <v>1217</v>
      </c>
      <c r="K235" s="6">
        <v>75.143000000000001</v>
      </c>
      <c r="L235" s="7">
        <v>2562140</v>
      </c>
    </row>
    <row r="236" spans="1:12">
      <c r="A236" s="3">
        <v>232</v>
      </c>
      <c r="B236" s="4">
        <v>45665</v>
      </c>
      <c r="C236" s="5" t="s">
        <v>17</v>
      </c>
      <c r="D236" s="6">
        <v>29.1</v>
      </c>
      <c r="E236" s="6">
        <v>29.4</v>
      </c>
      <c r="F236" s="6">
        <v>29</v>
      </c>
      <c r="G236" s="6">
        <v>29.2</v>
      </c>
      <c r="H236" s="6">
        <v>29.1</v>
      </c>
      <c r="I236" s="6">
        <v>29.3</v>
      </c>
      <c r="J236" s="7">
        <v>1098</v>
      </c>
      <c r="K236" s="6">
        <v>59.999000000000002</v>
      </c>
      <c r="L236" s="7">
        <v>2056307</v>
      </c>
    </row>
    <row r="237" spans="1:12">
      <c r="A237" s="3">
        <v>233</v>
      </c>
      <c r="B237" s="4">
        <v>45664</v>
      </c>
      <c r="C237" s="5" t="s">
        <v>17</v>
      </c>
      <c r="D237" s="6">
        <v>29.3</v>
      </c>
      <c r="E237" s="6">
        <v>29.9</v>
      </c>
      <c r="F237" s="6">
        <v>29.1</v>
      </c>
      <c r="G237" s="6">
        <v>29.7</v>
      </c>
      <c r="H237" s="6">
        <v>29.3</v>
      </c>
      <c r="I237" s="6">
        <v>29.5</v>
      </c>
      <c r="J237" s="7">
        <v>1740</v>
      </c>
      <c r="K237" s="6">
        <v>122.848</v>
      </c>
      <c r="L237" s="7">
        <v>4156994</v>
      </c>
    </row>
    <row r="238" spans="1:12">
      <c r="A238" s="3">
        <v>234</v>
      </c>
      <c r="B238" s="4">
        <v>45663</v>
      </c>
      <c r="C238" s="5" t="s">
        <v>17</v>
      </c>
      <c r="D238" s="6">
        <v>29.5</v>
      </c>
      <c r="E238" s="6">
        <v>29.6</v>
      </c>
      <c r="F238" s="6">
        <v>28.9</v>
      </c>
      <c r="G238" s="6">
        <v>29</v>
      </c>
      <c r="H238" s="6">
        <v>29.5</v>
      </c>
      <c r="I238" s="6">
        <v>28.9</v>
      </c>
      <c r="J238" s="7">
        <v>1911</v>
      </c>
      <c r="K238" s="6">
        <v>119.43300000000001</v>
      </c>
      <c r="L238" s="7">
        <v>4077803</v>
      </c>
    </row>
    <row r="239" spans="1:12">
      <c r="A239" s="3">
        <v>235</v>
      </c>
      <c r="B239" s="4">
        <v>45662</v>
      </c>
      <c r="C239" s="5" t="s">
        <v>17</v>
      </c>
      <c r="D239" s="6">
        <v>28.9</v>
      </c>
      <c r="E239" s="6">
        <v>29.3</v>
      </c>
      <c r="F239" s="6">
        <v>28.8</v>
      </c>
      <c r="G239" s="6">
        <v>29</v>
      </c>
      <c r="H239" s="6">
        <v>28.9</v>
      </c>
      <c r="I239" s="6">
        <v>29</v>
      </c>
      <c r="J239" s="7">
        <v>1204</v>
      </c>
      <c r="K239" s="6">
        <v>80.441999999999993</v>
      </c>
      <c r="L239" s="7">
        <v>2775904</v>
      </c>
    </row>
    <row r="240" spans="1:12">
      <c r="A240" s="3">
        <v>236</v>
      </c>
      <c r="B240" s="4">
        <v>45659</v>
      </c>
      <c r="C240" s="5" t="s">
        <v>17</v>
      </c>
      <c r="D240" s="6">
        <v>29</v>
      </c>
      <c r="E240" s="6">
        <v>29.9</v>
      </c>
      <c r="F240" s="6">
        <v>28.8</v>
      </c>
      <c r="G240" s="6">
        <v>29.5</v>
      </c>
      <c r="H240" s="6">
        <v>29</v>
      </c>
      <c r="I240" s="6">
        <v>29.4</v>
      </c>
      <c r="J240" s="7">
        <v>2005</v>
      </c>
      <c r="K240" s="6">
        <v>121.795</v>
      </c>
      <c r="L240" s="7">
        <v>4149084</v>
      </c>
    </row>
    <row r="241" spans="1:12">
      <c r="A241" s="3">
        <v>237</v>
      </c>
      <c r="B241" s="4">
        <v>45658</v>
      </c>
      <c r="C241" s="5" t="s">
        <v>17</v>
      </c>
      <c r="D241" s="6">
        <v>29.4</v>
      </c>
      <c r="E241" s="6">
        <v>29.6</v>
      </c>
      <c r="F241" s="6">
        <v>28.4</v>
      </c>
      <c r="G241" s="6">
        <v>28.5</v>
      </c>
      <c r="H241" s="6">
        <v>29.4</v>
      </c>
      <c r="I241" s="6">
        <v>28.3</v>
      </c>
      <c r="J241" s="7">
        <v>3194</v>
      </c>
      <c r="K241" s="6">
        <v>184.16900000000001</v>
      </c>
      <c r="L241" s="7">
        <v>6347631</v>
      </c>
    </row>
    <row r="242" spans="1:12">
      <c r="A242" s="3">
        <v>238</v>
      </c>
      <c r="B242" s="4">
        <v>45656</v>
      </c>
      <c r="C242" s="5" t="s">
        <v>17</v>
      </c>
      <c r="D242" s="6">
        <v>28.3</v>
      </c>
      <c r="E242" s="6">
        <v>28.7</v>
      </c>
      <c r="F242" s="6">
        <v>28.3</v>
      </c>
      <c r="G242" s="6">
        <v>28.7</v>
      </c>
      <c r="H242" s="6">
        <v>28.3</v>
      </c>
      <c r="I242" s="6">
        <v>28.5</v>
      </c>
      <c r="J242" s="6">
        <v>974</v>
      </c>
      <c r="K242" s="6">
        <v>53.377000000000002</v>
      </c>
      <c r="L242" s="7">
        <v>1877434</v>
      </c>
    </row>
    <row r="243" spans="1:12">
      <c r="A243" s="3">
        <v>239</v>
      </c>
      <c r="B243" s="4">
        <v>45655</v>
      </c>
      <c r="C243" s="5" t="s">
        <v>17</v>
      </c>
      <c r="D243" s="6">
        <v>28.5</v>
      </c>
      <c r="E243" s="6">
        <v>28.7</v>
      </c>
      <c r="F243" s="6">
        <v>28</v>
      </c>
      <c r="G243" s="6">
        <v>28</v>
      </c>
      <c r="H243" s="6">
        <v>28.5</v>
      </c>
      <c r="I243" s="6">
        <v>28</v>
      </c>
      <c r="J243" s="7">
        <v>1246</v>
      </c>
      <c r="K243" s="6">
        <v>67.988</v>
      </c>
      <c r="L243" s="7">
        <v>2396075</v>
      </c>
    </row>
  </sheetData>
  <hyperlinks>
    <hyperlink ref="C5" r:id="rId1" display="https://www.dsebd.org/displayCompany.php?name=ROBI" xr:uid="{9AD2234E-1F8C-4573-86CA-1C57093694CB}"/>
    <hyperlink ref="C6" r:id="rId2" display="https://www.dsebd.org/displayCompany.php?name=ROBI" xr:uid="{1EB2B6CC-D221-467F-A4B1-39362C8F6DEB}"/>
    <hyperlink ref="C7" r:id="rId3" display="https://www.dsebd.org/displayCompany.php?name=ROBI" xr:uid="{E8ED992F-5FCD-49E7-ABCA-E5E04D003D38}"/>
    <hyperlink ref="C8" r:id="rId4" display="https://www.dsebd.org/displayCompany.php?name=ROBI" xr:uid="{ABB5E7F4-553C-4FA3-BD36-B5881F32B69F}"/>
    <hyperlink ref="C9" r:id="rId5" display="https://www.dsebd.org/displayCompany.php?name=ROBI" xr:uid="{51C70F5C-86D8-4AF6-B609-EDECC87079B3}"/>
    <hyperlink ref="C10" r:id="rId6" display="https://www.dsebd.org/displayCompany.php?name=ROBI" xr:uid="{F052C6FC-D257-4B4B-8198-526C746EEC82}"/>
    <hyperlink ref="C11" r:id="rId7" display="https://www.dsebd.org/displayCompany.php?name=ROBI" xr:uid="{412E527A-C0EF-49F8-9AED-BC5CF389BA5A}"/>
    <hyperlink ref="C12" r:id="rId8" display="https://www.dsebd.org/displayCompany.php?name=ROBI" xr:uid="{EA61AC83-82B0-4DC4-A0AA-D5EB6B8581CF}"/>
    <hyperlink ref="C13" r:id="rId9" display="https://www.dsebd.org/displayCompany.php?name=ROBI" xr:uid="{8EB668E9-8E44-4796-8B43-9A72E8312CA0}"/>
    <hyperlink ref="C14" r:id="rId10" display="https://www.dsebd.org/displayCompany.php?name=ROBI" xr:uid="{46AB96AC-3F4B-420B-8341-7DD0AEC203FA}"/>
    <hyperlink ref="C15" r:id="rId11" display="https://www.dsebd.org/displayCompany.php?name=ROBI" xr:uid="{EDFB3D20-5637-4579-8ED5-1518D1D253F5}"/>
    <hyperlink ref="C16" r:id="rId12" display="https://www.dsebd.org/displayCompany.php?name=ROBI" xr:uid="{1CFEFAC4-4C3B-4173-8FEE-20895DDDFB46}"/>
    <hyperlink ref="C17" r:id="rId13" display="https://www.dsebd.org/displayCompany.php?name=ROBI" xr:uid="{3E4B0A2B-E5A7-4D02-A46C-778A804D4E7D}"/>
    <hyperlink ref="C18" r:id="rId14" display="https://www.dsebd.org/displayCompany.php?name=ROBI" xr:uid="{9E98EC39-2C37-4533-ABD5-2B70F508D314}"/>
    <hyperlink ref="C19" r:id="rId15" display="https://www.dsebd.org/displayCompany.php?name=ROBI" xr:uid="{3C36C284-F473-4921-BC14-9CDB8546DF49}"/>
    <hyperlink ref="C20" r:id="rId16" display="https://www.dsebd.org/displayCompany.php?name=ROBI" xr:uid="{672F9D43-C1C9-4DD4-A656-C7AE4EC3DBF7}"/>
    <hyperlink ref="C21" r:id="rId17" display="https://www.dsebd.org/displayCompany.php?name=ROBI" xr:uid="{3EDDA06B-B347-411F-96FB-437D443356AA}"/>
    <hyperlink ref="C22" r:id="rId18" display="https://www.dsebd.org/displayCompany.php?name=ROBI" xr:uid="{71AB4696-8350-4F65-AE4E-D5DA817B0E19}"/>
    <hyperlink ref="C23" r:id="rId19" display="https://www.dsebd.org/displayCompany.php?name=ROBI" xr:uid="{439C6089-9D2B-4C79-AC1A-A3811E0C1C34}"/>
    <hyperlink ref="C24" r:id="rId20" display="https://www.dsebd.org/displayCompany.php?name=ROBI" xr:uid="{7AB413CF-428C-4A33-9D96-9EEDAA8789E0}"/>
    <hyperlink ref="C25" r:id="rId21" display="https://www.dsebd.org/displayCompany.php?name=ROBI" xr:uid="{FC1682CE-8115-42DF-B22B-40BD026D69E6}"/>
    <hyperlink ref="C26" r:id="rId22" display="https://www.dsebd.org/displayCompany.php?name=ROBI" xr:uid="{C0374D2C-2C75-4DE2-97F5-EF6591869714}"/>
    <hyperlink ref="C27" r:id="rId23" display="https://www.dsebd.org/displayCompany.php?name=ROBI" xr:uid="{10BF2A2D-548D-4814-81FB-FA36EA99A7A7}"/>
    <hyperlink ref="C28" r:id="rId24" display="https://www.dsebd.org/displayCompany.php?name=ROBI" xr:uid="{225BD1D0-D180-46E5-950A-C885A242D1F9}"/>
    <hyperlink ref="C29" r:id="rId25" display="https://www.dsebd.org/displayCompany.php?name=ROBI" xr:uid="{BF46D641-ED1E-4964-85A2-A05E4E5BD877}"/>
    <hyperlink ref="C30" r:id="rId26" display="https://www.dsebd.org/displayCompany.php?name=ROBI" xr:uid="{203248EF-902E-4C00-898C-D283ECAC75F6}"/>
    <hyperlink ref="C31" r:id="rId27" display="https://www.dsebd.org/displayCompany.php?name=ROBI" xr:uid="{932A5F3C-57CA-4F04-B4B3-E51C54E432C1}"/>
    <hyperlink ref="C32" r:id="rId28" display="https://www.dsebd.org/displayCompany.php?name=ROBI" xr:uid="{A112022F-5B77-45E3-BB0B-466035423C0E}"/>
    <hyperlink ref="C33" r:id="rId29" display="https://www.dsebd.org/displayCompany.php?name=ROBI" xr:uid="{2A5CB353-EDEB-41C4-8568-E5F4A17C6114}"/>
    <hyperlink ref="C34" r:id="rId30" display="https://www.dsebd.org/displayCompany.php?name=ROBI" xr:uid="{1A920A95-528E-4D18-A72C-4F83E0611450}"/>
    <hyperlink ref="C35" r:id="rId31" display="https://www.dsebd.org/displayCompany.php?name=ROBI" xr:uid="{47B705AF-9AFC-4AB2-B598-33DCCAC5C106}"/>
    <hyperlink ref="C36" r:id="rId32" display="https://www.dsebd.org/displayCompany.php?name=ROBI" xr:uid="{CD633CD4-0EED-47F7-8394-C8001BADEB8B}"/>
    <hyperlink ref="C37" r:id="rId33" display="https://www.dsebd.org/displayCompany.php?name=ROBI" xr:uid="{8A2BC5D6-2B46-455B-B4DF-02965E4E0431}"/>
    <hyperlink ref="C38" r:id="rId34" display="https://www.dsebd.org/displayCompany.php?name=ROBI" xr:uid="{5EDEC0DF-9FD1-426D-BEC6-6756BE85E35B}"/>
    <hyperlink ref="C39" r:id="rId35" display="https://www.dsebd.org/displayCompany.php?name=ROBI" xr:uid="{99334F45-5EE4-41AF-8FA7-FC8744AA5361}"/>
    <hyperlink ref="C40" r:id="rId36" display="https://www.dsebd.org/displayCompany.php?name=ROBI" xr:uid="{B4BE073D-E668-4C7E-BF38-4CC4A4A26D29}"/>
    <hyperlink ref="C41" r:id="rId37" display="https://www.dsebd.org/displayCompany.php?name=ROBI" xr:uid="{D31FD453-6FBB-43EC-B259-0A8D39610237}"/>
    <hyperlink ref="C42" r:id="rId38" display="https://www.dsebd.org/displayCompany.php?name=ROBI" xr:uid="{1495B1D2-0E7D-4589-9BC9-BB66180A49AE}"/>
    <hyperlink ref="C43" r:id="rId39" display="https://www.dsebd.org/displayCompany.php?name=ROBI" xr:uid="{D4C12204-96B4-43F7-B3D1-8AE98D0B105E}"/>
    <hyperlink ref="C44" r:id="rId40" display="https://www.dsebd.org/displayCompany.php?name=ROBI" xr:uid="{870EE98B-2EED-4364-B496-AA3F4249FE9A}"/>
    <hyperlink ref="C45" r:id="rId41" display="https://www.dsebd.org/displayCompany.php?name=ROBI" xr:uid="{CA7B3027-03B8-4A75-BEDD-F3B807891DE8}"/>
    <hyperlink ref="C46" r:id="rId42" display="https://www.dsebd.org/displayCompany.php?name=ROBI" xr:uid="{A4F66191-2735-494E-B486-A3115E078FC0}"/>
    <hyperlink ref="C47" r:id="rId43" display="https://www.dsebd.org/displayCompany.php?name=ROBI" xr:uid="{52521551-F801-4E2D-9E66-4DEF61BFB21E}"/>
    <hyperlink ref="C48" r:id="rId44" display="https://www.dsebd.org/displayCompany.php?name=ROBI" xr:uid="{375879C8-2612-4730-AD33-E515D9C2E3F1}"/>
    <hyperlink ref="C49" r:id="rId45" display="https://www.dsebd.org/displayCompany.php?name=ROBI" xr:uid="{AFB6DF35-23E0-4856-B86F-1CC59308BFD8}"/>
    <hyperlink ref="C50" r:id="rId46" display="https://www.dsebd.org/displayCompany.php?name=ROBI" xr:uid="{B5A4EEC2-185A-4A19-85BD-1168F9056ED6}"/>
    <hyperlink ref="C51" r:id="rId47" display="https://www.dsebd.org/displayCompany.php?name=ROBI" xr:uid="{67D2178A-9DF3-4ADA-A9AB-D3B05B47E31E}"/>
    <hyperlink ref="C52" r:id="rId48" display="https://www.dsebd.org/displayCompany.php?name=ROBI" xr:uid="{03B0481B-294D-41A3-A3E0-90B98AC9CAEB}"/>
    <hyperlink ref="C53" r:id="rId49" display="https://www.dsebd.org/displayCompany.php?name=ROBI" xr:uid="{0931D3CB-8542-4D7B-AC78-5E5BF1A44995}"/>
    <hyperlink ref="C54" r:id="rId50" display="https://www.dsebd.org/displayCompany.php?name=ROBI" xr:uid="{2F146887-2D3F-4AF8-A3F4-F02C78EF7748}"/>
    <hyperlink ref="C55" r:id="rId51" display="https://www.dsebd.org/displayCompany.php?name=ROBI" xr:uid="{0BD7007A-C3B8-4158-9485-F2E713134DD7}"/>
    <hyperlink ref="C56" r:id="rId52" display="https://www.dsebd.org/displayCompany.php?name=ROBI" xr:uid="{06CE1A4E-3C3C-48F7-A17C-34BA4D1AE294}"/>
    <hyperlink ref="C57" r:id="rId53" display="https://www.dsebd.org/displayCompany.php?name=ROBI" xr:uid="{B9075EBD-B634-4EBF-92C6-19567453FB7B}"/>
    <hyperlink ref="C58" r:id="rId54" display="https://www.dsebd.org/displayCompany.php?name=ROBI" xr:uid="{22815D8C-C3C5-44D4-B932-66FCEEDAE729}"/>
    <hyperlink ref="C59" r:id="rId55" display="https://www.dsebd.org/displayCompany.php?name=ROBI" xr:uid="{F068441F-959B-4993-B834-A61FA6B9048E}"/>
    <hyperlink ref="C60" r:id="rId56" display="https://www.dsebd.org/displayCompany.php?name=ROBI" xr:uid="{A3151E0E-A40A-4C0C-984B-37E4E58256E3}"/>
    <hyperlink ref="C61" r:id="rId57" display="https://www.dsebd.org/displayCompany.php?name=ROBI" xr:uid="{057B80D6-FA6B-447D-A14B-4D6319ADF993}"/>
    <hyperlink ref="C62" r:id="rId58" display="https://www.dsebd.org/displayCompany.php?name=ROBI" xr:uid="{5DCA7970-C637-4DFD-8820-71AFC32E8BFB}"/>
    <hyperlink ref="C63" r:id="rId59" display="https://www.dsebd.org/displayCompany.php?name=ROBI" xr:uid="{477CAAAE-2807-47EC-BDD5-D218C2E8CE5E}"/>
    <hyperlink ref="C64" r:id="rId60" display="https://www.dsebd.org/displayCompany.php?name=ROBI" xr:uid="{C16268F3-7E3B-468E-9812-C1664E600ED5}"/>
    <hyperlink ref="C65" r:id="rId61" display="https://www.dsebd.org/displayCompany.php?name=ROBI" xr:uid="{6A5C7EE9-F0A6-483A-B3CA-7B2BCC3B4FEC}"/>
    <hyperlink ref="C66" r:id="rId62" display="https://www.dsebd.org/displayCompany.php?name=ROBI" xr:uid="{9D0F7A63-1E6A-447F-9C3E-31221E1A9524}"/>
    <hyperlink ref="C67" r:id="rId63" display="https://www.dsebd.org/displayCompany.php?name=ROBI" xr:uid="{5933227C-EE5B-492F-B035-DCDDEA8D25B3}"/>
    <hyperlink ref="C68" r:id="rId64" display="https://www.dsebd.org/displayCompany.php?name=ROBI" xr:uid="{1C55F5A8-03CA-4A69-833F-0CED9B4A1036}"/>
    <hyperlink ref="C69" r:id="rId65" display="https://www.dsebd.org/displayCompany.php?name=ROBI" xr:uid="{6CA53D72-0E88-4C22-923A-1D3828D0610F}"/>
    <hyperlink ref="C70" r:id="rId66" display="https://www.dsebd.org/displayCompany.php?name=ROBI" xr:uid="{A3AC3E50-20DA-401A-8401-4B82FB4EA6E7}"/>
    <hyperlink ref="C71" r:id="rId67" display="https://www.dsebd.org/displayCompany.php?name=ROBI" xr:uid="{CD0FB9E3-1948-4B83-B9CD-562AA0913820}"/>
    <hyperlink ref="C72" r:id="rId68" display="https://www.dsebd.org/displayCompany.php?name=ROBI" xr:uid="{B28F9995-E079-4132-91F8-05A479DEE10E}"/>
    <hyperlink ref="C73" r:id="rId69" display="https://www.dsebd.org/displayCompany.php?name=ROBI" xr:uid="{6C8B4DCF-F6D3-44B2-B959-293410ABC084}"/>
    <hyperlink ref="C74" r:id="rId70" display="https://www.dsebd.org/displayCompany.php?name=ROBI" xr:uid="{78D9E412-8AB4-4756-96AD-9515BF69E1DC}"/>
    <hyperlink ref="C75" r:id="rId71" display="https://www.dsebd.org/displayCompany.php?name=ROBI" xr:uid="{93B14427-F681-4132-BC12-5362467027EA}"/>
    <hyperlink ref="C76" r:id="rId72" display="https://www.dsebd.org/displayCompany.php?name=ROBI" xr:uid="{587FECE2-933F-4B95-AA8B-40F5FB9C78BA}"/>
    <hyperlink ref="C77" r:id="rId73" display="https://www.dsebd.org/displayCompany.php?name=ROBI" xr:uid="{DBFC52D8-02C2-4591-AF2E-FA478E99A8A1}"/>
    <hyperlink ref="C78" r:id="rId74" display="https://www.dsebd.org/displayCompany.php?name=ROBI" xr:uid="{45C4FB8C-609D-4B5E-BFEA-C6B667EBC212}"/>
    <hyperlink ref="C79" r:id="rId75" display="https://www.dsebd.org/displayCompany.php?name=ROBI" xr:uid="{CEF5B87D-E895-450D-97AD-5B7ADE2C214E}"/>
    <hyperlink ref="C80" r:id="rId76" display="https://www.dsebd.org/displayCompany.php?name=ROBI" xr:uid="{91288DAD-A202-40D9-8E4B-B09FACB1DBEE}"/>
    <hyperlink ref="C81" r:id="rId77" display="https://www.dsebd.org/displayCompany.php?name=ROBI" xr:uid="{9569F4C8-ABD5-4E98-B090-0B91DBF6CE2E}"/>
    <hyperlink ref="C82" r:id="rId78" display="https://www.dsebd.org/displayCompany.php?name=ROBI" xr:uid="{E4B7EAE4-252C-4AB3-B186-1B207993547B}"/>
    <hyperlink ref="C83" r:id="rId79" display="https://www.dsebd.org/displayCompany.php?name=ROBI" xr:uid="{26B6256C-B203-497E-AA3D-CF4D2F3DB949}"/>
    <hyperlink ref="C84" r:id="rId80" display="https://www.dsebd.org/displayCompany.php?name=ROBI" xr:uid="{0757D523-F959-445D-8609-B2D9A81619FE}"/>
    <hyperlink ref="C85" r:id="rId81" display="https://www.dsebd.org/displayCompany.php?name=ROBI" xr:uid="{19C2ABB2-874C-4A67-A073-526E4D01F706}"/>
    <hyperlink ref="C86" r:id="rId82" display="https://www.dsebd.org/displayCompany.php?name=ROBI" xr:uid="{81662F84-DA05-41B4-849B-EDBB5201A1DA}"/>
    <hyperlink ref="C87" r:id="rId83" display="https://www.dsebd.org/displayCompany.php?name=ROBI" xr:uid="{E5030A85-DC1D-4D01-A786-519037CDBB56}"/>
    <hyperlink ref="C88" r:id="rId84" display="https://www.dsebd.org/displayCompany.php?name=ROBI" xr:uid="{F0F52F40-40A8-44A4-AD3A-D621C521176B}"/>
    <hyperlink ref="C89" r:id="rId85" display="https://www.dsebd.org/displayCompany.php?name=ROBI" xr:uid="{FD6C508D-EFA9-4622-9A4D-EFFF9295DEF2}"/>
    <hyperlink ref="C90" r:id="rId86" display="https://www.dsebd.org/displayCompany.php?name=ROBI" xr:uid="{57373D1B-0CA5-47E3-8C6C-C7A9E4703002}"/>
    <hyperlink ref="C91" r:id="rId87" display="https://www.dsebd.org/displayCompany.php?name=ROBI" xr:uid="{2804B727-3671-4775-B20A-F4D7B27A805F}"/>
    <hyperlink ref="C92" r:id="rId88" display="https://www.dsebd.org/displayCompany.php?name=ROBI" xr:uid="{68EF0D24-3549-432E-9FD7-102E786A453E}"/>
    <hyperlink ref="C93" r:id="rId89" display="https://www.dsebd.org/displayCompany.php?name=ROBI" xr:uid="{104D5A03-76D9-40A5-831D-A46E7018DA32}"/>
    <hyperlink ref="C94" r:id="rId90" display="https://www.dsebd.org/displayCompany.php?name=ROBI" xr:uid="{ACB1CE8B-1F15-4254-86CF-A1AC2F150FDD}"/>
    <hyperlink ref="C95" r:id="rId91" display="https://www.dsebd.org/displayCompany.php?name=ROBI" xr:uid="{D29A7D82-74F1-450E-A426-663212F9A9E8}"/>
    <hyperlink ref="C96" r:id="rId92" display="https://www.dsebd.org/displayCompany.php?name=ROBI" xr:uid="{B39A334C-5B47-4D0F-B525-9762DD2360B0}"/>
    <hyperlink ref="C97" r:id="rId93" display="https://www.dsebd.org/displayCompany.php?name=ROBI" xr:uid="{CA9DCF2D-A7E6-4383-A80C-E8DAD7A0A406}"/>
    <hyperlink ref="C98" r:id="rId94" display="https://www.dsebd.org/displayCompany.php?name=ROBI" xr:uid="{5FF15AF9-1E5A-45BC-BED0-854571743898}"/>
    <hyperlink ref="C99" r:id="rId95" display="https://www.dsebd.org/displayCompany.php?name=ROBI" xr:uid="{5F644D49-182E-4750-86E0-8DCB7525B54E}"/>
    <hyperlink ref="C100" r:id="rId96" display="https://www.dsebd.org/displayCompany.php?name=ROBI" xr:uid="{3A377103-FFFF-4D24-8AF2-F5B96180D135}"/>
    <hyperlink ref="C101" r:id="rId97" display="https://www.dsebd.org/displayCompany.php?name=ROBI" xr:uid="{25E6D7D5-0A3A-4588-B93C-01D4E570A715}"/>
    <hyperlink ref="C102" r:id="rId98" display="https://www.dsebd.org/displayCompany.php?name=ROBI" xr:uid="{721462D2-30A5-41AF-B56D-879A6791CA3D}"/>
    <hyperlink ref="C103" r:id="rId99" display="https://www.dsebd.org/displayCompany.php?name=ROBI" xr:uid="{EE44BF60-6CCE-4A69-903F-82A55FDC5CB1}"/>
    <hyperlink ref="C104" r:id="rId100" display="https://www.dsebd.org/displayCompany.php?name=ROBI" xr:uid="{FFF7FA5E-C9F2-440B-96EB-3C635D9AAE1D}"/>
    <hyperlink ref="C105" r:id="rId101" display="https://www.dsebd.org/displayCompany.php?name=ROBI" xr:uid="{3C6A4226-77D2-4E95-9BFD-0894CAEC6B14}"/>
    <hyperlink ref="C106" r:id="rId102" display="https://www.dsebd.org/displayCompany.php?name=ROBI" xr:uid="{4CDCFAE0-2ABB-43EA-B29F-651C24E2DCDF}"/>
    <hyperlink ref="C107" r:id="rId103" display="https://www.dsebd.org/displayCompany.php?name=ROBI" xr:uid="{3203959F-2BD6-4CB8-95CE-FDDB7E6AEF03}"/>
    <hyperlink ref="C108" r:id="rId104" display="https://www.dsebd.org/displayCompany.php?name=ROBI" xr:uid="{433373C0-B157-4BA7-BEE6-393918CC6F6F}"/>
    <hyperlink ref="C109" r:id="rId105" display="https://www.dsebd.org/displayCompany.php?name=ROBI" xr:uid="{63A4F910-4E39-4C52-AA7C-ACF437CD01DE}"/>
    <hyperlink ref="C110" r:id="rId106" display="https://www.dsebd.org/displayCompany.php?name=ROBI" xr:uid="{4CEC93A0-A5B6-4392-A543-4DFC50296E00}"/>
    <hyperlink ref="C111" r:id="rId107" display="https://www.dsebd.org/displayCompany.php?name=ROBI" xr:uid="{A5E68F52-7387-4B62-AAEB-F703E2DDD4DD}"/>
    <hyperlink ref="C112" r:id="rId108" display="https://www.dsebd.org/displayCompany.php?name=ROBI" xr:uid="{B61F4D21-1AD7-4593-AAA9-B45B296BDC9A}"/>
    <hyperlink ref="C113" r:id="rId109" display="https://www.dsebd.org/displayCompany.php?name=ROBI" xr:uid="{2759ED14-7C76-4B3B-A05B-38B2230D1C75}"/>
    <hyperlink ref="C114" r:id="rId110" display="https://www.dsebd.org/displayCompany.php?name=ROBI" xr:uid="{FA4D48BE-6DD5-4879-AD16-E23C2FC2154C}"/>
    <hyperlink ref="C115" r:id="rId111" display="https://www.dsebd.org/displayCompany.php?name=ROBI" xr:uid="{8421575F-83B5-4CF3-A366-8906F8E99D8C}"/>
    <hyperlink ref="C116" r:id="rId112" display="https://www.dsebd.org/displayCompany.php?name=ROBI" xr:uid="{10225F24-131A-45EA-8CC8-45F4213FE24C}"/>
    <hyperlink ref="C117" r:id="rId113" display="https://www.dsebd.org/displayCompany.php?name=ROBI" xr:uid="{3C836255-348C-45AF-91B0-61EA28DDFB11}"/>
    <hyperlink ref="C118" r:id="rId114" display="https://www.dsebd.org/displayCompany.php?name=ROBI" xr:uid="{77BACC40-31C5-4C29-94D0-E7FE43458A8C}"/>
    <hyperlink ref="C119" r:id="rId115" display="https://www.dsebd.org/displayCompany.php?name=ROBI" xr:uid="{FA30A552-859C-45EC-93C8-A438F16D2790}"/>
    <hyperlink ref="C120" r:id="rId116" display="https://www.dsebd.org/displayCompany.php?name=ROBI" xr:uid="{FA8E302C-1677-465E-AFCF-CF985875510E}"/>
    <hyperlink ref="C121" r:id="rId117" display="https://www.dsebd.org/displayCompany.php?name=ROBI" xr:uid="{3AA949CA-7ADF-4EF4-8487-DC0F1DB54409}"/>
    <hyperlink ref="C122" r:id="rId118" display="https://www.dsebd.org/displayCompany.php?name=ROBI" xr:uid="{F44B9EE0-5FB4-4553-95F6-6540986E75D5}"/>
    <hyperlink ref="C123" r:id="rId119" display="https://www.dsebd.org/displayCompany.php?name=ROBI" xr:uid="{389B4B0A-0CB3-4C3E-BFE2-CEE82518F206}"/>
    <hyperlink ref="C124" r:id="rId120" display="https://www.dsebd.org/displayCompany.php?name=ROBI" xr:uid="{3661ACD3-D316-4A57-83CE-C75998782BEC}"/>
    <hyperlink ref="C125" r:id="rId121" display="https://www.dsebd.org/displayCompany.php?name=ROBI" xr:uid="{CBE414B8-3606-438D-B8D6-51D36BCDC2A2}"/>
    <hyperlink ref="C126" r:id="rId122" display="https://www.dsebd.org/displayCompany.php?name=ROBI" xr:uid="{9166DFC5-9174-4D21-B5A7-6CAFB6F7F5B8}"/>
    <hyperlink ref="C127" r:id="rId123" display="https://www.dsebd.org/displayCompany.php?name=ROBI" xr:uid="{D11B48AC-AC65-40EB-8582-D66925DE3831}"/>
    <hyperlink ref="C128" r:id="rId124" display="https://www.dsebd.org/displayCompany.php?name=ROBI" xr:uid="{F66D4A1F-85FD-497E-9925-6F54D78E0777}"/>
    <hyperlink ref="C129" r:id="rId125" display="https://www.dsebd.org/displayCompany.php?name=ROBI" xr:uid="{F367FA44-AE95-4EC2-8EC0-EFE9860E3E19}"/>
    <hyperlink ref="C130" r:id="rId126" display="https://www.dsebd.org/displayCompany.php?name=ROBI" xr:uid="{D348AEAB-9939-40D4-8EE1-091AAF243E3E}"/>
    <hyperlink ref="C131" r:id="rId127" display="https://www.dsebd.org/displayCompany.php?name=ROBI" xr:uid="{EBAC8FA0-3493-4F96-AAAD-F2411F858FD4}"/>
    <hyperlink ref="C132" r:id="rId128" display="https://www.dsebd.org/displayCompany.php?name=ROBI" xr:uid="{702AC6ED-A247-48FF-ABD9-73FE1754FB6D}"/>
    <hyperlink ref="C133" r:id="rId129" display="https://www.dsebd.org/displayCompany.php?name=ROBI" xr:uid="{09334218-40E2-4764-8D80-97E200613609}"/>
    <hyperlink ref="C134" r:id="rId130" display="https://www.dsebd.org/displayCompany.php?name=ROBI" xr:uid="{A5E89348-01D2-4D27-9B3C-5F3C9323F7E7}"/>
    <hyperlink ref="C135" r:id="rId131" display="https://www.dsebd.org/displayCompany.php?name=ROBI" xr:uid="{31634EBD-AB50-4068-A60C-434687D6DF2F}"/>
    <hyperlink ref="C136" r:id="rId132" display="https://www.dsebd.org/displayCompany.php?name=ROBI" xr:uid="{51A69EE0-2AE9-4694-89D1-AA7BA8259768}"/>
    <hyperlink ref="C137" r:id="rId133" display="https://www.dsebd.org/displayCompany.php?name=ROBI" xr:uid="{61669F5A-978D-41E8-BACF-70E440D64016}"/>
    <hyperlink ref="C138" r:id="rId134" display="https://www.dsebd.org/displayCompany.php?name=ROBI" xr:uid="{3656653F-4FDD-4058-8283-EACE8571422C}"/>
    <hyperlink ref="C139" r:id="rId135" display="https://www.dsebd.org/displayCompany.php?name=ROBI" xr:uid="{B0E5168E-181C-4870-A0A6-F09873E99CD2}"/>
    <hyperlink ref="C140" r:id="rId136" display="https://www.dsebd.org/displayCompany.php?name=ROBI" xr:uid="{9DE24948-F365-4039-ABBB-7C276F30DC80}"/>
    <hyperlink ref="C141" r:id="rId137" display="https://www.dsebd.org/displayCompany.php?name=ROBI" xr:uid="{7FFEC335-FD4F-4114-A49A-97782D712199}"/>
    <hyperlink ref="C142" r:id="rId138" display="https://www.dsebd.org/displayCompany.php?name=ROBI" xr:uid="{53C36F55-DCC5-4346-898C-1344575F26CA}"/>
    <hyperlink ref="C143" r:id="rId139" display="https://www.dsebd.org/displayCompany.php?name=ROBI" xr:uid="{36C3BD8B-51E5-41C3-9A59-991607A8BFE3}"/>
    <hyperlink ref="C144" r:id="rId140" display="https://www.dsebd.org/displayCompany.php?name=ROBI" xr:uid="{F9341AC6-CD81-4835-B667-0E20AEF64916}"/>
    <hyperlink ref="C145" r:id="rId141" display="https://www.dsebd.org/displayCompany.php?name=ROBI" xr:uid="{056D1F20-A33D-46FB-9358-07630C20902B}"/>
    <hyperlink ref="C146" r:id="rId142" display="https://www.dsebd.org/displayCompany.php?name=ROBI" xr:uid="{D3DAEF6B-642F-4DA4-A452-7396319B1CBA}"/>
    <hyperlink ref="C147" r:id="rId143" display="https://www.dsebd.org/displayCompany.php?name=ROBI" xr:uid="{0CDB8CF9-E73B-46AB-95B7-274FE9170400}"/>
    <hyperlink ref="C148" r:id="rId144" display="https://www.dsebd.org/displayCompany.php?name=ROBI" xr:uid="{C7496EA2-A153-4622-B01C-1AF9308C14F4}"/>
    <hyperlink ref="C149" r:id="rId145" display="https://www.dsebd.org/displayCompany.php?name=ROBI" xr:uid="{988AE549-688A-478C-BC71-501C3365607E}"/>
    <hyperlink ref="C150" r:id="rId146" display="https://www.dsebd.org/displayCompany.php?name=ROBI" xr:uid="{BF1C7781-C431-4373-AF4F-54305FA0E812}"/>
    <hyperlink ref="C151" r:id="rId147" display="https://www.dsebd.org/displayCompany.php?name=ROBI" xr:uid="{9DB90170-7296-4050-AC0C-0BC1FD2E4C54}"/>
    <hyperlink ref="C152" r:id="rId148" display="https://www.dsebd.org/displayCompany.php?name=ROBI" xr:uid="{A000BBDC-121C-4F27-9F85-1DA8D099945F}"/>
    <hyperlink ref="C153" r:id="rId149" display="https://www.dsebd.org/displayCompany.php?name=ROBI" xr:uid="{58657CE9-56DB-4ED5-9B4C-0B41111E972B}"/>
    <hyperlink ref="C154" r:id="rId150" display="https://www.dsebd.org/displayCompany.php?name=ROBI" xr:uid="{093CAE4E-06D2-4909-A698-DC8BF3A0EE9F}"/>
    <hyperlink ref="C155" r:id="rId151" display="https://www.dsebd.org/displayCompany.php?name=ROBI" xr:uid="{78D163CB-BBD5-4BA0-9446-0CFDFFC8038D}"/>
    <hyperlink ref="C156" r:id="rId152" display="https://www.dsebd.org/displayCompany.php?name=ROBI" xr:uid="{C0A10F5D-7879-4EEA-B8E9-C5BF13D0892F}"/>
    <hyperlink ref="C157" r:id="rId153" display="https://www.dsebd.org/displayCompany.php?name=ROBI" xr:uid="{36B15C3A-BA7E-46FC-ABF1-900E1B8C7733}"/>
    <hyperlink ref="C158" r:id="rId154" display="https://www.dsebd.org/displayCompany.php?name=ROBI" xr:uid="{9BF0C4B0-66D7-4FFC-9B76-97C573A518FE}"/>
    <hyperlink ref="C159" r:id="rId155" display="https://www.dsebd.org/displayCompany.php?name=ROBI" xr:uid="{39DD9C90-7ADB-4486-A3E7-9D4BF883DB79}"/>
    <hyperlink ref="C160" r:id="rId156" display="https://www.dsebd.org/displayCompany.php?name=ROBI" xr:uid="{AF234598-9315-4541-AF82-11B65365FE54}"/>
    <hyperlink ref="C161" r:id="rId157" display="https://www.dsebd.org/displayCompany.php?name=ROBI" xr:uid="{279C51B6-16CD-4747-80F1-85866999E7DE}"/>
    <hyperlink ref="C162" r:id="rId158" display="https://www.dsebd.org/displayCompany.php?name=ROBI" xr:uid="{AC4AFD90-24A9-4D8B-AB07-F62070B6FCC1}"/>
    <hyperlink ref="C163" r:id="rId159" display="https://www.dsebd.org/displayCompany.php?name=ROBI" xr:uid="{018B1E70-C797-476A-80CD-83F33DE226F3}"/>
    <hyperlink ref="C164" r:id="rId160" display="https://www.dsebd.org/displayCompany.php?name=ROBI" xr:uid="{259638C6-860A-422F-8FD6-9426A28556A2}"/>
    <hyperlink ref="C165" r:id="rId161" display="https://www.dsebd.org/displayCompany.php?name=ROBI" xr:uid="{61CD4F5F-37CA-47ED-AEFC-7FFFF3BF676E}"/>
    <hyperlink ref="C166" r:id="rId162" display="https://www.dsebd.org/displayCompany.php?name=ROBI" xr:uid="{4AAA2B18-87A4-4744-A4DD-AC1820ABBA77}"/>
    <hyperlink ref="C167" r:id="rId163" display="https://www.dsebd.org/displayCompany.php?name=ROBI" xr:uid="{1EC91E70-4033-4781-AE27-3E33A2DE3B3F}"/>
    <hyperlink ref="C168" r:id="rId164" display="https://www.dsebd.org/displayCompany.php?name=ROBI" xr:uid="{8C3577A9-3CE7-4C26-A87B-21BE6A1E32E6}"/>
    <hyperlink ref="C169" r:id="rId165" display="https://www.dsebd.org/displayCompany.php?name=ROBI" xr:uid="{579FECA4-D47E-4668-8295-854D9CEE8AD2}"/>
    <hyperlink ref="C170" r:id="rId166" display="https://www.dsebd.org/displayCompany.php?name=ROBI" xr:uid="{6958A83A-6726-4E6E-B291-B68137E9FBF5}"/>
    <hyperlink ref="C171" r:id="rId167" display="https://www.dsebd.org/displayCompany.php?name=ROBI" xr:uid="{F5BF000F-B88B-421B-A857-5CBE8F1BBD1F}"/>
    <hyperlink ref="C172" r:id="rId168" display="https://www.dsebd.org/displayCompany.php?name=ROBI" xr:uid="{AD92E8D1-6221-4AEF-8CE1-71D3F43495A3}"/>
    <hyperlink ref="C173" r:id="rId169" display="https://www.dsebd.org/displayCompany.php?name=ROBI" xr:uid="{7DBB0351-6A14-48AF-B302-DCA408595CC5}"/>
    <hyperlink ref="C174" r:id="rId170" display="https://www.dsebd.org/displayCompany.php?name=ROBI" xr:uid="{4560677A-7A6A-4DD9-AAA6-198FE9D95A14}"/>
    <hyperlink ref="C175" r:id="rId171" display="https://www.dsebd.org/displayCompany.php?name=ROBI" xr:uid="{529862D4-2773-4DFD-9832-BBB926B6F4BC}"/>
    <hyperlink ref="C176" r:id="rId172" display="https://www.dsebd.org/displayCompany.php?name=ROBI" xr:uid="{2091E1D7-7852-4501-8018-6F1FD03C0C1F}"/>
    <hyperlink ref="C177" r:id="rId173" display="https://www.dsebd.org/displayCompany.php?name=ROBI" xr:uid="{A59CB3C9-826F-4B37-9444-A196E6B4358B}"/>
    <hyperlink ref="C178" r:id="rId174" display="https://www.dsebd.org/displayCompany.php?name=ROBI" xr:uid="{A45DA833-9121-4DFA-B36B-AB628A5662FE}"/>
    <hyperlink ref="C179" r:id="rId175" display="https://www.dsebd.org/displayCompany.php?name=ROBI" xr:uid="{E6843076-EBAB-442E-A097-827B5D3BEC0B}"/>
    <hyperlink ref="C180" r:id="rId176" display="https://www.dsebd.org/displayCompany.php?name=ROBI" xr:uid="{1F8FC5EF-7B70-48BF-8C0F-CEFAC4067A5F}"/>
    <hyperlink ref="C181" r:id="rId177" display="https://www.dsebd.org/displayCompany.php?name=ROBI" xr:uid="{B9FD2CC5-6414-459C-AFDF-8BD649566A72}"/>
    <hyperlink ref="C182" r:id="rId178" display="https://www.dsebd.org/displayCompany.php?name=ROBI" xr:uid="{7D3FABED-631F-4816-A0F2-E27695842959}"/>
    <hyperlink ref="C183" r:id="rId179" display="https://www.dsebd.org/displayCompany.php?name=ROBI" xr:uid="{361B1775-6E83-4C69-B8BD-1932B229F119}"/>
    <hyperlink ref="C184" r:id="rId180" display="https://www.dsebd.org/displayCompany.php?name=ROBI" xr:uid="{B5FC7D7C-0BA4-4068-B31C-CC5E20069939}"/>
    <hyperlink ref="C185" r:id="rId181" display="https://www.dsebd.org/displayCompany.php?name=ROBI" xr:uid="{CF586E81-3021-4A9B-BFD2-FD9A5BDB997B}"/>
    <hyperlink ref="C186" r:id="rId182" display="https://www.dsebd.org/displayCompany.php?name=ROBI" xr:uid="{818C273C-8428-463E-92DA-94744E7917C8}"/>
    <hyperlink ref="C187" r:id="rId183" display="https://www.dsebd.org/displayCompany.php?name=ROBI" xr:uid="{11F8AB24-08FD-4CCD-B8B4-08671402F1A2}"/>
    <hyperlink ref="C188" r:id="rId184" display="https://www.dsebd.org/displayCompany.php?name=ROBI" xr:uid="{A930A6F7-91BC-41A0-992C-2A374B277729}"/>
    <hyperlink ref="C189" r:id="rId185" display="https://www.dsebd.org/displayCompany.php?name=ROBI" xr:uid="{2CDD62F4-A013-4C59-9E7C-D96C9FE9666A}"/>
    <hyperlink ref="C190" r:id="rId186" display="https://www.dsebd.org/displayCompany.php?name=ROBI" xr:uid="{C40D2B53-5AA9-4CBA-B191-FD69A035E89A}"/>
    <hyperlink ref="C191" r:id="rId187" display="https://www.dsebd.org/displayCompany.php?name=ROBI" xr:uid="{9CCE780E-DA1A-4B90-8108-4DD53B622E99}"/>
    <hyperlink ref="C192" r:id="rId188" display="https://www.dsebd.org/displayCompany.php?name=ROBI" xr:uid="{1924C4F6-EF86-44C3-A8D9-86FEE32F6AB2}"/>
    <hyperlink ref="C193" r:id="rId189" display="https://www.dsebd.org/displayCompany.php?name=ROBI" xr:uid="{260C814A-B864-4F89-A9AD-D29904000B07}"/>
    <hyperlink ref="C194" r:id="rId190" display="https://www.dsebd.org/displayCompany.php?name=ROBI" xr:uid="{D86BAA6B-C4DD-4219-8EA0-6FDE8D920591}"/>
    <hyperlink ref="C195" r:id="rId191" display="https://www.dsebd.org/displayCompany.php?name=ROBI" xr:uid="{E475AF66-AE53-49F5-87F8-44BFCF1B7695}"/>
    <hyperlink ref="C196" r:id="rId192" display="https://www.dsebd.org/displayCompany.php?name=ROBI" xr:uid="{7AC25ACE-0F30-49CC-A658-C2D14D1E807F}"/>
    <hyperlink ref="C197" r:id="rId193" display="https://www.dsebd.org/displayCompany.php?name=ROBI" xr:uid="{EF9A6689-35EC-45E5-AC8C-E233E199DF32}"/>
    <hyperlink ref="C198" r:id="rId194" display="https://www.dsebd.org/displayCompany.php?name=ROBI" xr:uid="{7BB09D51-4CDF-4B59-BE27-1EABA52DC892}"/>
    <hyperlink ref="C199" r:id="rId195" display="https://www.dsebd.org/displayCompany.php?name=ROBI" xr:uid="{19A87EAE-7D69-433F-8BEC-D8502E3B4DAD}"/>
    <hyperlink ref="C200" r:id="rId196" display="https://www.dsebd.org/displayCompany.php?name=ROBI" xr:uid="{B157F92F-630A-4718-8F8B-6C8B407333CC}"/>
    <hyperlink ref="C201" r:id="rId197" display="https://www.dsebd.org/displayCompany.php?name=ROBI" xr:uid="{4725AB24-ACCB-4AA8-B588-187F5193268B}"/>
    <hyperlink ref="C202" r:id="rId198" display="https://www.dsebd.org/displayCompany.php?name=ROBI" xr:uid="{8C5100A0-FBA3-4513-A01B-B676E6E8CD31}"/>
    <hyperlink ref="C203" r:id="rId199" display="https://www.dsebd.org/displayCompany.php?name=ROBI" xr:uid="{32AEFA7F-F400-485B-AAAD-8C7BB4074C78}"/>
    <hyperlink ref="C204" r:id="rId200" display="https://www.dsebd.org/displayCompany.php?name=ROBI" xr:uid="{FCB3CB16-E863-4882-A977-7AD9007E1298}"/>
    <hyperlink ref="C205" r:id="rId201" display="https://www.dsebd.org/displayCompany.php?name=ROBI" xr:uid="{BB8741E5-BA4C-44C5-9AC8-CACA3136B09A}"/>
    <hyperlink ref="C206" r:id="rId202" display="https://www.dsebd.org/displayCompany.php?name=ROBI" xr:uid="{959FF7D5-E570-4B48-9F65-40044DC8A202}"/>
    <hyperlink ref="C207" r:id="rId203" display="https://www.dsebd.org/displayCompany.php?name=ROBI" xr:uid="{576EE47A-B989-4227-9FB7-D88AD0961DCF}"/>
    <hyperlink ref="C208" r:id="rId204" display="https://www.dsebd.org/displayCompany.php?name=ROBI" xr:uid="{2C9C577F-8DD2-43CA-BD40-FDFB58CAC0FA}"/>
    <hyperlink ref="C209" r:id="rId205" display="https://www.dsebd.org/displayCompany.php?name=ROBI" xr:uid="{C2DC4028-0D62-4C3F-B08A-5108A13A4EE9}"/>
    <hyperlink ref="C210" r:id="rId206" display="https://www.dsebd.org/displayCompany.php?name=ROBI" xr:uid="{7C392C94-FDEC-436C-A9EB-36E41017608A}"/>
    <hyperlink ref="C211" r:id="rId207" display="https://www.dsebd.org/displayCompany.php?name=ROBI" xr:uid="{A28C2384-BA33-4736-8B76-FD22ED770D0C}"/>
    <hyperlink ref="C212" r:id="rId208" display="https://www.dsebd.org/displayCompany.php?name=ROBI" xr:uid="{F3BD7BB9-0E06-4D6D-820A-CF0F0FB9BCCE}"/>
    <hyperlink ref="C213" r:id="rId209" display="https://www.dsebd.org/displayCompany.php?name=ROBI" xr:uid="{4A154381-1B49-4498-A112-9E8BEFD440A5}"/>
    <hyperlink ref="C214" r:id="rId210" display="https://www.dsebd.org/displayCompany.php?name=ROBI" xr:uid="{22B1879B-371D-4DE8-8ECE-A2ECCFB89B4A}"/>
    <hyperlink ref="C215" r:id="rId211" display="https://www.dsebd.org/displayCompany.php?name=ROBI" xr:uid="{6877FB7B-EE07-4CC2-9BC7-11F9DE6C9DE2}"/>
    <hyperlink ref="C216" r:id="rId212" display="https://www.dsebd.org/displayCompany.php?name=ROBI" xr:uid="{16BB9321-2BFD-4010-A408-9A60599E78B8}"/>
    <hyperlink ref="C217" r:id="rId213" display="https://www.dsebd.org/displayCompany.php?name=ROBI" xr:uid="{FD66FE43-46FE-4390-88B3-ECAD06BF0B13}"/>
    <hyperlink ref="C218" r:id="rId214" display="https://www.dsebd.org/displayCompany.php?name=ROBI" xr:uid="{0337ECF1-D721-43AE-9D6A-2C7399A78FCA}"/>
    <hyperlink ref="C219" r:id="rId215" display="https://www.dsebd.org/displayCompany.php?name=ROBI" xr:uid="{FD6C956C-2A6D-4D01-94F7-82C45BCD5395}"/>
    <hyperlink ref="C220" r:id="rId216" display="https://www.dsebd.org/displayCompany.php?name=ROBI" xr:uid="{C2F409C4-83CC-4988-BFDB-A89C5DF3B54D}"/>
    <hyperlink ref="C221" r:id="rId217" display="https://www.dsebd.org/displayCompany.php?name=ROBI" xr:uid="{91527F71-03FC-4772-BC58-406C8D02C97F}"/>
    <hyperlink ref="C222" r:id="rId218" display="https://www.dsebd.org/displayCompany.php?name=ROBI" xr:uid="{E2C48A3B-033D-4364-A85C-963E0FCF4168}"/>
    <hyperlink ref="C223" r:id="rId219" display="https://www.dsebd.org/displayCompany.php?name=ROBI" xr:uid="{73CE252E-0621-4752-AB43-228332B7B0B5}"/>
    <hyperlink ref="C224" r:id="rId220" display="https://www.dsebd.org/displayCompany.php?name=ROBI" xr:uid="{E6E88263-AEBC-4C9F-B902-23E261F62E65}"/>
    <hyperlink ref="C225" r:id="rId221" display="https://www.dsebd.org/displayCompany.php?name=ROBI" xr:uid="{5DBE4990-AAD9-4546-943E-AA166BDE8C53}"/>
    <hyperlink ref="C226" r:id="rId222" display="https://www.dsebd.org/displayCompany.php?name=ROBI" xr:uid="{A0EFAD11-E288-4F1A-A4F2-2DECEBF390E6}"/>
    <hyperlink ref="C227" r:id="rId223" display="https://www.dsebd.org/displayCompany.php?name=ROBI" xr:uid="{CA4BB99B-C1E4-4262-9133-97709829C0EE}"/>
    <hyperlink ref="C228" r:id="rId224" display="https://www.dsebd.org/displayCompany.php?name=ROBI" xr:uid="{5AE003EA-97F8-4E0A-83DB-E5CA31CE8CE5}"/>
    <hyperlink ref="C229" r:id="rId225" display="https://www.dsebd.org/displayCompany.php?name=ROBI" xr:uid="{E3752F03-C2A8-4B0F-B083-BBD97C7E4467}"/>
    <hyperlink ref="C230" r:id="rId226" display="https://www.dsebd.org/displayCompany.php?name=ROBI" xr:uid="{EB046AEE-1F12-41D0-B630-C49812934F96}"/>
    <hyperlink ref="C231" r:id="rId227" display="https://www.dsebd.org/displayCompany.php?name=ROBI" xr:uid="{41F1A8CD-2749-4B31-8257-02EC77068E10}"/>
    <hyperlink ref="C232" r:id="rId228" display="https://www.dsebd.org/displayCompany.php?name=ROBI" xr:uid="{AE6BE785-94E0-4AE5-8B57-A754A60071A3}"/>
    <hyperlink ref="C233" r:id="rId229" display="https://www.dsebd.org/displayCompany.php?name=ROBI" xr:uid="{8062B277-304B-4B03-A3B2-613DE498F67F}"/>
    <hyperlink ref="C234" r:id="rId230" display="https://www.dsebd.org/displayCompany.php?name=ROBI" xr:uid="{536F9DEB-791B-4412-8240-12D79657C055}"/>
    <hyperlink ref="C235" r:id="rId231" display="https://www.dsebd.org/displayCompany.php?name=ROBI" xr:uid="{73B9488C-1F26-42D5-8731-C688624A2993}"/>
    <hyperlink ref="C236" r:id="rId232" display="https://www.dsebd.org/displayCompany.php?name=ROBI" xr:uid="{38FF4942-F9B7-4BBB-BE0D-AF65AA26E334}"/>
    <hyperlink ref="C237" r:id="rId233" display="https://www.dsebd.org/displayCompany.php?name=ROBI" xr:uid="{9FC4DEE7-F783-4F52-B7F2-C28774D92BB0}"/>
    <hyperlink ref="C238" r:id="rId234" display="https://www.dsebd.org/displayCompany.php?name=ROBI" xr:uid="{B3F2B912-BB85-49A8-942A-FEAB62EFF74F}"/>
    <hyperlink ref="C239" r:id="rId235" display="https://www.dsebd.org/displayCompany.php?name=ROBI" xr:uid="{705BDE90-295C-4AE4-B51E-80D6D32272D6}"/>
    <hyperlink ref="C240" r:id="rId236" display="https://www.dsebd.org/displayCompany.php?name=ROBI" xr:uid="{EC882C74-B275-4404-AC37-1B3456E9591B}"/>
    <hyperlink ref="C241" r:id="rId237" display="https://www.dsebd.org/displayCompany.php?name=ROBI" xr:uid="{22D80331-8E38-4A2F-BF2E-C56545E3F7F4}"/>
    <hyperlink ref="C242" r:id="rId238" display="https://www.dsebd.org/displayCompany.php?name=ROBI" xr:uid="{DB645D6B-B7ED-42C5-98D9-C64A405C75F6}"/>
    <hyperlink ref="C243" r:id="rId239" display="https://www.dsebd.org/displayCompany.php?name=ROBI" xr:uid="{C137E97D-1BE9-4B4A-A5B9-C766CEB63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Sheet1</vt:lpstr>
      <vt:lpstr>city</vt:lpstr>
      <vt:lpstr>bat</vt:lpstr>
      <vt:lpstr>spcl</vt:lpstr>
      <vt:lpstr>rahima food</vt:lpstr>
      <vt:lpstr>robi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islam</dc:creator>
  <cp:lastModifiedBy>Faiaz Ahmed</cp:lastModifiedBy>
  <dcterms:created xsi:type="dcterms:W3CDTF">2025-12-27T19:34:26Z</dcterms:created>
  <dcterms:modified xsi:type="dcterms:W3CDTF">2026-05-30T15:24:56Z</dcterms:modified>
</cp:coreProperties>
</file>